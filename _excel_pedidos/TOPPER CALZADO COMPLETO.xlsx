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NOTAS PEDIDOS MARIAM\"/>
    </mc:Choice>
  </mc:AlternateContent>
  <bookViews>
    <workbookView xWindow="-105" yWindow="-105" windowWidth="20595" windowHeight="7740" tabRatio="796"/>
  </bookViews>
  <sheets>
    <sheet name="PRINCIPAL" sheetId="106" r:id="rId1"/>
    <sheet name="RESUMEN CATEGORIAS" sheetId="99" r:id="rId2"/>
    <sheet name="ENE 26" sheetId="81" r:id="rId3"/>
    <sheet name="FEB 26" sheetId="101" r:id="rId4"/>
    <sheet name="MAR 26" sheetId="102" r:id="rId5"/>
    <sheet name="ABR 26" sheetId="103" r:id="rId6"/>
    <sheet name="MAY 26" sheetId="104" r:id="rId7"/>
    <sheet name="JUN 26" sheetId="105" r:id="rId8"/>
    <sheet name="Lista de Precios" sheetId="6" state="hidden" r:id="rId9"/>
    <sheet name="AUX" sheetId="82" state="hidden" r:id="rId10"/>
  </sheets>
  <definedNames>
    <definedName name="_xlnm._FilterDatabase" localSheetId="8" hidden="1">'Lista de Precios'!$A$2:$M$367</definedName>
    <definedName name="_xlnm._FilterDatabase" localSheetId="1" hidden="1">'RESUMEN CATEGORIAS'!$B$32:$F$32</definedName>
    <definedName name="_xlnm.Print_Area" localSheetId="8">'Lista de Precios'!$A$1:$K$589</definedName>
    <definedName name="_xlnm.Print_Titles" localSheetId="5">'ABR 26'!$1:$13</definedName>
    <definedName name="_xlnm.Print_Titles" localSheetId="2">'ENE 26'!$1:$13</definedName>
    <definedName name="_xlnm.Print_Titles" localSheetId="3">'FEB 26'!$1:$13</definedName>
    <definedName name="_xlnm.Print_Titles" localSheetId="7">'JUN 26'!$1:$13</definedName>
    <definedName name="_xlnm.Print_Titles" localSheetId="8">'Lista de Precios'!$2:$2</definedName>
    <definedName name="_xlnm.Print_Titles" localSheetId="4">'MAR 26'!$1:$13</definedName>
    <definedName name="_xlnm.Print_Titles" localSheetId="6">'MAY 26'!$1:$13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2" i="105" l="1"/>
  <c r="AQ22" i="105"/>
  <c r="XES22" i="105" s="1"/>
  <c r="AP22" i="105"/>
  <c r="AN22" i="105"/>
  <c r="AM22" i="105"/>
  <c r="AO22" i="105" s="1"/>
  <c r="K22" i="105"/>
  <c r="G22" i="105"/>
  <c r="F22" i="105"/>
  <c r="E22" i="105"/>
  <c r="J22" i="105" s="1"/>
  <c r="D22" i="105"/>
  <c r="C22" i="105"/>
  <c r="B22" i="105"/>
  <c r="A22" i="105"/>
  <c r="AR21" i="105"/>
  <c r="AQ21" i="105"/>
  <c r="XES21" i="105" s="1"/>
  <c r="AP21" i="105"/>
  <c r="AN21" i="105"/>
  <c r="AM21" i="105"/>
  <c r="AO21" i="105" s="1"/>
  <c r="K21" i="105"/>
  <c r="G21" i="105"/>
  <c r="F21" i="105"/>
  <c r="E21" i="105"/>
  <c r="J21" i="105" s="1"/>
  <c r="D21" i="105"/>
  <c r="C21" i="105"/>
  <c r="B21" i="105"/>
  <c r="A21" i="105"/>
  <c r="XEQ36" i="102"/>
  <c r="XEP36" i="102"/>
  <c r="AQ36" i="102"/>
  <c r="XEO36" i="102" s="1"/>
  <c r="AP36" i="102"/>
  <c r="AO36" i="102"/>
  <c r="AN36" i="102"/>
  <c r="AM36" i="102"/>
  <c r="J36" i="102"/>
  <c r="G36" i="102"/>
  <c r="F36" i="102"/>
  <c r="E36" i="102"/>
  <c r="D36" i="102"/>
  <c r="C36" i="102"/>
  <c r="B36" i="102"/>
  <c r="A36" i="102"/>
  <c r="XEO32" i="102"/>
  <c r="AQ32" i="102"/>
  <c r="XER32" i="102" s="1"/>
  <c r="AP32" i="102"/>
  <c r="AN32" i="102"/>
  <c r="G32" i="102" s="1"/>
  <c r="AM32" i="102"/>
  <c r="AO32" i="102" s="1"/>
  <c r="J32" i="102"/>
  <c r="F32" i="102"/>
  <c r="E32" i="102"/>
  <c r="D32" i="102"/>
  <c r="C32" i="102"/>
  <c r="B32" i="102"/>
  <c r="A32" i="102"/>
  <c r="XEQ31" i="102"/>
  <c r="AQ31" i="102"/>
  <c r="XEP31" i="102" s="1"/>
  <c r="AP31" i="102"/>
  <c r="AN31" i="102"/>
  <c r="G31" i="102" s="1"/>
  <c r="AM31" i="102"/>
  <c r="AO31" i="102" s="1"/>
  <c r="J31" i="102"/>
  <c r="F31" i="102"/>
  <c r="E31" i="102"/>
  <c r="D31" i="102"/>
  <c r="C31" i="102"/>
  <c r="B31" i="102"/>
  <c r="A31" i="102"/>
  <c r="XEO29" i="103"/>
  <c r="AQ29" i="103"/>
  <c r="XER29" i="103" s="1"/>
  <c r="AP29" i="103"/>
  <c r="AN29" i="103"/>
  <c r="G29" i="103" s="1"/>
  <c r="AM29" i="103"/>
  <c r="AO29" i="103" s="1"/>
  <c r="F29" i="103"/>
  <c r="E29" i="103"/>
  <c r="J29" i="103" s="1"/>
  <c r="D29" i="103"/>
  <c r="C29" i="103"/>
  <c r="B29" i="103"/>
  <c r="A29" i="103"/>
  <c r="XEP28" i="103"/>
  <c r="AQ28" i="103"/>
  <c r="XEO28" i="103" s="1"/>
  <c r="AP28" i="103"/>
  <c r="AN28" i="103"/>
  <c r="AO28" i="103" s="1"/>
  <c r="AM28" i="103"/>
  <c r="F28" i="103"/>
  <c r="E28" i="103"/>
  <c r="J28" i="103" s="1"/>
  <c r="D28" i="103"/>
  <c r="C28" i="103"/>
  <c r="B28" i="103"/>
  <c r="A28" i="103"/>
  <c r="AQ26" i="104"/>
  <c r="XER26" i="104" s="1"/>
  <c r="AP26" i="104"/>
  <c r="AN26" i="104"/>
  <c r="G26" i="104" s="1"/>
  <c r="AM26" i="104"/>
  <c r="AO26" i="104" s="1"/>
  <c r="J26" i="104"/>
  <c r="F26" i="104"/>
  <c r="E26" i="104"/>
  <c r="D26" i="104"/>
  <c r="C26" i="104"/>
  <c r="B26" i="104"/>
  <c r="A26" i="104"/>
  <c r="AQ28" i="105"/>
  <c r="XER28" i="105" s="1"/>
  <c r="AP28" i="105"/>
  <c r="AN28" i="105"/>
  <c r="G28" i="105" s="1"/>
  <c r="AM28" i="105"/>
  <c r="AO28" i="105" s="1"/>
  <c r="F28" i="105"/>
  <c r="E28" i="105"/>
  <c r="J28" i="105" s="1"/>
  <c r="D28" i="105"/>
  <c r="C28" i="105"/>
  <c r="B28" i="105"/>
  <c r="A28" i="105"/>
  <c r="XEO25" i="104"/>
  <c r="AQ25" i="104"/>
  <c r="XER25" i="104" s="1"/>
  <c r="AP25" i="104"/>
  <c r="AN25" i="104"/>
  <c r="G25" i="104" s="1"/>
  <c r="AM25" i="104"/>
  <c r="AO25" i="104" s="1"/>
  <c r="F25" i="104"/>
  <c r="E25" i="104"/>
  <c r="J25" i="104" s="1"/>
  <c r="D25" i="104"/>
  <c r="C25" i="104"/>
  <c r="B25" i="104"/>
  <c r="A25" i="104"/>
  <c r="AQ24" i="103"/>
  <c r="XER24" i="103" s="1"/>
  <c r="AP24" i="103"/>
  <c r="AN24" i="103"/>
  <c r="G24" i="103" s="1"/>
  <c r="AM24" i="103"/>
  <c r="F24" i="103"/>
  <c r="E24" i="103"/>
  <c r="J24" i="103" s="1"/>
  <c r="D24" i="103"/>
  <c r="C24" i="103"/>
  <c r="B24" i="103"/>
  <c r="A24" i="103"/>
  <c r="AQ23" i="103"/>
  <c r="XER23" i="103" s="1"/>
  <c r="AP23" i="103"/>
  <c r="AN23" i="103"/>
  <c r="G23" i="103" s="1"/>
  <c r="AM23" i="103"/>
  <c r="AO23" i="103" s="1"/>
  <c r="F23" i="103"/>
  <c r="E23" i="103"/>
  <c r="J23" i="103" s="1"/>
  <c r="D23" i="103"/>
  <c r="C23" i="103"/>
  <c r="B23" i="103"/>
  <c r="A23" i="103"/>
  <c r="XEO23" i="104"/>
  <c r="AQ23" i="104"/>
  <c r="XER23" i="104" s="1"/>
  <c r="AP23" i="104"/>
  <c r="AN23" i="104"/>
  <c r="G23" i="104" s="1"/>
  <c r="AM23" i="104"/>
  <c r="AO23" i="104" s="1"/>
  <c r="F23" i="104"/>
  <c r="E23" i="104"/>
  <c r="J23" i="104" s="1"/>
  <c r="D23" i="104"/>
  <c r="C23" i="104"/>
  <c r="B23" i="104"/>
  <c r="A23" i="104"/>
  <c r="XEO22" i="104"/>
  <c r="AQ22" i="104"/>
  <c r="XER22" i="104" s="1"/>
  <c r="AP22" i="104"/>
  <c r="AN22" i="104"/>
  <c r="G22" i="104" s="1"/>
  <c r="AM22" i="104"/>
  <c r="AO22" i="104" s="1"/>
  <c r="F22" i="104"/>
  <c r="E22" i="104"/>
  <c r="J22" i="104" s="1"/>
  <c r="D22" i="104"/>
  <c r="C22" i="104"/>
  <c r="B22" i="104"/>
  <c r="A22" i="104"/>
  <c r="XEQ22" i="103"/>
  <c r="XEO22" i="103"/>
  <c r="AQ22" i="103"/>
  <c r="XER22" i="103" s="1"/>
  <c r="AP22" i="103"/>
  <c r="AN22" i="103"/>
  <c r="G22" i="103" s="1"/>
  <c r="AM22" i="103"/>
  <c r="F22" i="103"/>
  <c r="E22" i="103"/>
  <c r="J22" i="103" s="1"/>
  <c r="D22" i="103"/>
  <c r="C22" i="103"/>
  <c r="B22" i="103"/>
  <c r="A22" i="103"/>
  <c r="AQ21" i="103"/>
  <c r="XER21" i="103" s="1"/>
  <c r="AP21" i="103"/>
  <c r="AN21" i="103"/>
  <c r="G21" i="103" s="1"/>
  <c r="AM21" i="103"/>
  <c r="F21" i="103"/>
  <c r="E21" i="103"/>
  <c r="J21" i="103" s="1"/>
  <c r="D21" i="103"/>
  <c r="C21" i="103"/>
  <c r="B21" i="103"/>
  <c r="A21" i="103"/>
  <c r="AR21" i="104"/>
  <c r="AQ21" i="104"/>
  <c r="XES21" i="104" s="1"/>
  <c r="AP21" i="104"/>
  <c r="AN21" i="104"/>
  <c r="G21" i="104" s="1"/>
  <c r="AM21" i="104"/>
  <c r="AO21" i="104" s="1"/>
  <c r="K21" i="104"/>
  <c r="F21" i="104"/>
  <c r="E21" i="104"/>
  <c r="J21" i="104" s="1"/>
  <c r="D21" i="104"/>
  <c r="C21" i="104"/>
  <c r="B21" i="104"/>
  <c r="A21" i="104"/>
  <c r="XEP21" i="105" l="1"/>
  <c r="XEQ21" i="105"/>
  <c r="XEP22" i="105"/>
  <c r="XEQ22" i="105"/>
  <c r="XER22" i="105"/>
  <c r="XER21" i="105"/>
  <c r="G28" i="103"/>
  <c r="XEQ28" i="103"/>
  <c r="XEO23" i="103"/>
  <c r="AO21" i="103"/>
  <c r="XEO21" i="103"/>
  <c r="AO22" i="103"/>
  <c r="AO24" i="103"/>
  <c r="XER36" i="102"/>
  <c r="XEP32" i="102"/>
  <c r="XEQ32" i="102"/>
  <c r="XER31" i="102"/>
  <c r="XEO31" i="102"/>
  <c r="XEP29" i="103"/>
  <c r="XEQ29" i="103"/>
  <c r="XER28" i="103"/>
  <c r="XEO28" i="105"/>
  <c r="XEO26" i="104"/>
  <c r="XEP26" i="104"/>
  <c r="XEQ26" i="104"/>
  <c r="XEP28" i="105"/>
  <c r="XEQ28" i="105"/>
  <c r="XEP25" i="104"/>
  <c r="XEQ25" i="104"/>
  <c r="XEO24" i="103"/>
  <c r="XEP24" i="103"/>
  <c r="XEQ24" i="103"/>
  <c r="XEP23" i="103"/>
  <c r="XEQ23" i="103"/>
  <c r="XEP23" i="104"/>
  <c r="XEQ23" i="104"/>
  <c r="XEP22" i="104"/>
  <c r="XEQ22" i="104"/>
  <c r="XEP22" i="103"/>
  <c r="XEP21" i="103"/>
  <c r="XEQ21" i="103"/>
  <c r="XEP21" i="104"/>
  <c r="XEQ21" i="104"/>
  <c r="XER21" i="104"/>
  <c r="A21" i="81"/>
  <c r="B21" i="81"/>
  <c r="C21" i="81"/>
  <c r="D21" i="81"/>
  <c r="E21" i="81"/>
  <c r="J21" i="81" s="1"/>
  <c r="F21" i="81"/>
  <c r="AM21" i="81"/>
  <c r="AO21" i="81" s="1"/>
  <c r="AN21" i="81"/>
  <c r="G21" i="81" s="1"/>
  <c r="AP21" i="81"/>
  <c r="AQ21" i="81"/>
  <c r="XEP21" i="81" s="1"/>
  <c r="XEO21" i="81"/>
  <c r="XER21" i="81"/>
  <c r="XEQ21" i="81" l="1"/>
  <c r="AQ27" i="81"/>
  <c r="XER27" i="81" s="1"/>
  <c r="AP27" i="81"/>
  <c r="AN27" i="81"/>
  <c r="G27" i="81" s="1"/>
  <c r="AM27" i="81"/>
  <c r="AO27" i="81" s="1"/>
  <c r="F27" i="81"/>
  <c r="E27" i="81"/>
  <c r="J27" i="81" s="1"/>
  <c r="D27" i="81"/>
  <c r="C27" i="81"/>
  <c r="B27" i="81"/>
  <c r="A27" i="81"/>
  <c r="AQ26" i="81"/>
  <c r="XER26" i="81" s="1"/>
  <c r="AP26" i="81"/>
  <c r="AN26" i="81"/>
  <c r="G26" i="81" s="1"/>
  <c r="AM26" i="81"/>
  <c r="AO26" i="81" s="1"/>
  <c r="F26" i="81"/>
  <c r="E26" i="81"/>
  <c r="J26" i="81" s="1"/>
  <c r="D26" i="81"/>
  <c r="C26" i="81"/>
  <c r="B26" i="81"/>
  <c r="A26" i="81"/>
  <c r="AQ24" i="81"/>
  <c r="XEQ24" i="81" s="1"/>
  <c r="AP24" i="81"/>
  <c r="AN24" i="81"/>
  <c r="G24" i="81" s="1"/>
  <c r="AM24" i="81"/>
  <c r="AO24" i="81" s="1"/>
  <c r="F24" i="81"/>
  <c r="E24" i="81"/>
  <c r="J24" i="81" s="1"/>
  <c r="D24" i="81"/>
  <c r="C24" i="81"/>
  <c r="B24" i="81"/>
  <c r="A24" i="81"/>
  <c r="AQ23" i="81"/>
  <c r="XER23" i="81" s="1"/>
  <c r="AP23" i="81"/>
  <c r="AN23" i="81"/>
  <c r="G23" i="81" s="1"/>
  <c r="AM23" i="81"/>
  <c r="F23" i="81"/>
  <c r="E23" i="81"/>
  <c r="J23" i="81" s="1"/>
  <c r="D23" i="81"/>
  <c r="C23" i="81"/>
  <c r="B23" i="81"/>
  <c r="A23" i="81"/>
  <c r="AO23" i="81" l="1"/>
  <c r="XEO26" i="81"/>
  <c r="XEO27" i="81"/>
  <c r="XEP27" i="81"/>
  <c r="XEQ27" i="81"/>
  <c r="XEP26" i="81"/>
  <c r="XEQ26" i="81"/>
  <c r="XEO23" i="81"/>
  <c r="XEQ23" i="81"/>
  <c r="XEO24" i="81"/>
  <c r="XEP24" i="81"/>
  <c r="XER24" i="81"/>
  <c r="XEP23" i="81"/>
  <c r="AQ55" i="81" l="1"/>
  <c r="AP55" i="81"/>
  <c r="AN55" i="81"/>
  <c r="G55" i="81" s="1"/>
  <c r="AM55" i="81"/>
  <c r="F55" i="81"/>
  <c r="E55" i="81"/>
  <c r="J55" i="81" s="1"/>
  <c r="D55" i="81"/>
  <c r="C55" i="81"/>
  <c r="B55" i="81"/>
  <c r="AQ28" i="81"/>
  <c r="XER28" i="81" s="1"/>
  <c r="AP28" i="81"/>
  <c r="AN28" i="81"/>
  <c r="G28" i="81" s="1"/>
  <c r="AO28" i="81"/>
  <c r="F28" i="81"/>
  <c r="E28" i="81"/>
  <c r="J28" i="81" s="1"/>
  <c r="D28" i="81"/>
  <c r="C28" i="81"/>
  <c r="B28" i="81"/>
  <c r="A28" i="81"/>
  <c r="AQ25" i="81"/>
  <c r="XER25" i="81" s="1"/>
  <c r="AP25" i="81"/>
  <c r="AN25" i="81"/>
  <c r="G25" i="81" s="1"/>
  <c r="AM25" i="81"/>
  <c r="F25" i="81"/>
  <c r="E25" i="81"/>
  <c r="J25" i="81" s="1"/>
  <c r="D25" i="81"/>
  <c r="C25" i="81"/>
  <c r="B25" i="81"/>
  <c r="A25" i="81"/>
  <c r="XER55" i="81" l="1"/>
  <c r="AO55" i="81"/>
  <c r="XEO55" i="81"/>
  <c r="XEP55" i="81"/>
  <c r="XEQ55" i="81"/>
  <c r="XEP28" i="81"/>
  <c r="XEQ28" i="81"/>
  <c r="AO25" i="81"/>
  <c r="XEO28" i="81"/>
  <c r="XEO25" i="81"/>
  <c r="XEP25" i="81"/>
  <c r="XEQ25" i="81"/>
  <c r="AP14" i="81" l="1"/>
  <c r="D262" i="6" l="1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9" i="105" l="1"/>
  <c r="D9" i="104"/>
  <c r="D9" i="103"/>
  <c r="D9" i="102"/>
  <c r="D9" i="101"/>
  <c r="D9" i="81"/>
  <c r="D2" i="99"/>
  <c r="B12" i="106"/>
  <c r="B11" i="106"/>
  <c r="B10" i="106"/>
  <c r="B9" i="106"/>
  <c r="B8" i="106"/>
  <c r="B7" i="106"/>
  <c r="B12" i="99"/>
  <c r="B11" i="99"/>
  <c r="B10" i="99"/>
  <c r="B9" i="99"/>
  <c r="B8" i="99"/>
  <c r="B7" i="99"/>
  <c r="D5" i="81"/>
  <c r="AQ15" i="105" l="1"/>
  <c r="AQ16" i="105"/>
  <c r="AQ17" i="105"/>
  <c r="AQ18" i="105"/>
  <c r="AQ19" i="105"/>
  <c r="AQ23" i="105"/>
  <c r="AQ24" i="105"/>
  <c r="AQ25" i="105"/>
  <c r="AQ26" i="105"/>
  <c r="AQ27" i="105"/>
  <c r="AQ29" i="105"/>
  <c r="AQ30" i="105"/>
  <c r="AQ31" i="105"/>
  <c r="AQ32" i="105"/>
  <c r="AQ33" i="105"/>
  <c r="AQ34" i="105"/>
  <c r="AQ35" i="105"/>
  <c r="AQ36" i="105"/>
  <c r="AQ37" i="105"/>
  <c r="AQ38" i="105"/>
  <c r="AQ39" i="105"/>
  <c r="AQ40" i="105"/>
  <c r="AQ41" i="105"/>
  <c r="AQ42" i="105"/>
  <c r="AQ43" i="105"/>
  <c r="AQ44" i="105"/>
  <c r="AQ45" i="105"/>
  <c r="AQ46" i="105"/>
  <c r="AQ47" i="105"/>
  <c r="AQ48" i="105"/>
  <c r="AQ49" i="105"/>
  <c r="AQ50" i="105"/>
  <c r="AQ51" i="105"/>
  <c r="AQ52" i="105"/>
  <c r="AQ53" i="105"/>
  <c r="AQ54" i="105"/>
  <c r="AQ55" i="105"/>
  <c r="AQ56" i="105"/>
  <c r="AQ57" i="105"/>
  <c r="AQ58" i="105"/>
  <c r="AQ59" i="105"/>
  <c r="AQ60" i="105"/>
  <c r="AQ61" i="105"/>
  <c r="AQ62" i="105"/>
  <c r="AQ63" i="105"/>
  <c r="AQ64" i="105"/>
  <c r="AQ65" i="105"/>
  <c r="AQ66" i="105"/>
  <c r="AQ67" i="105"/>
  <c r="AQ68" i="105"/>
  <c r="AQ69" i="105"/>
  <c r="AQ70" i="105"/>
  <c r="AQ71" i="105"/>
  <c r="AQ72" i="105"/>
  <c r="AQ73" i="105"/>
  <c r="AQ74" i="105"/>
  <c r="AQ75" i="105"/>
  <c r="AQ76" i="105"/>
  <c r="AQ77" i="105"/>
  <c r="AQ78" i="105"/>
  <c r="AQ79" i="105"/>
  <c r="AQ80" i="105"/>
  <c r="AQ81" i="105"/>
  <c r="AQ82" i="105"/>
  <c r="AQ83" i="105"/>
  <c r="AQ84" i="105"/>
  <c r="AQ85" i="105"/>
  <c r="AQ86" i="105"/>
  <c r="AQ87" i="105"/>
  <c r="AQ88" i="105"/>
  <c r="AQ89" i="105"/>
  <c r="AQ90" i="105"/>
  <c r="AQ91" i="105"/>
  <c r="AQ92" i="105"/>
  <c r="AQ93" i="105"/>
  <c r="AQ94" i="105"/>
  <c r="AQ95" i="105"/>
  <c r="AQ96" i="105"/>
  <c r="AQ14" i="105"/>
  <c r="AQ15" i="104"/>
  <c r="AQ16" i="104"/>
  <c r="AQ17" i="104"/>
  <c r="AQ18" i="104"/>
  <c r="AQ19" i="104"/>
  <c r="AQ20" i="104"/>
  <c r="AQ24" i="104"/>
  <c r="AQ27" i="104"/>
  <c r="AQ28" i="104"/>
  <c r="AQ29" i="104"/>
  <c r="AQ30" i="104"/>
  <c r="AQ31" i="104"/>
  <c r="AQ32" i="104"/>
  <c r="AQ33" i="104"/>
  <c r="AQ34" i="104"/>
  <c r="AQ35" i="104"/>
  <c r="AQ36" i="104"/>
  <c r="AQ37" i="104"/>
  <c r="AQ38" i="104"/>
  <c r="AQ39" i="104"/>
  <c r="AQ40" i="104"/>
  <c r="AQ41" i="104"/>
  <c r="AQ42" i="104"/>
  <c r="AQ43" i="104"/>
  <c r="AQ44" i="104"/>
  <c r="AQ45" i="104"/>
  <c r="AQ46" i="104"/>
  <c r="AQ47" i="104"/>
  <c r="AQ48" i="104"/>
  <c r="AQ49" i="104"/>
  <c r="AQ50" i="104"/>
  <c r="AQ51" i="104"/>
  <c r="AQ52" i="104"/>
  <c r="AQ53" i="104"/>
  <c r="AQ54" i="104"/>
  <c r="AQ55" i="104"/>
  <c r="AQ56" i="104"/>
  <c r="AQ57" i="104"/>
  <c r="AQ58" i="104"/>
  <c r="AQ59" i="104"/>
  <c r="AQ60" i="104"/>
  <c r="AQ61" i="104"/>
  <c r="AQ62" i="104"/>
  <c r="AQ63" i="104"/>
  <c r="AQ64" i="104"/>
  <c r="AQ65" i="104"/>
  <c r="AQ66" i="104"/>
  <c r="AQ67" i="104"/>
  <c r="AQ68" i="104"/>
  <c r="AQ69" i="104"/>
  <c r="AQ70" i="104"/>
  <c r="AQ71" i="104"/>
  <c r="AQ72" i="104"/>
  <c r="AQ73" i="104"/>
  <c r="AQ74" i="104"/>
  <c r="AQ75" i="104"/>
  <c r="AQ76" i="104"/>
  <c r="AQ77" i="104"/>
  <c r="AQ78" i="104"/>
  <c r="AQ79" i="104"/>
  <c r="AQ80" i="104"/>
  <c r="AQ81" i="104"/>
  <c r="AQ82" i="104"/>
  <c r="AQ83" i="104"/>
  <c r="AQ84" i="104"/>
  <c r="AQ85" i="104"/>
  <c r="AQ86" i="104"/>
  <c r="AQ87" i="104"/>
  <c r="AQ88" i="104"/>
  <c r="AQ89" i="104"/>
  <c r="AQ90" i="104"/>
  <c r="AQ91" i="104"/>
  <c r="AQ92" i="104"/>
  <c r="AQ93" i="104"/>
  <c r="AQ14" i="104"/>
  <c r="AQ15" i="103"/>
  <c r="AQ16" i="103"/>
  <c r="AQ17" i="103"/>
  <c r="AQ18" i="103"/>
  <c r="AQ19" i="103"/>
  <c r="AQ20" i="103"/>
  <c r="AQ25" i="103"/>
  <c r="AQ26" i="103"/>
  <c r="AQ30" i="103"/>
  <c r="AQ31" i="103"/>
  <c r="AQ32" i="103"/>
  <c r="AQ33" i="103"/>
  <c r="AQ34" i="103"/>
  <c r="AQ35" i="103"/>
  <c r="AQ36" i="103"/>
  <c r="AQ37" i="103"/>
  <c r="AQ38" i="103"/>
  <c r="AQ39" i="103"/>
  <c r="AQ40" i="103"/>
  <c r="AQ41" i="103"/>
  <c r="AQ42" i="103"/>
  <c r="AQ43" i="103"/>
  <c r="AQ44" i="103"/>
  <c r="AQ45" i="103"/>
  <c r="AQ46" i="103"/>
  <c r="AQ47" i="103"/>
  <c r="AQ48" i="103"/>
  <c r="AQ49" i="103"/>
  <c r="AQ50" i="103"/>
  <c r="AQ51" i="103"/>
  <c r="AQ52" i="103"/>
  <c r="AQ53" i="103"/>
  <c r="AQ54" i="103"/>
  <c r="AQ55" i="103"/>
  <c r="AQ56" i="103"/>
  <c r="AQ57" i="103"/>
  <c r="AQ58" i="103"/>
  <c r="AQ59" i="103"/>
  <c r="AQ60" i="103"/>
  <c r="AQ61" i="103"/>
  <c r="AQ62" i="103"/>
  <c r="AQ63" i="103"/>
  <c r="AQ64" i="103"/>
  <c r="AQ65" i="103"/>
  <c r="AQ66" i="103"/>
  <c r="AQ67" i="103"/>
  <c r="AQ68" i="103"/>
  <c r="AQ69" i="103"/>
  <c r="AQ70" i="103"/>
  <c r="AQ71" i="103"/>
  <c r="AQ72" i="103"/>
  <c r="AQ73" i="103"/>
  <c r="AQ74" i="103"/>
  <c r="AQ75" i="103"/>
  <c r="AQ76" i="103"/>
  <c r="AQ77" i="103"/>
  <c r="AQ78" i="103"/>
  <c r="AQ79" i="103"/>
  <c r="AQ80" i="103"/>
  <c r="AQ81" i="103"/>
  <c r="AQ82" i="103"/>
  <c r="AQ83" i="103"/>
  <c r="AQ84" i="103"/>
  <c r="AQ85" i="103"/>
  <c r="AQ86" i="103"/>
  <c r="AQ87" i="103"/>
  <c r="AQ88" i="103"/>
  <c r="AQ89" i="103"/>
  <c r="AQ90" i="103"/>
  <c r="AQ91" i="103"/>
  <c r="AQ92" i="103"/>
  <c r="AQ93" i="103"/>
  <c r="AQ94" i="103"/>
  <c r="AQ14" i="103"/>
  <c r="AQ15" i="102"/>
  <c r="AQ16" i="102"/>
  <c r="AQ17" i="102"/>
  <c r="AQ18" i="102"/>
  <c r="AQ19" i="102"/>
  <c r="AQ20" i="102"/>
  <c r="AQ22" i="102"/>
  <c r="AQ23" i="102"/>
  <c r="AQ24" i="102"/>
  <c r="AQ25" i="102"/>
  <c r="AQ26" i="102"/>
  <c r="AQ27" i="102"/>
  <c r="AQ28" i="102"/>
  <c r="AQ29" i="102"/>
  <c r="AQ30" i="102"/>
  <c r="AQ33" i="102"/>
  <c r="AQ34" i="102"/>
  <c r="AQ35" i="102"/>
  <c r="AQ37" i="102"/>
  <c r="AQ38" i="102"/>
  <c r="AQ39" i="102"/>
  <c r="AQ40" i="102"/>
  <c r="AQ41" i="102"/>
  <c r="AQ42" i="102"/>
  <c r="AQ43" i="102"/>
  <c r="AQ44" i="102"/>
  <c r="AQ45" i="102"/>
  <c r="AQ46" i="102"/>
  <c r="AQ47" i="102"/>
  <c r="AQ48" i="102"/>
  <c r="AQ49" i="102"/>
  <c r="AQ50" i="102"/>
  <c r="AQ51" i="102"/>
  <c r="AQ52" i="102"/>
  <c r="AQ53" i="102"/>
  <c r="AQ54" i="102"/>
  <c r="AQ55" i="102"/>
  <c r="AQ56" i="102"/>
  <c r="AQ57" i="102"/>
  <c r="AQ58" i="102"/>
  <c r="AQ59" i="102"/>
  <c r="AQ60" i="102"/>
  <c r="AQ61" i="102"/>
  <c r="AQ62" i="102"/>
  <c r="AQ63" i="102"/>
  <c r="AQ64" i="102"/>
  <c r="AQ65" i="102"/>
  <c r="AQ66" i="102"/>
  <c r="AQ67" i="102"/>
  <c r="AQ68" i="102"/>
  <c r="AQ69" i="102"/>
  <c r="AQ70" i="102"/>
  <c r="AQ71" i="102"/>
  <c r="AQ72" i="102"/>
  <c r="AQ73" i="102"/>
  <c r="AQ74" i="102"/>
  <c r="AQ75" i="102"/>
  <c r="AQ76" i="102"/>
  <c r="AQ77" i="102"/>
  <c r="AQ78" i="102"/>
  <c r="AQ79" i="102"/>
  <c r="AQ80" i="102"/>
  <c r="AQ81" i="102"/>
  <c r="AQ82" i="102"/>
  <c r="AQ83" i="102"/>
  <c r="AQ84" i="102"/>
  <c r="AQ85" i="102"/>
  <c r="AQ86" i="102"/>
  <c r="AQ87" i="102"/>
  <c r="AQ88" i="102"/>
  <c r="AQ89" i="102"/>
  <c r="AQ90" i="102"/>
  <c r="AQ91" i="102"/>
  <c r="AQ92" i="102"/>
  <c r="AQ93" i="102"/>
  <c r="AQ94" i="102"/>
  <c r="AQ14" i="102"/>
  <c r="AQ15" i="101"/>
  <c r="AQ16" i="101"/>
  <c r="AQ17" i="101"/>
  <c r="AQ18" i="101"/>
  <c r="AQ19" i="101"/>
  <c r="AQ20" i="101"/>
  <c r="AQ21" i="101"/>
  <c r="AQ22" i="101"/>
  <c r="AQ23" i="101"/>
  <c r="AQ24" i="101"/>
  <c r="AQ26" i="101"/>
  <c r="AQ27" i="101"/>
  <c r="AQ28" i="101"/>
  <c r="AQ29" i="101"/>
  <c r="AQ30" i="101"/>
  <c r="AQ31" i="101"/>
  <c r="AQ32" i="101"/>
  <c r="AQ33" i="101"/>
  <c r="AQ34" i="101"/>
  <c r="AQ35" i="101"/>
  <c r="AQ36" i="101"/>
  <c r="AQ37" i="101"/>
  <c r="AQ38" i="101"/>
  <c r="AQ39" i="101"/>
  <c r="AQ40" i="101"/>
  <c r="AQ41" i="101"/>
  <c r="AQ42" i="101"/>
  <c r="AQ43" i="101"/>
  <c r="AQ44" i="101"/>
  <c r="AQ45" i="101"/>
  <c r="AQ46" i="101"/>
  <c r="AQ47" i="101"/>
  <c r="AQ48" i="101"/>
  <c r="AQ49" i="101"/>
  <c r="AQ50" i="101"/>
  <c r="AQ51" i="101"/>
  <c r="AQ52" i="101"/>
  <c r="AQ53" i="101"/>
  <c r="AQ54" i="101"/>
  <c r="AQ55" i="101"/>
  <c r="AQ56" i="101"/>
  <c r="AQ57" i="101"/>
  <c r="AQ58" i="101"/>
  <c r="AQ59" i="101"/>
  <c r="AQ60" i="101"/>
  <c r="AQ61" i="101"/>
  <c r="AQ62" i="101"/>
  <c r="AQ63" i="101"/>
  <c r="AQ64" i="101"/>
  <c r="AQ65" i="101"/>
  <c r="AQ66" i="101"/>
  <c r="AQ67" i="101"/>
  <c r="AQ68" i="101"/>
  <c r="AQ69" i="101"/>
  <c r="AQ70" i="101"/>
  <c r="AQ71" i="101"/>
  <c r="AQ72" i="101"/>
  <c r="AQ73" i="101"/>
  <c r="AQ74" i="101"/>
  <c r="AQ75" i="101"/>
  <c r="AQ76" i="101"/>
  <c r="AQ77" i="101"/>
  <c r="AQ78" i="101"/>
  <c r="AQ79" i="101"/>
  <c r="AQ80" i="101"/>
  <c r="AQ81" i="101"/>
  <c r="AQ82" i="101"/>
  <c r="AQ83" i="101"/>
  <c r="AQ84" i="101"/>
  <c r="AQ85" i="101"/>
  <c r="AQ86" i="101"/>
  <c r="AQ87" i="101"/>
  <c r="AQ88" i="101"/>
  <c r="AQ89" i="101"/>
  <c r="AQ90" i="101"/>
  <c r="AQ91" i="101"/>
  <c r="AQ92" i="101"/>
  <c r="AQ93" i="101"/>
  <c r="AQ94" i="101"/>
  <c r="AQ95" i="101"/>
  <c r="AQ96" i="101"/>
  <c r="AQ97" i="101"/>
  <c r="AQ98" i="101"/>
  <c r="AQ99" i="101"/>
  <c r="AQ100" i="101"/>
  <c r="AQ101" i="101"/>
  <c r="AQ14" i="101"/>
  <c r="AQ15" i="81"/>
  <c r="AQ16" i="81"/>
  <c r="AQ17" i="81"/>
  <c r="AQ18" i="81"/>
  <c r="AQ19" i="81"/>
  <c r="AQ20" i="81"/>
  <c r="AQ22" i="81"/>
  <c r="AQ29" i="81"/>
  <c r="AQ30" i="81"/>
  <c r="AQ31" i="81"/>
  <c r="AQ32" i="81"/>
  <c r="AQ33" i="81"/>
  <c r="AQ34" i="81"/>
  <c r="AQ35" i="81"/>
  <c r="AQ36" i="81"/>
  <c r="AQ37" i="81"/>
  <c r="AQ38" i="81"/>
  <c r="AQ41" i="81"/>
  <c r="AQ42" i="81"/>
  <c r="AQ43" i="81"/>
  <c r="AQ44" i="81"/>
  <c r="AQ45" i="81"/>
  <c r="AQ46" i="81"/>
  <c r="AQ47" i="81"/>
  <c r="AQ48" i="81"/>
  <c r="AQ49" i="81"/>
  <c r="AQ50" i="81"/>
  <c r="AQ51" i="81"/>
  <c r="AQ52" i="81"/>
  <c r="AQ53" i="81"/>
  <c r="AQ54" i="81"/>
  <c r="AQ58" i="81"/>
  <c r="AQ59" i="81"/>
  <c r="AQ60" i="81"/>
  <c r="AQ61" i="81"/>
  <c r="AQ62" i="81"/>
  <c r="AQ63" i="81"/>
  <c r="AQ64" i="81"/>
  <c r="AQ65" i="81"/>
  <c r="AQ66" i="81"/>
  <c r="AQ67" i="81"/>
  <c r="AQ68" i="81"/>
  <c r="AQ69" i="81"/>
  <c r="AQ70" i="81"/>
  <c r="AQ71" i="81"/>
  <c r="AQ72" i="81"/>
  <c r="AQ73" i="81"/>
  <c r="AQ74" i="81"/>
  <c r="AQ75" i="81"/>
  <c r="AQ76" i="81"/>
  <c r="AQ77" i="81"/>
  <c r="AQ78" i="81"/>
  <c r="AQ79" i="81"/>
  <c r="AQ80" i="81"/>
  <c r="AQ81" i="81"/>
  <c r="AQ82" i="81"/>
  <c r="AQ83" i="81"/>
  <c r="AQ84" i="81"/>
  <c r="AQ85" i="81"/>
  <c r="AQ86" i="81"/>
  <c r="AQ87" i="81"/>
  <c r="AQ88" i="81"/>
  <c r="AQ89" i="81"/>
  <c r="AQ90" i="81"/>
  <c r="AQ91" i="81"/>
  <c r="AQ92" i="81"/>
  <c r="AQ93" i="81"/>
  <c r="AQ94" i="81"/>
  <c r="AQ95" i="81"/>
  <c r="AQ96" i="81"/>
  <c r="AQ97" i="81"/>
  <c r="AQ98" i="81"/>
  <c r="AQ99" i="81"/>
  <c r="AQ100" i="81"/>
  <c r="AQ101" i="81"/>
  <c r="AQ102" i="81"/>
  <c r="AQ103" i="81"/>
  <c r="AQ104" i="81"/>
  <c r="AQ105" i="81"/>
  <c r="AQ106" i="81"/>
  <c r="AQ107" i="81"/>
  <c r="AQ108" i="81"/>
  <c r="AQ109" i="81"/>
  <c r="AQ110" i="81"/>
  <c r="AQ111" i="81"/>
  <c r="AQ112" i="81"/>
  <c r="AQ113" i="81"/>
  <c r="AQ114" i="81"/>
  <c r="AQ115" i="81"/>
  <c r="AQ116" i="81"/>
  <c r="AQ117" i="81"/>
  <c r="AQ118" i="81"/>
  <c r="AQ119" i="81"/>
  <c r="AQ120" i="81"/>
  <c r="AQ121" i="81"/>
  <c r="AQ122" i="81"/>
  <c r="AQ123" i="81"/>
  <c r="AQ124" i="81"/>
  <c r="AQ125" i="81"/>
  <c r="AQ126" i="81"/>
  <c r="AQ127" i="81"/>
  <c r="AQ128" i="81"/>
  <c r="AQ129" i="81"/>
  <c r="AQ130" i="81"/>
  <c r="AQ131" i="81"/>
  <c r="AQ132" i="81"/>
  <c r="AQ133" i="81"/>
  <c r="AQ134" i="81"/>
  <c r="AQ135" i="81"/>
  <c r="AQ136" i="81"/>
  <c r="AQ137" i="81"/>
  <c r="AQ138" i="81"/>
  <c r="AQ139" i="81"/>
  <c r="AQ140" i="81"/>
  <c r="AQ141" i="81"/>
  <c r="AQ142" i="81"/>
  <c r="AQ143" i="81"/>
  <c r="AQ144" i="81"/>
  <c r="AQ145" i="81"/>
  <c r="AQ146" i="81"/>
  <c r="AQ147" i="81"/>
  <c r="AQ148" i="81"/>
  <c r="AQ149" i="81"/>
  <c r="AQ150" i="81"/>
  <c r="AQ151" i="81"/>
  <c r="AQ152" i="81"/>
  <c r="AQ153" i="81"/>
  <c r="AQ154" i="81"/>
  <c r="AQ155" i="81"/>
  <c r="AQ156" i="81"/>
  <c r="AQ157" i="81"/>
  <c r="AQ158" i="81"/>
  <c r="AQ159" i="81"/>
  <c r="AQ160" i="81"/>
  <c r="AQ161" i="81"/>
  <c r="AQ162" i="81"/>
  <c r="AQ163" i="81"/>
  <c r="AQ164" i="81"/>
  <c r="AQ165" i="81"/>
  <c r="AQ166" i="81"/>
  <c r="AQ167" i="81"/>
  <c r="AQ168" i="81"/>
  <c r="AQ169" i="81"/>
  <c r="AQ170" i="81"/>
  <c r="AQ171" i="81"/>
  <c r="AQ172" i="81"/>
  <c r="AQ173" i="81"/>
  <c r="AQ174" i="81"/>
  <c r="AQ175" i="81"/>
  <c r="AQ176" i="81"/>
  <c r="AQ177" i="81"/>
  <c r="AQ178" i="81"/>
  <c r="AQ179" i="81"/>
  <c r="AQ180" i="81"/>
  <c r="AQ181" i="81"/>
  <c r="AQ182" i="81"/>
  <c r="AQ183" i="81"/>
  <c r="AQ184" i="81"/>
  <c r="AQ185" i="81"/>
  <c r="AQ186" i="81"/>
  <c r="AQ187" i="81"/>
  <c r="AQ188" i="81"/>
  <c r="AQ189" i="81"/>
  <c r="AQ190" i="81"/>
  <c r="AQ191" i="81"/>
  <c r="AQ192" i="81"/>
  <c r="AQ193" i="81"/>
  <c r="AQ194" i="81"/>
  <c r="AQ195" i="81"/>
  <c r="AQ196" i="81"/>
  <c r="AQ197" i="81"/>
  <c r="AQ198" i="81"/>
  <c r="AQ199" i="81"/>
  <c r="AQ200" i="81"/>
  <c r="AQ201" i="81"/>
  <c r="AQ202" i="81"/>
  <c r="AQ203" i="81"/>
  <c r="AQ204" i="81"/>
  <c r="AQ205" i="81"/>
  <c r="AQ206" i="81"/>
  <c r="AQ207" i="81"/>
  <c r="AQ208" i="81"/>
  <c r="AQ209" i="81"/>
  <c r="AQ210" i="81"/>
  <c r="AQ211" i="81"/>
  <c r="AQ212" i="81"/>
  <c r="AQ213" i="81"/>
  <c r="AQ214" i="81"/>
  <c r="AQ215" i="81"/>
  <c r="AQ216" i="81"/>
  <c r="AQ217" i="81"/>
  <c r="AQ218" i="81"/>
  <c r="AQ219" i="81"/>
  <c r="AQ220" i="81"/>
  <c r="AQ221" i="81"/>
  <c r="AQ222" i="81"/>
  <c r="AQ223" i="81"/>
  <c r="AQ224" i="81"/>
  <c r="AQ225" i="81"/>
  <c r="AQ226" i="81"/>
  <c r="AQ227" i="81"/>
  <c r="AQ14" i="81"/>
  <c r="AP101" i="101" l="1"/>
  <c r="AN101" i="101"/>
  <c r="G101" i="101" s="1"/>
  <c r="AM101" i="101"/>
  <c r="AO101" i="101" s="1"/>
  <c r="K101" i="101"/>
  <c r="F101" i="101"/>
  <c r="E101" i="101"/>
  <c r="J101" i="101" s="1"/>
  <c r="D101" i="101"/>
  <c r="C101" i="101"/>
  <c r="B101" i="101"/>
  <c r="A101" i="101"/>
  <c r="AR103" i="105"/>
  <c r="AR102" i="105"/>
  <c r="AR101" i="105"/>
  <c r="AR100" i="105"/>
  <c r="AR99" i="105"/>
  <c r="AR98" i="105"/>
  <c r="AR97" i="105"/>
  <c r="AR96" i="105"/>
  <c r="AR95" i="105"/>
  <c r="AR94" i="105"/>
  <c r="AR93" i="105"/>
  <c r="AR92" i="105"/>
  <c r="AR91" i="105"/>
  <c r="AR90" i="105"/>
  <c r="AR89" i="105"/>
  <c r="AR88" i="105"/>
  <c r="AR87" i="105"/>
  <c r="AR86" i="105"/>
  <c r="AR85" i="105"/>
  <c r="AR84" i="105"/>
  <c r="AR83" i="105"/>
  <c r="AR82" i="105"/>
  <c r="AR81" i="105"/>
  <c r="AR80" i="105"/>
  <c r="AR79" i="105"/>
  <c r="AR78" i="105"/>
  <c r="AR77" i="105"/>
  <c r="AR76" i="105"/>
  <c r="AR75" i="105"/>
  <c r="AR74" i="105"/>
  <c r="AR73" i="105"/>
  <c r="AR72" i="105"/>
  <c r="AR71" i="105"/>
  <c r="AR70" i="105"/>
  <c r="AR69" i="105"/>
  <c r="AR68" i="105"/>
  <c r="AR67" i="105"/>
  <c r="AR66" i="105"/>
  <c r="AR65" i="105"/>
  <c r="AR64" i="105"/>
  <c r="AR63" i="105"/>
  <c r="AR62" i="105"/>
  <c r="AR61" i="105"/>
  <c r="AR60" i="105"/>
  <c r="AR59" i="105"/>
  <c r="AR58" i="105"/>
  <c r="AR57" i="105"/>
  <c r="AR56" i="105"/>
  <c r="AR55" i="105"/>
  <c r="AR54" i="105"/>
  <c r="AR53" i="105"/>
  <c r="AR52" i="105"/>
  <c r="AR51" i="105"/>
  <c r="AR50" i="105"/>
  <c r="AR49" i="105"/>
  <c r="AR48" i="105"/>
  <c r="AR47" i="105"/>
  <c r="AR46" i="105"/>
  <c r="AR45" i="105"/>
  <c r="AR44" i="105"/>
  <c r="AR43" i="105"/>
  <c r="AR42" i="105"/>
  <c r="AR41" i="105"/>
  <c r="AR40" i="105"/>
  <c r="AR39" i="105"/>
  <c r="AR38" i="105"/>
  <c r="AR37" i="105"/>
  <c r="AR36" i="105"/>
  <c r="AR35" i="105"/>
  <c r="AR34" i="105"/>
  <c r="AR33" i="105"/>
  <c r="AR32" i="105"/>
  <c r="AR31" i="105"/>
  <c r="AR30" i="105"/>
  <c r="AR29" i="105"/>
  <c r="AR27" i="105"/>
  <c r="AR26" i="105"/>
  <c r="AR25" i="105"/>
  <c r="AR24" i="105"/>
  <c r="AR23" i="105"/>
  <c r="AR19" i="105"/>
  <c r="AR18" i="105"/>
  <c r="AR17" i="105"/>
  <c r="AR16" i="105"/>
  <c r="AR15" i="105"/>
  <c r="AR14" i="105"/>
  <c r="AR100" i="104"/>
  <c r="AR99" i="104"/>
  <c r="AR98" i="104"/>
  <c r="AR97" i="104"/>
  <c r="AR96" i="104"/>
  <c r="AR95" i="104"/>
  <c r="AR94" i="104"/>
  <c r="AR93" i="104"/>
  <c r="AR92" i="104"/>
  <c r="AR91" i="104"/>
  <c r="AR90" i="104"/>
  <c r="AR89" i="104"/>
  <c r="AR88" i="104"/>
  <c r="AR87" i="104"/>
  <c r="AR86" i="104"/>
  <c r="AR85" i="104"/>
  <c r="AR84" i="104"/>
  <c r="AR83" i="104"/>
  <c r="AR82" i="104"/>
  <c r="AR81" i="104"/>
  <c r="AR80" i="104"/>
  <c r="AR79" i="104"/>
  <c r="AR78" i="104"/>
  <c r="AR77" i="104"/>
  <c r="AR76" i="104"/>
  <c r="AR75" i="104"/>
  <c r="AR74" i="104"/>
  <c r="AR73" i="104"/>
  <c r="AR72" i="104"/>
  <c r="AR71" i="104"/>
  <c r="AR70" i="104"/>
  <c r="AR69" i="104"/>
  <c r="AR68" i="104"/>
  <c r="AR67" i="104"/>
  <c r="AR66" i="104"/>
  <c r="AR65" i="104"/>
  <c r="AR64" i="104"/>
  <c r="AR63" i="104"/>
  <c r="AR62" i="104"/>
  <c r="AR61" i="104"/>
  <c r="AR60" i="104"/>
  <c r="AR59" i="104"/>
  <c r="AR58" i="104"/>
  <c r="AR57" i="104"/>
  <c r="AR56" i="104"/>
  <c r="AR55" i="104"/>
  <c r="AR54" i="104"/>
  <c r="AR53" i="104"/>
  <c r="AR52" i="104"/>
  <c r="AR51" i="104"/>
  <c r="AR50" i="104"/>
  <c r="AR49" i="104"/>
  <c r="AR48" i="104"/>
  <c r="AR47" i="104"/>
  <c r="AR46" i="104"/>
  <c r="AR45" i="104"/>
  <c r="AR44" i="104"/>
  <c r="AR43" i="104"/>
  <c r="AR42" i="104"/>
  <c r="AR41" i="104"/>
  <c r="AR40" i="104"/>
  <c r="AR39" i="104"/>
  <c r="AR38" i="104"/>
  <c r="AR37" i="104"/>
  <c r="AR36" i="104"/>
  <c r="AR35" i="104"/>
  <c r="AR34" i="104"/>
  <c r="AR33" i="104"/>
  <c r="AR32" i="104"/>
  <c r="AR31" i="104"/>
  <c r="AR30" i="104"/>
  <c r="AR29" i="104"/>
  <c r="AR28" i="104"/>
  <c r="AR27" i="104"/>
  <c r="AR24" i="104"/>
  <c r="AR20" i="104"/>
  <c r="AR19" i="104"/>
  <c r="AR18" i="104"/>
  <c r="AR17" i="104"/>
  <c r="AR16" i="104"/>
  <c r="AR15" i="104"/>
  <c r="AR14" i="104"/>
  <c r="AR101" i="103"/>
  <c r="AR100" i="103"/>
  <c r="AR99" i="103"/>
  <c r="AR98" i="103"/>
  <c r="AR97" i="103"/>
  <c r="AR96" i="103"/>
  <c r="AR95" i="103"/>
  <c r="AR94" i="103"/>
  <c r="AR93" i="103"/>
  <c r="AR92" i="103"/>
  <c r="AR91" i="103"/>
  <c r="AR90" i="103"/>
  <c r="AR89" i="103"/>
  <c r="AR88" i="103"/>
  <c r="AR87" i="103"/>
  <c r="AR86" i="103"/>
  <c r="AR85" i="103"/>
  <c r="AR84" i="103"/>
  <c r="AR83" i="103"/>
  <c r="AR82" i="103"/>
  <c r="AR81" i="103"/>
  <c r="AR80" i="103"/>
  <c r="AR79" i="103"/>
  <c r="AR78" i="103"/>
  <c r="AR77" i="103"/>
  <c r="AR76" i="103"/>
  <c r="AR75" i="103"/>
  <c r="AR74" i="103"/>
  <c r="AR73" i="103"/>
  <c r="AR72" i="103"/>
  <c r="AR71" i="103"/>
  <c r="AR70" i="103"/>
  <c r="AR69" i="103"/>
  <c r="AR68" i="103"/>
  <c r="AR67" i="103"/>
  <c r="AR66" i="103"/>
  <c r="AR65" i="103"/>
  <c r="AR64" i="103"/>
  <c r="AR63" i="103"/>
  <c r="AR62" i="103"/>
  <c r="AR61" i="103"/>
  <c r="AR60" i="103"/>
  <c r="AR59" i="103"/>
  <c r="AR58" i="103"/>
  <c r="AR57" i="103"/>
  <c r="AR56" i="103"/>
  <c r="AR55" i="103"/>
  <c r="AR54" i="103"/>
  <c r="AR53" i="103"/>
  <c r="AR52" i="103"/>
  <c r="AR51" i="103"/>
  <c r="AR50" i="103"/>
  <c r="AR49" i="103"/>
  <c r="AR48" i="103"/>
  <c r="AR47" i="103"/>
  <c r="AR46" i="103"/>
  <c r="AR45" i="103"/>
  <c r="AR44" i="103"/>
  <c r="AR43" i="103"/>
  <c r="AR42" i="103"/>
  <c r="AR41" i="103"/>
  <c r="AR40" i="103"/>
  <c r="AR39" i="103"/>
  <c r="AR38" i="103"/>
  <c r="AR37" i="103"/>
  <c r="AR36" i="103"/>
  <c r="AR35" i="103"/>
  <c r="AR34" i="103"/>
  <c r="AR33" i="103"/>
  <c r="AR32" i="103"/>
  <c r="AR31" i="103"/>
  <c r="AR30" i="103"/>
  <c r="AR26" i="103"/>
  <c r="AR25" i="103"/>
  <c r="AR20" i="103"/>
  <c r="AR19" i="103"/>
  <c r="AR18" i="103"/>
  <c r="AR17" i="103"/>
  <c r="AR16" i="103"/>
  <c r="AR15" i="103"/>
  <c r="AR14" i="103"/>
  <c r="AR101" i="102"/>
  <c r="AR100" i="102"/>
  <c r="AR99" i="102"/>
  <c r="AR98" i="102"/>
  <c r="AR97" i="102"/>
  <c r="AR96" i="102"/>
  <c r="AR95" i="102"/>
  <c r="AR94" i="102"/>
  <c r="AR93" i="102"/>
  <c r="AR92" i="102"/>
  <c r="AR91" i="102"/>
  <c r="AR90" i="102"/>
  <c r="AR89" i="102"/>
  <c r="AR88" i="102"/>
  <c r="AR87" i="102"/>
  <c r="AR86" i="102"/>
  <c r="AR85" i="102"/>
  <c r="AR84" i="102"/>
  <c r="AR83" i="102"/>
  <c r="AR82" i="102"/>
  <c r="AR81" i="102"/>
  <c r="AR80" i="102"/>
  <c r="AR79" i="102"/>
  <c r="AR78" i="102"/>
  <c r="AR77" i="102"/>
  <c r="AR76" i="102"/>
  <c r="AR75" i="102"/>
  <c r="AR74" i="102"/>
  <c r="AR73" i="102"/>
  <c r="AR72" i="102"/>
  <c r="AR71" i="102"/>
  <c r="AR70" i="102"/>
  <c r="AR69" i="102"/>
  <c r="AR68" i="102"/>
  <c r="AR67" i="102"/>
  <c r="AR66" i="102"/>
  <c r="AR65" i="102"/>
  <c r="AR64" i="102"/>
  <c r="AR63" i="102"/>
  <c r="AR62" i="102"/>
  <c r="AR61" i="102"/>
  <c r="AR60" i="102"/>
  <c r="AR59" i="102"/>
  <c r="AR58" i="102"/>
  <c r="AR57" i="102"/>
  <c r="AR56" i="102"/>
  <c r="AR55" i="102"/>
  <c r="AR54" i="102"/>
  <c r="AR53" i="102"/>
  <c r="AR52" i="102"/>
  <c r="AR51" i="102"/>
  <c r="AR50" i="102"/>
  <c r="AR49" i="102"/>
  <c r="AR48" i="102"/>
  <c r="AR47" i="102"/>
  <c r="AR46" i="102"/>
  <c r="AR45" i="102"/>
  <c r="AR44" i="102"/>
  <c r="AR43" i="102"/>
  <c r="AR42" i="102"/>
  <c r="AR41" i="102"/>
  <c r="AR40" i="102"/>
  <c r="AR39" i="102"/>
  <c r="AR38" i="102"/>
  <c r="AR37" i="102"/>
  <c r="AR35" i="102"/>
  <c r="AR34" i="102"/>
  <c r="AR33" i="102"/>
  <c r="AR30" i="102"/>
  <c r="AR29" i="102"/>
  <c r="AR28" i="102"/>
  <c r="AR27" i="102"/>
  <c r="AR26" i="102"/>
  <c r="AR25" i="102"/>
  <c r="AR24" i="102"/>
  <c r="AR23" i="102"/>
  <c r="AR22" i="102"/>
  <c r="AR20" i="102"/>
  <c r="AR19" i="102"/>
  <c r="AR18" i="102"/>
  <c r="AR17" i="102"/>
  <c r="AR16" i="102"/>
  <c r="AR15" i="102"/>
  <c r="AR14" i="102"/>
  <c r="XER111" i="81"/>
  <c r="AP111" i="81"/>
  <c r="AN111" i="81"/>
  <c r="G111" i="81" s="1"/>
  <c r="AM111" i="81"/>
  <c r="AO111" i="81" s="1"/>
  <c r="F111" i="81"/>
  <c r="E111" i="81"/>
  <c r="J111" i="81" s="1"/>
  <c r="D111" i="81"/>
  <c r="C111" i="81"/>
  <c r="B111" i="81"/>
  <c r="A111" i="81"/>
  <c r="XER110" i="81"/>
  <c r="AP110" i="81"/>
  <c r="AN110" i="81"/>
  <c r="G110" i="81" s="1"/>
  <c r="AM110" i="81"/>
  <c r="AO110" i="81" s="1"/>
  <c r="F110" i="81"/>
  <c r="E110" i="81"/>
  <c r="J110" i="81" s="1"/>
  <c r="D110" i="81"/>
  <c r="C110" i="81"/>
  <c r="B110" i="81"/>
  <c r="A110" i="81"/>
  <c r="XER109" i="81"/>
  <c r="AP109" i="81"/>
  <c r="AN109" i="81"/>
  <c r="G109" i="81" s="1"/>
  <c r="AM109" i="81"/>
  <c r="AO109" i="81" s="1"/>
  <c r="F109" i="81"/>
  <c r="E109" i="81"/>
  <c r="J109" i="81" s="1"/>
  <c r="D109" i="81"/>
  <c r="C109" i="81"/>
  <c r="B109" i="81"/>
  <c r="A109" i="81"/>
  <c r="XER108" i="81"/>
  <c r="AP108" i="81"/>
  <c r="AN108" i="81"/>
  <c r="G108" i="81" s="1"/>
  <c r="AM108" i="81"/>
  <c r="AO108" i="81" s="1"/>
  <c r="F108" i="81"/>
  <c r="E108" i="81"/>
  <c r="J108" i="81" s="1"/>
  <c r="D108" i="81"/>
  <c r="C108" i="81"/>
  <c r="B108" i="81"/>
  <c r="A108" i="81"/>
  <c r="XER107" i="81"/>
  <c r="AP107" i="81"/>
  <c r="AN107" i="81"/>
  <c r="G107" i="81" s="1"/>
  <c r="AM107" i="81"/>
  <c r="AO107" i="81" s="1"/>
  <c r="F107" i="81"/>
  <c r="E107" i="81"/>
  <c r="J107" i="81" s="1"/>
  <c r="D107" i="81"/>
  <c r="C107" i="81"/>
  <c r="B107" i="81"/>
  <c r="A107" i="81"/>
  <c r="XER106" i="81"/>
  <c r="AP106" i="81"/>
  <c r="AN106" i="81"/>
  <c r="G106" i="81" s="1"/>
  <c r="AM106" i="81"/>
  <c r="AO106" i="81" s="1"/>
  <c r="F106" i="81"/>
  <c r="E106" i="81"/>
  <c r="J106" i="81" s="1"/>
  <c r="D106" i="81"/>
  <c r="C106" i="81"/>
  <c r="B106" i="81"/>
  <c r="A106" i="81"/>
  <c r="XER105" i="81"/>
  <c r="AP105" i="81"/>
  <c r="AN105" i="81"/>
  <c r="G105" i="81" s="1"/>
  <c r="AM105" i="81"/>
  <c r="AO105" i="81" s="1"/>
  <c r="F105" i="81"/>
  <c r="E105" i="81"/>
  <c r="J105" i="81" s="1"/>
  <c r="D105" i="81"/>
  <c r="C105" i="81"/>
  <c r="B105" i="81"/>
  <c r="A105" i="81"/>
  <c r="XEO111" i="81" l="1"/>
  <c r="XEP111" i="81"/>
  <c r="XEQ111" i="81"/>
  <c r="XEO110" i="81"/>
  <c r="XEP110" i="81"/>
  <c r="XEQ110" i="81"/>
  <c r="XEO109" i="81"/>
  <c r="XEP109" i="81"/>
  <c r="XEQ109" i="81"/>
  <c r="XEO108" i="81"/>
  <c r="XEP108" i="81"/>
  <c r="XEQ108" i="81"/>
  <c r="XEO107" i="81"/>
  <c r="XEP107" i="81"/>
  <c r="XEQ107" i="81"/>
  <c r="XEO106" i="81"/>
  <c r="XEP106" i="81"/>
  <c r="XEQ106" i="81"/>
  <c r="XEO105" i="81"/>
  <c r="XEP105" i="81"/>
  <c r="XEQ105" i="81"/>
  <c r="H14" i="82" l="1"/>
  <c r="J14" i="82" s="1"/>
  <c r="H13" i="82"/>
  <c r="J13" i="82" s="1"/>
  <c r="H12" i="82"/>
  <c r="J12" i="82" s="1"/>
  <c r="H11" i="82"/>
  <c r="J11" i="82" s="1"/>
  <c r="H10" i="82"/>
  <c r="J10" i="82" s="1"/>
  <c r="H9" i="82"/>
  <c r="J9" i="82" s="1"/>
  <c r="N9" i="106" l="1"/>
  <c r="N12" i="106"/>
  <c r="N11" i="106"/>
  <c r="N10" i="106"/>
  <c r="XER89" i="101"/>
  <c r="XER81" i="101"/>
  <c r="XEQ78" i="101"/>
  <c r="XEQ68" i="101"/>
  <c r="XER65" i="101"/>
  <c r="XER57" i="101"/>
  <c r="XER40" i="101"/>
  <c r="XEP39" i="101"/>
  <c r="XER33" i="101"/>
  <c r="XEQ24" i="101"/>
  <c r="XEQ89" i="102"/>
  <c r="XEQ88" i="102"/>
  <c r="XEQ81" i="102"/>
  <c r="XEP80" i="102"/>
  <c r="XEQ76" i="102"/>
  <c r="XEP72" i="102"/>
  <c r="XEQ68" i="102"/>
  <c r="XER65" i="102"/>
  <c r="XES58" i="102"/>
  <c r="XEQ49" i="102"/>
  <c r="XEQ48" i="102"/>
  <c r="XER46" i="102"/>
  <c r="XEQ44" i="102"/>
  <c r="XES16" i="102"/>
  <c r="XER15" i="102"/>
  <c r="XEP89" i="103"/>
  <c r="XER86" i="103"/>
  <c r="XEQ73" i="103"/>
  <c r="XEQ38" i="103"/>
  <c r="XEQ16" i="103"/>
  <c r="XES87" i="104"/>
  <c r="XEP83" i="104"/>
  <c r="XEP73" i="104"/>
  <c r="XEP54" i="104"/>
  <c r="XEP50" i="104"/>
  <c r="XEQ45" i="104"/>
  <c r="XEP39" i="104"/>
  <c r="XES33" i="104"/>
  <c r="XEQ17" i="104"/>
  <c r="XES92" i="105"/>
  <c r="XER89" i="105"/>
  <c r="XEQ83" i="105"/>
  <c r="XES76" i="105"/>
  <c r="XER73" i="105"/>
  <c r="XER70" i="105"/>
  <c r="XEQ67" i="105"/>
  <c r="XES63" i="105"/>
  <c r="XER54" i="105"/>
  <c r="XEQ51" i="105"/>
  <c r="XEP43" i="105"/>
  <c r="XEP35" i="105"/>
  <c r="XER25" i="105"/>
  <c r="XER24" i="105"/>
  <c r="XER18" i="105"/>
  <c r="XEQ17" i="105"/>
  <c r="XEQ102" i="81"/>
  <c r="XEO100" i="81"/>
  <c r="XEP99" i="81"/>
  <c r="XEO98" i="81"/>
  <c r="XEP97" i="81"/>
  <c r="XEQ96" i="81"/>
  <c r="XEP95" i="81"/>
  <c r="XEQ94" i="81"/>
  <c r="XEQ92" i="81"/>
  <c r="XEP91" i="81"/>
  <c r="XEO90" i="81"/>
  <c r="XEP89" i="81"/>
  <c r="XEQ88" i="81"/>
  <c r="XEP87" i="81"/>
  <c r="XEQ84" i="81"/>
  <c r="XEO83" i="81"/>
  <c r="XEO82" i="81"/>
  <c r="XEQ78" i="81"/>
  <c r="XEO77" i="81"/>
  <c r="XEQ76" i="81"/>
  <c r="XEO75" i="81"/>
  <c r="XEO74" i="81"/>
  <c r="XEO73" i="81"/>
  <c r="XEQ72" i="81"/>
  <c r="XEO71" i="81"/>
  <c r="XEQ68" i="81"/>
  <c r="XEO66" i="81"/>
  <c r="XEO61" i="81"/>
  <c r="XEQ60" i="81"/>
  <c r="XEP53" i="81"/>
  <c r="XEP52" i="81"/>
  <c r="XEP51" i="81"/>
  <c r="XEP49" i="81"/>
  <c r="XER48" i="81"/>
  <c r="XEP47" i="81"/>
  <c r="XEP46" i="81"/>
  <c r="XEO43" i="81"/>
  <c r="XEP42" i="81"/>
  <c r="XEP41" i="81"/>
  <c r="XEO37" i="81"/>
  <c r="XEQ36" i="81"/>
  <c r="XEQ34" i="81"/>
  <c r="XEO33" i="81"/>
  <c r="XEQ32" i="81"/>
  <c r="XEP31" i="81"/>
  <c r="XEQ30" i="81"/>
  <c r="XEP29" i="81"/>
  <c r="XEQ22" i="81"/>
  <c r="XEQ20" i="81"/>
  <c r="XEQ18" i="81"/>
  <c r="XEP16" i="81"/>
  <c r="XER15" i="81"/>
  <c r="AV12" i="6"/>
  <c r="XEQ15" i="81" l="1"/>
  <c r="XER46" i="81"/>
  <c r="XEQ82" i="81"/>
  <c r="XER89" i="102"/>
  <c r="XER16" i="81"/>
  <c r="XEO30" i="81"/>
  <c r="XEQ66" i="81"/>
  <c r="XEP36" i="81"/>
  <c r="XEO72" i="81"/>
  <c r="XEP37" i="81"/>
  <c r="XER62" i="81"/>
  <c r="XEP62" i="81"/>
  <c r="XER86" i="81"/>
  <c r="XEP86" i="81"/>
  <c r="XES43" i="104"/>
  <c r="XEQ43" i="104"/>
  <c r="XEP43" i="104"/>
  <c r="XER67" i="104"/>
  <c r="XEQ67" i="104"/>
  <c r="XEP67" i="104"/>
  <c r="XEQ91" i="104"/>
  <c r="XER91" i="104"/>
  <c r="XEP91" i="104"/>
  <c r="XES91" i="104"/>
  <c r="XEQ76" i="103"/>
  <c r="XER76" i="103"/>
  <c r="XEP76" i="103"/>
  <c r="XEO38" i="81"/>
  <c r="XEQ38" i="81"/>
  <c r="XER67" i="81"/>
  <c r="XEQ67" i="81"/>
  <c r="XEP67" i="81"/>
  <c r="XER27" i="105"/>
  <c r="XEO42" i="81"/>
  <c r="XEQ42" i="81"/>
  <c r="XEO50" i="81"/>
  <c r="XEQ50" i="81"/>
  <c r="XER61" i="81"/>
  <c r="XEQ61" i="81"/>
  <c r="XEP61" i="81"/>
  <c r="XER69" i="81"/>
  <c r="XEQ69" i="81"/>
  <c r="XEP69" i="81"/>
  <c r="XER77" i="81"/>
  <c r="XEQ77" i="81"/>
  <c r="XEP77" i="81"/>
  <c r="XER85" i="81"/>
  <c r="XEQ85" i="81"/>
  <c r="XEP85" i="81"/>
  <c r="XER93" i="81"/>
  <c r="XEQ93" i="81"/>
  <c r="XEP93" i="81"/>
  <c r="XEO93" i="81"/>
  <c r="XER101" i="81"/>
  <c r="XEQ101" i="81"/>
  <c r="XEP101" i="81"/>
  <c r="XEO101" i="81"/>
  <c r="XER29" i="105"/>
  <c r="XEQ37" i="105"/>
  <c r="XEP37" i="105"/>
  <c r="XEP45" i="105"/>
  <c r="XEQ45" i="105"/>
  <c r="XEP53" i="105"/>
  <c r="XER53" i="105"/>
  <c r="XEQ53" i="105"/>
  <c r="XES53" i="105"/>
  <c r="XEP61" i="105"/>
  <c r="XES61" i="105"/>
  <c r="XER61" i="105"/>
  <c r="XEQ61" i="105"/>
  <c r="XEP69" i="105"/>
  <c r="XER69" i="105"/>
  <c r="XEQ69" i="105"/>
  <c r="XES69" i="105"/>
  <c r="XEP77" i="105"/>
  <c r="XES77" i="105"/>
  <c r="XER77" i="105"/>
  <c r="XEQ77" i="105"/>
  <c r="XEP85" i="105"/>
  <c r="XER85" i="105"/>
  <c r="XEQ85" i="105"/>
  <c r="XES85" i="105"/>
  <c r="XEP93" i="105"/>
  <c r="XES93" i="105"/>
  <c r="XER93" i="105"/>
  <c r="XEQ93" i="105"/>
  <c r="XER18" i="104"/>
  <c r="XES18" i="104"/>
  <c r="XEQ18" i="104"/>
  <c r="XEQ34" i="104"/>
  <c r="XEP34" i="104"/>
  <c r="XES34" i="104"/>
  <c r="XEQ42" i="104"/>
  <c r="XES42" i="104"/>
  <c r="XEP42" i="104"/>
  <c r="XER50" i="104"/>
  <c r="XES50" i="104"/>
  <c r="XEQ50" i="104"/>
  <c r="XER58" i="104"/>
  <c r="XES58" i="104"/>
  <c r="XEP58" i="104"/>
  <c r="XES66" i="104"/>
  <c r="XER66" i="104"/>
  <c r="XEP66" i="104"/>
  <c r="XEQ66" i="104"/>
  <c r="XES74" i="104"/>
  <c r="XER74" i="104"/>
  <c r="XEQ74" i="104"/>
  <c r="XEP74" i="104"/>
  <c r="XES82" i="104"/>
  <c r="XER82" i="104"/>
  <c r="XEP82" i="104"/>
  <c r="XEQ82" i="104"/>
  <c r="XER90" i="104"/>
  <c r="XEQ90" i="104"/>
  <c r="XES90" i="104"/>
  <c r="XEP90" i="104"/>
  <c r="XER18" i="103"/>
  <c r="XEQ18" i="103"/>
  <c r="XER26" i="103"/>
  <c r="XEP26" i="103"/>
  <c r="XEQ35" i="103"/>
  <c r="XEP35" i="103"/>
  <c r="XEQ43" i="103"/>
  <c r="XEP43" i="103"/>
  <c r="XER51" i="103"/>
  <c r="XEQ51" i="103"/>
  <c r="XEP51" i="103"/>
  <c r="XER59" i="103"/>
  <c r="XEP59" i="103"/>
  <c r="XEQ59" i="103"/>
  <c r="XER67" i="103"/>
  <c r="XEQ67" i="103"/>
  <c r="XEP67" i="103"/>
  <c r="XER75" i="103"/>
  <c r="XEQ75" i="103"/>
  <c r="XEP75" i="103"/>
  <c r="XER83" i="103"/>
  <c r="XEQ83" i="103"/>
  <c r="XEP83" i="103"/>
  <c r="XES83" i="103"/>
  <c r="XER91" i="103"/>
  <c r="XEQ91" i="103"/>
  <c r="XEP91" i="103"/>
  <c r="XES91" i="103"/>
  <c r="XER18" i="102"/>
  <c r="XES18" i="102"/>
  <c r="XEQ18" i="102"/>
  <c r="XER27" i="102"/>
  <c r="XEQ35" i="102"/>
  <c r="XES35" i="102"/>
  <c r="XEQ43" i="102"/>
  <c r="XES43" i="102"/>
  <c r="XES51" i="102"/>
  <c r="XER51" i="102"/>
  <c r="XEQ51" i="102"/>
  <c r="XES59" i="102"/>
  <c r="XER59" i="102"/>
  <c r="XEQ59" i="102"/>
  <c r="XES67" i="102"/>
  <c r="XER67" i="102"/>
  <c r="XEQ67" i="102"/>
  <c r="XER75" i="102"/>
  <c r="XEQ75" i="102"/>
  <c r="XEP75" i="102"/>
  <c r="XES83" i="102"/>
  <c r="XER83" i="102"/>
  <c r="XEQ83" i="102"/>
  <c r="XEP83" i="102"/>
  <c r="XES91" i="102"/>
  <c r="XER91" i="102"/>
  <c r="XEQ91" i="102"/>
  <c r="XEP91" i="102"/>
  <c r="XER18" i="101"/>
  <c r="XEP18" i="101"/>
  <c r="XEQ18" i="101"/>
  <c r="XER27" i="101"/>
  <c r="XEQ27" i="101"/>
  <c r="XEO27" i="101"/>
  <c r="XER35" i="101"/>
  <c r="XEP35" i="101"/>
  <c r="XEO35" i="101"/>
  <c r="XER43" i="101"/>
  <c r="XEP43" i="101"/>
  <c r="XEP51" i="101"/>
  <c r="XER51" i="101"/>
  <c r="XEQ51" i="101"/>
  <c r="XEP59" i="101"/>
  <c r="XER59" i="101"/>
  <c r="XEQ59" i="101"/>
  <c r="XEP67" i="101"/>
  <c r="XER67" i="101"/>
  <c r="XEQ67" i="101"/>
  <c r="XEP75" i="101"/>
  <c r="XER75" i="101"/>
  <c r="XEQ75" i="101"/>
  <c r="XEP83" i="101"/>
  <c r="XER83" i="101"/>
  <c r="XEO83" i="101"/>
  <c r="XEQ83" i="101"/>
  <c r="XEP91" i="101"/>
  <c r="XER91" i="101"/>
  <c r="XEO91" i="101"/>
  <c r="XEQ91" i="101"/>
  <c r="XEQ16" i="81"/>
  <c r="XEP20" i="81"/>
  <c r="XER32" i="81"/>
  <c r="XEO36" i="81"/>
  <c r="XEO102" i="81"/>
  <c r="XER33" i="81"/>
  <c r="XEQ33" i="81"/>
  <c r="XEP38" i="105"/>
  <c r="XEQ38" i="105"/>
  <c r="XEQ62" i="105"/>
  <c r="XEP62" i="105"/>
  <c r="XES62" i="105"/>
  <c r="XER62" i="105"/>
  <c r="XEQ78" i="105"/>
  <c r="XEP78" i="105"/>
  <c r="XES78" i="105"/>
  <c r="XER78" i="105"/>
  <c r="XEQ94" i="105"/>
  <c r="XEP94" i="105"/>
  <c r="XES94" i="105"/>
  <c r="XER94" i="105"/>
  <c r="XEQ44" i="103"/>
  <c r="XEP44" i="103"/>
  <c r="XES19" i="102"/>
  <c r="XER19" i="102"/>
  <c r="XEQ19" i="102"/>
  <c r="XEO44" i="81"/>
  <c r="XEQ44" i="81"/>
  <c r="XEO52" i="81"/>
  <c r="XEQ52" i="81"/>
  <c r="XER63" i="81"/>
  <c r="XEQ63" i="81"/>
  <c r="XEP63" i="81"/>
  <c r="XER71" i="81"/>
  <c r="XEQ71" i="81"/>
  <c r="XEP71" i="81"/>
  <c r="XER79" i="81"/>
  <c r="XEQ79" i="81"/>
  <c r="XEP79" i="81"/>
  <c r="XER87" i="81"/>
  <c r="XEQ87" i="81"/>
  <c r="XEO87" i="81"/>
  <c r="XER95" i="81"/>
  <c r="XEQ95" i="81"/>
  <c r="XEO95" i="81"/>
  <c r="XER103" i="81"/>
  <c r="XEQ103" i="81"/>
  <c r="XEO103" i="81"/>
  <c r="XER23" i="105"/>
  <c r="XEQ23" i="105"/>
  <c r="XER31" i="105"/>
  <c r="XEQ39" i="105"/>
  <c r="XEP39" i="105"/>
  <c r="XER47" i="105"/>
  <c r="XEQ47" i="105"/>
  <c r="XEP55" i="105"/>
  <c r="XES55" i="105"/>
  <c r="XER55" i="105"/>
  <c r="XEQ55" i="105"/>
  <c r="XEP63" i="105"/>
  <c r="XEQ63" i="105"/>
  <c r="XER63" i="105"/>
  <c r="XEP71" i="105"/>
  <c r="XES71" i="105"/>
  <c r="XER71" i="105"/>
  <c r="XEQ71" i="105"/>
  <c r="XEP79" i="105"/>
  <c r="XEQ79" i="105"/>
  <c r="XER79" i="105"/>
  <c r="XEP87" i="105"/>
  <c r="XES87" i="105"/>
  <c r="XER87" i="105"/>
  <c r="XEQ87" i="105"/>
  <c r="XEP95" i="105"/>
  <c r="XEQ95" i="105"/>
  <c r="XER95" i="105"/>
  <c r="XEQ20" i="104"/>
  <c r="XES20" i="104"/>
  <c r="XER20" i="104"/>
  <c r="XES28" i="104"/>
  <c r="XER28" i="104"/>
  <c r="XEQ36" i="104"/>
  <c r="XEP36" i="104"/>
  <c r="XES36" i="104"/>
  <c r="XER44" i="104"/>
  <c r="XEP44" i="104"/>
  <c r="XEQ44" i="104"/>
  <c r="XER52" i="104"/>
  <c r="XEQ52" i="104"/>
  <c r="XEP52" i="104"/>
  <c r="XES52" i="104"/>
  <c r="XER60" i="104"/>
  <c r="XEQ60" i="104"/>
  <c r="XEP60" i="104"/>
  <c r="XES60" i="104"/>
  <c r="XES68" i="104"/>
  <c r="XER68" i="104"/>
  <c r="XEQ68" i="104"/>
  <c r="XEP68" i="104"/>
  <c r="XES76" i="104"/>
  <c r="XER76" i="104"/>
  <c r="XEQ76" i="104"/>
  <c r="XEP76" i="104"/>
  <c r="XES84" i="104"/>
  <c r="XER84" i="104"/>
  <c r="XEQ84" i="104"/>
  <c r="XEP84" i="104"/>
  <c r="XER92" i="104"/>
  <c r="XEQ92" i="104"/>
  <c r="XES92" i="104"/>
  <c r="XEP92" i="104"/>
  <c r="XEQ20" i="103"/>
  <c r="XER20" i="103"/>
  <c r="XEP37" i="103"/>
  <c r="XEQ37" i="103"/>
  <c r="XEP45" i="103"/>
  <c r="XER45" i="103"/>
  <c r="XEQ45" i="103"/>
  <c r="XER53" i="103"/>
  <c r="XEP53" i="103"/>
  <c r="XEQ53" i="103"/>
  <c r="XER61" i="103"/>
  <c r="XEQ61" i="103"/>
  <c r="XEP61" i="103"/>
  <c r="XER69" i="103"/>
  <c r="XEQ69" i="103"/>
  <c r="XEP69" i="103"/>
  <c r="XER77" i="103"/>
  <c r="XEP77" i="103"/>
  <c r="XEQ77" i="103"/>
  <c r="XER85" i="103"/>
  <c r="XES85" i="103"/>
  <c r="XEQ85" i="103"/>
  <c r="XEP85" i="103"/>
  <c r="XER93" i="103"/>
  <c r="XES93" i="103"/>
  <c r="XEQ93" i="103"/>
  <c r="XEP93" i="103"/>
  <c r="XEQ20" i="102"/>
  <c r="XER20" i="102"/>
  <c r="XER29" i="102"/>
  <c r="XEQ37" i="102"/>
  <c r="XES37" i="102"/>
  <c r="XER45" i="102"/>
  <c r="XEQ45" i="102"/>
  <c r="XES53" i="102"/>
  <c r="XER53" i="102"/>
  <c r="XEQ53" i="102"/>
  <c r="XES61" i="102"/>
  <c r="XER61" i="102"/>
  <c r="XEQ61" i="102"/>
  <c r="XES69" i="102"/>
  <c r="XEQ69" i="102"/>
  <c r="XER69" i="102"/>
  <c r="XER77" i="102"/>
  <c r="XEQ77" i="102"/>
  <c r="XEP77" i="102"/>
  <c r="XES85" i="102"/>
  <c r="XER85" i="102"/>
  <c r="XEP85" i="102"/>
  <c r="XEQ85" i="102"/>
  <c r="XES93" i="102"/>
  <c r="XER93" i="102"/>
  <c r="XEQ93" i="102"/>
  <c r="XEP93" i="102"/>
  <c r="XEQ20" i="101"/>
  <c r="XEP20" i="101"/>
  <c r="XEQ29" i="101"/>
  <c r="XER29" i="101"/>
  <c r="XEO29" i="101"/>
  <c r="XEP37" i="101"/>
  <c r="XER37" i="101"/>
  <c r="XEO37" i="101"/>
  <c r="XEP45" i="101"/>
  <c r="XEQ45" i="101"/>
  <c r="XEP53" i="101"/>
  <c r="XER53" i="101"/>
  <c r="XEQ53" i="101"/>
  <c r="XEP61" i="101"/>
  <c r="XEQ61" i="101"/>
  <c r="XER61" i="101"/>
  <c r="XEP69" i="101"/>
  <c r="XER69" i="101"/>
  <c r="XEQ69" i="101"/>
  <c r="XEP77" i="101"/>
  <c r="XEQ77" i="101"/>
  <c r="XER77" i="101"/>
  <c r="XEP85" i="101"/>
  <c r="XER85" i="101"/>
  <c r="XEQ85" i="101"/>
  <c r="XEO85" i="101"/>
  <c r="XEP93" i="101"/>
  <c r="XEQ93" i="101"/>
  <c r="XEO93" i="101"/>
  <c r="XEP30" i="81"/>
  <c r="XEP33" i="81"/>
  <c r="XER36" i="81"/>
  <c r="XER42" i="81"/>
  <c r="XEO53" i="81"/>
  <c r="XEO67" i="81"/>
  <c r="XEO78" i="81"/>
  <c r="XEP103" i="81"/>
  <c r="XES95" i="105"/>
  <c r="XEQ19" i="81"/>
  <c r="XER70" i="81"/>
  <c r="XEP70" i="81"/>
  <c r="XER94" i="81"/>
  <c r="XEP94" i="81"/>
  <c r="XES27" i="104"/>
  <c r="XEP27" i="104"/>
  <c r="XER27" i="104"/>
  <c r="XER59" i="104"/>
  <c r="XES59" i="104"/>
  <c r="XEQ59" i="104"/>
  <c r="XEP59" i="104"/>
  <c r="XER75" i="104"/>
  <c r="XES75" i="104"/>
  <c r="XEQ75" i="104"/>
  <c r="XEP75" i="104"/>
  <c r="XER83" i="104"/>
  <c r="XEQ83" i="104"/>
  <c r="XES83" i="104"/>
  <c r="XER52" i="103"/>
  <c r="XEQ52" i="103"/>
  <c r="XEP52" i="103"/>
  <c r="XEQ92" i="103"/>
  <c r="XER92" i="103"/>
  <c r="XES92" i="103"/>
  <c r="XEP92" i="103"/>
  <c r="XER35" i="81"/>
  <c r="XEQ35" i="81"/>
  <c r="XER45" i="81"/>
  <c r="XEQ45" i="81"/>
  <c r="XEO45" i="81"/>
  <c r="XER64" i="81"/>
  <c r="XEP64" i="81"/>
  <c r="XER72" i="81"/>
  <c r="XEP72" i="81"/>
  <c r="XER80" i="81"/>
  <c r="XEP80" i="81"/>
  <c r="XER88" i="81"/>
  <c r="XEP88" i="81"/>
  <c r="XEO88" i="81"/>
  <c r="XER96" i="81"/>
  <c r="XEP96" i="81"/>
  <c r="XEO96" i="81"/>
  <c r="XER104" i="81"/>
  <c r="XEP104" i="81"/>
  <c r="XEO104" i="81"/>
  <c r="XEP24" i="105"/>
  <c r="XER32" i="105"/>
  <c r="XEP32" i="105"/>
  <c r="XEQ40" i="105"/>
  <c r="XEP40" i="105"/>
  <c r="XER48" i="105"/>
  <c r="XEQ48" i="105"/>
  <c r="XEP48" i="105"/>
  <c r="XEQ56" i="105"/>
  <c r="XEP56" i="105"/>
  <c r="XES56" i="105"/>
  <c r="XER56" i="105"/>
  <c r="XEQ64" i="105"/>
  <c r="XEP64" i="105"/>
  <c r="XES64" i="105"/>
  <c r="XER64" i="105"/>
  <c r="XEQ72" i="105"/>
  <c r="XEP72" i="105"/>
  <c r="XES72" i="105"/>
  <c r="XER72" i="105"/>
  <c r="XEQ80" i="105"/>
  <c r="XEP80" i="105"/>
  <c r="XES80" i="105"/>
  <c r="XER80" i="105"/>
  <c r="XEQ88" i="105"/>
  <c r="XEP88" i="105"/>
  <c r="XES88" i="105"/>
  <c r="XER88" i="105"/>
  <c r="XEQ96" i="105"/>
  <c r="XEP96" i="105"/>
  <c r="XES96" i="105"/>
  <c r="XER96" i="105"/>
  <c r="XER29" i="104"/>
  <c r="XES29" i="104"/>
  <c r="XEP37" i="104"/>
  <c r="XES37" i="104"/>
  <c r="XEQ37" i="104"/>
  <c r="XEP45" i="104"/>
  <c r="XER45" i="104"/>
  <c r="XER53" i="104"/>
  <c r="XEQ53" i="104"/>
  <c r="XEP53" i="104"/>
  <c r="XES53" i="104"/>
  <c r="XER61" i="104"/>
  <c r="XEQ61" i="104"/>
  <c r="XES61" i="104"/>
  <c r="XEP61" i="104"/>
  <c r="XER69" i="104"/>
  <c r="XEQ69" i="104"/>
  <c r="XEP69" i="104"/>
  <c r="XES69" i="104"/>
  <c r="XER77" i="104"/>
  <c r="XEP77" i="104"/>
  <c r="XEQ77" i="104"/>
  <c r="XER85" i="104"/>
  <c r="XEQ85" i="104"/>
  <c r="XEP85" i="104"/>
  <c r="XES85" i="104"/>
  <c r="XEQ93" i="104"/>
  <c r="XEP93" i="104"/>
  <c r="XER93" i="104"/>
  <c r="XES93" i="104"/>
  <c r="XEP30" i="103"/>
  <c r="XER30" i="103"/>
  <c r="XEP38" i="103"/>
  <c r="XEP46" i="103"/>
  <c r="XER46" i="103"/>
  <c r="XEQ46" i="103"/>
  <c r="XER54" i="103"/>
  <c r="XEP54" i="103"/>
  <c r="XEQ54" i="103"/>
  <c r="XER62" i="103"/>
  <c r="XEQ62" i="103"/>
  <c r="XEP62" i="103"/>
  <c r="XEQ70" i="103"/>
  <c r="XEP70" i="103"/>
  <c r="XER70" i="103"/>
  <c r="XEQ78" i="103"/>
  <c r="XEP78" i="103"/>
  <c r="XER78" i="103"/>
  <c r="XEQ86" i="103"/>
  <c r="XEP86" i="103"/>
  <c r="XES86" i="103"/>
  <c r="XEQ94" i="103"/>
  <c r="XEP94" i="103"/>
  <c r="XER94" i="103"/>
  <c r="XES94" i="103"/>
  <c r="XER22" i="102"/>
  <c r="XES22" i="102"/>
  <c r="XES30" i="102"/>
  <c r="XER30" i="102"/>
  <c r="XES38" i="102"/>
  <c r="XEQ38" i="102"/>
  <c r="XEQ46" i="102"/>
  <c r="XER54" i="102"/>
  <c r="XEQ54" i="102"/>
  <c r="XES54" i="102"/>
  <c r="XER62" i="102"/>
  <c r="XEQ62" i="102"/>
  <c r="XES62" i="102"/>
  <c r="XER70" i="102"/>
  <c r="XEQ70" i="102"/>
  <c r="XES70" i="102"/>
  <c r="XER78" i="102"/>
  <c r="XEQ78" i="102"/>
  <c r="XEP78" i="102"/>
  <c r="XER86" i="102"/>
  <c r="XEQ86" i="102"/>
  <c r="XEP86" i="102"/>
  <c r="XES86" i="102"/>
  <c r="XER94" i="102"/>
  <c r="XEQ94" i="102"/>
  <c r="XEP94" i="102"/>
  <c r="XES94" i="102"/>
  <c r="XEQ21" i="101"/>
  <c r="XEO21" i="101"/>
  <c r="XEQ30" i="101"/>
  <c r="XER30" i="101"/>
  <c r="XEO30" i="101"/>
  <c r="XEP38" i="101"/>
  <c r="XER38" i="101"/>
  <c r="XEO38" i="101"/>
  <c r="XEP46" i="101"/>
  <c r="XEQ46" i="101"/>
  <c r="XER54" i="101"/>
  <c r="XEQ54" i="101"/>
  <c r="XEP54" i="101"/>
  <c r="XER62" i="101"/>
  <c r="XEP62" i="101"/>
  <c r="XEQ62" i="101"/>
  <c r="XER70" i="101"/>
  <c r="XEQ70" i="101"/>
  <c r="XEP70" i="101"/>
  <c r="XER78" i="101"/>
  <c r="XEP78" i="101"/>
  <c r="XER86" i="101"/>
  <c r="XEO86" i="101"/>
  <c r="XEP86" i="101"/>
  <c r="XEQ86" i="101"/>
  <c r="XER94" i="101"/>
  <c r="XEO94" i="101"/>
  <c r="XEQ94" i="101"/>
  <c r="XEP94" i="101"/>
  <c r="XEP18" i="81"/>
  <c r="XER30" i="81"/>
  <c r="XEO34" i="81"/>
  <c r="XEP48" i="81"/>
  <c r="XEQ53" i="81"/>
  <c r="XEQ62" i="81"/>
  <c r="XEO68" i="81"/>
  <c r="XEO84" i="81"/>
  <c r="XEQ104" i="81"/>
  <c r="XEP47" i="105"/>
  <c r="XEQ58" i="104"/>
  <c r="XER93" i="101"/>
  <c r="XEP46" i="105"/>
  <c r="XEQ46" i="105"/>
  <c r="XEQ86" i="105"/>
  <c r="XEP86" i="105"/>
  <c r="XES86" i="105"/>
  <c r="XER51" i="104"/>
  <c r="XES51" i="104"/>
  <c r="XEQ51" i="104"/>
  <c r="XEP51" i="104"/>
  <c r="XER60" i="103"/>
  <c r="XEQ60" i="103"/>
  <c r="XEP60" i="103"/>
  <c r="XEO46" i="81"/>
  <c r="XEQ46" i="81"/>
  <c r="XER73" i="81"/>
  <c r="XEQ73" i="81"/>
  <c r="XEP73" i="81"/>
  <c r="XEP25" i="105"/>
  <c r="XEQ41" i="105"/>
  <c r="XEP41" i="105"/>
  <c r="XEP65" i="105"/>
  <c r="XES65" i="105"/>
  <c r="XER65" i="105"/>
  <c r="XEQ65" i="105"/>
  <c r="XEQ14" i="104"/>
  <c r="XES14" i="104"/>
  <c r="XER14" i="104"/>
  <c r="XEQ38" i="104"/>
  <c r="XEP38" i="104"/>
  <c r="XES38" i="104"/>
  <c r="XER54" i="104"/>
  <c r="XES54" i="104"/>
  <c r="XEQ54" i="104"/>
  <c r="XER14" i="103"/>
  <c r="XEQ14" i="103"/>
  <c r="XER47" i="103"/>
  <c r="XEQ47" i="103"/>
  <c r="XEP47" i="103"/>
  <c r="XER71" i="103"/>
  <c r="XEP71" i="103"/>
  <c r="XEQ71" i="103"/>
  <c r="XES14" i="102"/>
  <c r="XEQ14" i="102"/>
  <c r="XER14" i="102"/>
  <c r="XES39" i="102"/>
  <c r="XEQ39" i="102"/>
  <c r="XES63" i="102"/>
  <c r="XEQ63" i="102"/>
  <c r="XER63" i="102"/>
  <c r="XEO39" i="101"/>
  <c r="XER39" i="101"/>
  <c r="XEP87" i="101"/>
  <c r="XEO87" i="101"/>
  <c r="XER87" i="101"/>
  <c r="XEQ87" i="101"/>
  <c r="XEP34" i="81"/>
  <c r="XER43" i="81"/>
  <c r="XEQ43" i="81"/>
  <c r="XER78" i="81"/>
  <c r="XEP78" i="81"/>
  <c r="XER102" i="81"/>
  <c r="XEP102" i="81"/>
  <c r="XES35" i="104"/>
  <c r="XEQ35" i="104"/>
  <c r="XEP35" i="104"/>
  <c r="XER68" i="103"/>
  <c r="XEQ68" i="103"/>
  <c r="XEP68" i="103"/>
  <c r="XER14" i="81"/>
  <c r="XEQ14" i="81"/>
  <c r="XEQ54" i="81"/>
  <c r="XEP54" i="81"/>
  <c r="XEO54" i="81"/>
  <c r="XER65" i="81"/>
  <c r="XEQ65" i="81"/>
  <c r="XEP65" i="81"/>
  <c r="XER81" i="81"/>
  <c r="XEQ81" i="81"/>
  <c r="XEP81" i="81"/>
  <c r="XER89" i="81"/>
  <c r="XEQ89" i="81"/>
  <c r="XEO89" i="81"/>
  <c r="XER97" i="81"/>
  <c r="XEQ97" i="81"/>
  <c r="XEO97" i="81"/>
  <c r="XEQ14" i="105"/>
  <c r="XER33" i="105"/>
  <c r="XEP33" i="105"/>
  <c r="XER49" i="105"/>
  <c r="XEQ49" i="105"/>
  <c r="XEP49" i="105"/>
  <c r="XEP57" i="105"/>
  <c r="XES57" i="105"/>
  <c r="XEQ57" i="105"/>
  <c r="XEP73" i="105"/>
  <c r="XES73" i="105"/>
  <c r="XEQ73" i="105"/>
  <c r="XEP81" i="105"/>
  <c r="XES81" i="105"/>
  <c r="XER81" i="105"/>
  <c r="XEQ81" i="105"/>
  <c r="XEP89" i="105"/>
  <c r="XES89" i="105"/>
  <c r="XEQ89" i="105"/>
  <c r="XER30" i="104"/>
  <c r="XEP30" i="104"/>
  <c r="XEQ46" i="104"/>
  <c r="XER46" i="104"/>
  <c r="XEP46" i="104"/>
  <c r="XER62" i="104"/>
  <c r="XES62" i="104"/>
  <c r="XEP62" i="104"/>
  <c r="XES70" i="104"/>
  <c r="XER70" i="104"/>
  <c r="XEQ70" i="104"/>
  <c r="XEP70" i="104"/>
  <c r="XES78" i="104"/>
  <c r="XER78" i="104"/>
  <c r="XEQ78" i="104"/>
  <c r="XEP78" i="104"/>
  <c r="XES86" i="104"/>
  <c r="XER86" i="104"/>
  <c r="XEQ86" i="104"/>
  <c r="XEP86" i="104"/>
  <c r="XER31" i="103"/>
  <c r="XEQ39" i="103"/>
  <c r="XEP39" i="103"/>
  <c r="XER55" i="103"/>
  <c r="XEQ55" i="103"/>
  <c r="XEP55" i="103"/>
  <c r="XER63" i="103"/>
  <c r="XEQ63" i="103"/>
  <c r="XEP63" i="103"/>
  <c r="XER79" i="103"/>
  <c r="XEP79" i="103"/>
  <c r="XEQ79" i="103"/>
  <c r="XER87" i="103"/>
  <c r="XEP87" i="103"/>
  <c r="XEQ87" i="103"/>
  <c r="XES87" i="103"/>
  <c r="XES23" i="102"/>
  <c r="XER23" i="102"/>
  <c r="XER47" i="102"/>
  <c r="XEQ47" i="102"/>
  <c r="XES55" i="102"/>
  <c r="XEQ55" i="102"/>
  <c r="XER55" i="102"/>
  <c r="XES71" i="102"/>
  <c r="XEQ71" i="102"/>
  <c r="XER71" i="102"/>
  <c r="XEQ79" i="102"/>
  <c r="XER79" i="102"/>
  <c r="XEP79" i="102"/>
  <c r="XES87" i="102"/>
  <c r="XEQ87" i="102"/>
  <c r="XER87" i="102"/>
  <c r="XEP87" i="102"/>
  <c r="XEQ14" i="101"/>
  <c r="XEP14" i="101"/>
  <c r="XER14" i="101"/>
  <c r="XEO22" i="101"/>
  <c r="XEQ22" i="101"/>
  <c r="XER31" i="101"/>
  <c r="XEQ31" i="101"/>
  <c r="XEO31" i="101"/>
  <c r="XEP47" i="101"/>
  <c r="XEQ47" i="101"/>
  <c r="XEP55" i="101"/>
  <c r="XEQ55" i="101"/>
  <c r="XER55" i="101"/>
  <c r="XEP63" i="101"/>
  <c r="XEQ63" i="101"/>
  <c r="XER63" i="101"/>
  <c r="XEP71" i="101"/>
  <c r="XER71" i="101"/>
  <c r="XEQ71" i="101"/>
  <c r="XEP79" i="101"/>
  <c r="XEQ79" i="101"/>
  <c r="XER79" i="101"/>
  <c r="XEP14" i="81"/>
  <c r="XER18" i="81"/>
  <c r="XEO31" i="81"/>
  <c r="XEP43" i="81"/>
  <c r="XEO79" i="81"/>
  <c r="XER14" i="105"/>
  <c r="XEP27" i="105"/>
  <c r="XEQ62" i="104"/>
  <c r="XER29" i="81"/>
  <c r="XEQ29" i="81"/>
  <c r="XEQ37" i="81"/>
  <c r="XER47" i="81"/>
  <c r="XEQ47" i="81"/>
  <c r="XEO47" i="81"/>
  <c r="XER58" i="81"/>
  <c r="XEP58" i="81"/>
  <c r="XER66" i="81"/>
  <c r="XEP66" i="81"/>
  <c r="XER74" i="81"/>
  <c r="XEP74" i="81"/>
  <c r="XER82" i="81"/>
  <c r="XEP82" i="81"/>
  <c r="XER90" i="81"/>
  <c r="XEQ90" i="81"/>
  <c r="XEP90" i="81"/>
  <c r="XER98" i="81"/>
  <c r="XEQ98" i="81"/>
  <c r="XEP98" i="81"/>
  <c r="XEQ15" i="105"/>
  <c r="XEP26" i="105"/>
  <c r="XER26" i="105"/>
  <c r="XEP34" i="105"/>
  <c r="XEQ34" i="105"/>
  <c r="XEQ42" i="105"/>
  <c r="XEP42" i="105"/>
  <c r="XEQ50" i="105"/>
  <c r="XEP50" i="105"/>
  <c r="XER50" i="105"/>
  <c r="XES50" i="105"/>
  <c r="XEQ58" i="105"/>
  <c r="XEP58" i="105"/>
  <c r="XES58" i="105"/>
  <c r="XER58" i="105"/>
  <c r="XEQ66" i="105"/>
  <c r="XEP66" i="105"/>
  <c r="XER66" i="105"/>
  <c r="XES66" i="105"/>
  <c r="XEQ74" i="105"/>
  <c r="XEP74" i="105"/>
  <c r="XES74" i="105"/>
  <c r="XER74" i="105"/>
  <c r="XEQ82" i="105"/>
  <c r="XEP82" i="105"/>
  <c r="XER82" i="105"/>
  <c r="XES82" i="105"/>
  <c r="XEQ90" i="105"/>
  <c r="XEP90" i="105"/>
  <c r="XES90" i="105"/>
  <c r="XER90" i="105"/>
  <c r="XES15" i="104"/>
  <c r="XER15" i="104"/>
  <c r="XEQ15" i="104"/>
  <c r="XES31" i="104"/>
  <c r="XEQ31" i="104"/>
  <c r="XEP31" i="104"/>
  <c r="XES39" i="104"/>
  <c r="XEQ39" i="104"/>
  <c r="XER47" i="104"/>
  <c r="XEP47" i="104"/>
  <c r="XES47" i="104"/>
  <c r="XEQ47" i="104"/>
  <c r="XER55" i="104"/>
  <c r="XEP55" i="104"/>
  <c r="XES55" i="104"/>
  <c r="XEQ55" i="104"/>
  <c r="XER63" i="104"/>
  <c r="XEP63" i="104"/>
  <c r="XES63" i="104"/>
  <c r="XEQ63" i="104"/>
  <c r="XER71" i="104"/>
  <c r="XEQ71" i="104"/>
  <c r="XEP71" i="104"/>
  <c r="XES71" i="104"/>
  <c r="XER79" i="104"/>
  <c r="XEP79" i="104"/>
  <c r="XES79" i="104"/>
  <c r="XEQ79" i="104"/>
  <c r="XER87" i="104"/>
  <c r="XEP87" i="104"/>
  <c r="XEQ87" i="104"/>
  <c r="XEQ15" i="103"/>
  <c r="XER15" i="103"/>
  <c r="XEQ32" i="103"/>
  <c r="XEQ40" i="103"/>
  <c r="XEP40" i="103"/>
  <c r="XER48" i="103"/>
  <c r="XEP48" i="103"/>
  <c r="XEQ48" i="103"/>
  <c r="XER56" i="103"/>
  <c r="XEP56" i="103"/>
  <c r="XEQ56" i="103"/>
  <c r="XER64" i="103"/>
  <c r="XEP64" i="103"/>
  <c r="XEQ64" i="103"/>
  <c r="XEQ72" i="103"/>
  <c r="XER72" i="103"/>
  <c r="XEP72" i="103"/>
  <c r="XEQ80" i="103"/>
  <c r="XES80" i="103"/>
  <c r="XER80" i="103"/>
  <c r="XEP80" i="103"/>
  <c r="XEQ88" i="103"/>
  <c r="XES88" i="103"/>
  <c r="XER88" i="103"/>
  <c r="XEP88" i="103"/>
  <c r="XEP15" i="81"/>
  <c r="XEP22" i="81"/>
  <c r="XER34" i="81"/>
  <c r="XEP38" i="81"/>
  <c r="XEP44" i="81"/>
  <c r="XEQ58" i="81"/>
  <c r="XEO69" i="81"/>
  <c r="XEQ74" i="81"/>
  <c r="XEO80" i="81"/>
  <c r="XEO85" i="81"/>
  <c r="XEO92" i="81"/>
  <c r="XER15" i="105"/>
  <c r="XES79" i="105"/>
  <c r="XES67" i="104"/>
  <c r="XEQ19" i="105"/>
  <c r="XER19" i="105"/>
  <c r="XEQ70" i="105"/>
  <c r="XEP70" i="105"/>
  <c r="XES70" i="105"/>
  <c r="XEQ19" i="103"/>
  <c r="XER19" i="103"/>
  <c r="XER59" i="81"/>
  <c r="XEQ59" i="81"/>
  <c r="XEP59" i="81"/>
  <c r="XER83" i="81"/>
  <c r="XEQ83" i="81"/>
  <c r="XEP83" i="81"/>
  <c r="XER99" i="81"/>
  <c r="XEO99" i="81"/>
  <c r="XEQ99" i="81"/>
  <c r="XEQ43" i="105"/>
  <c r="XEP75" i="105"/>
  <c r="XES75" i="105"/>
  <c r="XER75" i="105"/>
  <c r="XEQ75" i="105"/>
  <c r="XES16" i="104"/>
  <c r="XEQ16" i="104"/>
  <c r="XER16" i="104"/>
  <c r="XES32" i="104"/>
  <c r="XEQ32" i="104"/>
  <c r="XEP32" i="104"/>
  <c r="XEP40" i="104"/>
  <c r="XES40" i="104"/>
  <c r="XEQ40" i="104"/>
  <c r="XER48" i="104"/>
  <c r="XEP48" i="104"/>
  <c r="XES48" i="104"/>
  <c r="XEQ48" i="104"/>
  <c r="XER56" i="104"/>
  <c r="XEP56" i="104"/>
  <c r="XES56" i="104"/>
  <c r="XEQ56" i="104"/>
  <c r="XES64" i="104"/>
  <c r="XER64" i="104"/>
  <c r="XEP64" i="104"/>
  <c r="XEQ64" i="104"/>
  <c r="XES72" i="104"/>
  <c r="XER72" i="104"/>
  <c r="XEQ72" i="104"/>
  <c r="XEP72" i="104"/>
  <c r="XES80" i="104"/>
  <c r="XER80" i="104"/>
  <c r="XEP80" i="104"/>
  <c r="XEQ80" i="104"/>
  <c r="XES88" i="104"/>
  <c r="XER88" i="104"/>
  <c r="XEQ88" i="104"/>
  <c r="XEP88" i="104"/>
  <c r="XER16" i="103"/>
  <c r="XEQ33" i="103"/>
  <c r="XEP19" i="81"/>
  <c r="XER22" i="81"/>
  <c r="XEO32" i="81"/>
  <c r="XEO35" i="81"/>
  <c r="XER44" i="81"/>
  <c r="XEP50" i="81"/>
  <c r="XEQ64" i="81"/>
  <c r="XEO70" i="81"/>
  <c r="XEQ80" i="81"/>
  <c r="XEO86" i="81"/>
  <c r="XER57" i="105"/>
  <c r="XER51" i="81"/>
  <c r="XEQ51" i="81"/>
  <c r="XEO51" i="81"/>
  <c r="XER30" i="105"/>
  <c r="XEQ54" i="105"/>
  <c r="XEP54" i="105"/>
  <c r="XES54" i="105"/>
  <c r="XES19" i="104"/>
  <c r="XER19" i="104"/>
  <c r="XEQ19" i="104"/>
  <c r="XEQ36" i="103"/>
  <c r="XEP36" i="103"/>
  <c r="XEQ84" i="103"/>
  <c r="XER84" i="103"/>
  <c r="XEP84" i="103"/>
  <c r="XES84" i="103"/>
  <c r="XEO48" i="81"/>
  <c r="XEQ48" i="81"/>
  <c r="XER75" i="81"/>
  <c r="XEQ75" i="81"/>
  <c r="XEP75" i="81"/>
  <c r="XER91" i="81"/>
  <c r="XEO91" i="81"/>
  <c r="XEQ91" i="81"/>
  <c r="XER16" i="105"/>
  <c r="XEQ16" i="105"/>
  <c r="XEQ35" i="105"/>
  <c r="XEP51" i="105"/>
  <c r="XES51" i="105"/>
  <c r="XER51" i="105"/>
  <c r="XEP59" i="105"/>
  <c r="XES59" i="105"/>
  <c r="XER59" i="105"/>
  <c r="XEQ59" i="105"/>
  <c r="XEP67" i="105"/>
  <c r="XES67" i="105"/>
  <c r="XER67" i="105"/>
  <c r="XEP83" i="105"/>
  <c r="XES83" i="105"/>
  <c r="XER83" i="105"/>
  <c r="XEP91" i="105"/>
  <c r="XES91" i="105"/>
  <c r="XER91" i="105"/>
  <c r="XEQ91" i="105"/>
  <c r="XER24" i="104"/>
  <c r="XEP24" i="104"/>
  <c r="XEQ17" i="81"/>
  <c r="XEP17" i="81"/>
  <c r="XEQ31" i="81"/>
  <c r="XER41" i="81"/>
  <c r="XEQ41" i="81"/>
  <c r="XER49" i="81"/>
  <c r="XEQ49" i="81"/>
  <c r="XEO49" i="81"/>
  <c r="XER60" i="81"/>
  <c r="XEP60" i="81"/>
  <c r="XER68" i="81"/>
  <c r="XEP68" i="81"/>
  <c r="XER76" i="81"/>
  <c r="XEP76" i="81"/>
  <c r="XER84" i="81"/>
  <c r="XEP84" i="81"/>
  <c r="XER92" i="81"/>
  <c r="XEP92" i="81"/>
  <c r="XER100" i="81"/>
  <c r="XEP100" i="81"/>
  <c r="XER17" i="105"/>
  <c r="XEQ36" i="105"/>
  <c r="XEP36" i="105"/>
  <c r="XEQ44" i="105"/>
  <c r="XEP44" i="105"/>
  <c r="XEQ52" i="105"/>
  <c r="XEP52" i="105"/>
  <c r="XES52" i="105"/>
  <c r="XER52" i="105"/>
  <c r="XEQ60" i="105"/>
  <c r="XEP60" i="105"/>
  <c r="XER60" i="105"/>
  <c r="XEQ68" i="105"/>
  <c r="XEP68" i="105"/>
  <c r="XES68" i="105"/>
  <c r="XER68" i="105"/>
  <c r="XEQ76" i="105"/>
  <c r="XEP76" i="105"/>
  <c r="XER76" i="105"/>
  <c r="XEQ84" i="105"/>
  <c r="XEP84" i="105"/>
  <c r="XES84" i="105"/>
  <c r="XER84" i="105"/>
  <c r="XEQ92" i="105"/>
  <c r="XEP92" i="105"/>
  <c r="XER92" i="105"/>
  <c r="XER17" i="104"/>
  <c r="XEP33" i="104"/>
  <c r="XEQ33" i="104"/>
  <c r="XEP41" i="104"/>
  <c r="XEQ41" i="104"/>
  <c r="XES41" i="104"/>
  <c r="XER49" i="104"/>
  <c r="XES49" i="104"/>
  <c r="XEQ49" i="104"/>
  <c r="XEP49" i="104"/>
  <c r="XER57" i="104"/>
  <c r="XES57" i="104"/>
  <c r="XEQ57" i="104"/>
  <c r="XEP57" i="104"/>
  <c r="XER65" i="104"/>
  <c r="XES65" i="104"/>
  <c r="XEQ65" i="104"/>
  <c r="XEP65" i="104"/>
  <c r="XER73" i="104"/>
  <c r="XES73" i="104"/>
  <c r="XEQ73" i="104"/>
  <c r="XER81" i="104"/>
  <c r="XES81" i="104"/>
  <c r="XEQ81" i="104"/>
  <c r="XEP81" i="104"/>
  <c r="XER89" i="104"/>
  <c r="XES89" i="104"/>
  <c r="XEQ89" i="104"/>
  <c r="XEP89" i="104"/>
  <c r="XER17" i="103"/>
  <c r="XEQ17" i="103"/>
  <c r="XER25" i="103"/>
  <c r="XEP25" i="103"/>
  <c r="XEQ34" i="103"/>
  <c r="XEP34" i="103"/>
  <c r="XEQ42" i="103"/>
  <c r="XEP42" i="103"/>
  <c r="XER50" i="103"/>
  <c r="XEP50" i="103"/>
  <c r="XEQ50" i="103"/>
  <c r="XER58" i="103"/>
  <c r="XEP58" i="103"/>
  <c r="XEQ58" i="103"/>
  <c r="XER66" i="103"/>
  <c r="XEQ66" i="103"/>
  <c r="XEQ74" i="103"/>
  <c r="XER74" i="103"/>
  <c r="XEP74" i="103"/>
  <c r="XEQ82" i="103"/>
  <c r="XES82" i="103"/>
  <c r="XEP82" i="103"/>
  <c r="XER82" i="103"/>
  <c r="XEQ90" i="103"/>
  <c r="XEP90" i="103"/>
  <c r="XES90" i="103"/>
  <c r="XER90" i="103"/>
  <c r="XER17" i="102"/>
  <c r="XEQ17" i="102"/>
  <c r="XER26" i="102"/>
  <c r="XES26" i="102"/>
  <c r="XEQ34" i="102"/>
  <c r="XES34" i="102"/>
  <c r="XEQ42" i="102"/>
  <c r="XES42" i="102"/>
  <c r="XER50" i="102"/>
  <c r="XES50" i="102"/>
  <c r="XEQ50" i="102"/>
  <c r="XER58" i="102"/>
  <c r="XEQ58" i="102"/>
  <c r="XER66" i="102"/>
  <c r="XES66" i="102"/>
  <c r="XEQ66" i="102"/>
  <c r="XER74" i="102"/>
  <c r="XEP74" i="102"/>
  <c r="XEQ74" i="102"/>
  <c r="XER82" i="102"/>
  <c r="XEP82" i="102"/>
  <c r="XEQ82" i="102"/>
  <c r="XES82" i="102"/>
  <c r="XER90" i="102"/>
  <c r="XEP90" i="102"/>
  <c r="XES90" i="102"/>
  <c r="XEQ90" i="102"/>
  <c r="XEQ17" i="101"/>
  <c r="XEP17" i="101"/>
  <c r="XER26" i="101"/>
  <c r="XEO26" i="101"/>
  <c r="XEQ26" i="101"/>
  <c r="XER34" i="101"/>
  <c r="XEO34" i="101"/>
  <c r="XEP34" i="101"/>
  <c r="XER42" i="101"/>
  <c r="XEP42" i="101"/>
  <c r="XER50" i="101"/>
  <c r="XEQ50" i="101"/>
  <c r="XEP50" i="101"/>
  <c r="XER58" i="101"/>
  <c r="XEP58" i="101"/>
  <c r="XEQ58" i="101"/>
  <c r="XER66" i="101"/>
  <c r="XEQ66" i="101"/>
  <c r="XEP66" i="101"/>
  <c r="XER74" i="101"/>
  <c r="XEP74" i="101"/>
  <c r="XEQ74" i="101"/>
  <c r="XER82" i="101"/>
  <c r="XEO82" i="101"/>
  <c r="XEQ82" i="101"/>
  <c r="XEP82" i="101"/>
  <c r="XER90" i="101"/>
  <c r="XEO90" i="101"/>
  <c r="XEP90" i="101"/>
  <c r="XEQ90" i="101"/>
  <c r="XEO20" i="81"/>
  <c r="XEO29" i="81"/>
  <c r="XEP32" i="81"/>
  <c r="XEP35" i="81"/>
  <c r="XEO41" i="81"/>
  <c r="XEP45" i="81"/>
  <c r="XER50" i="81"/>
  <c r="XEO60" i="81"/>
  <c r="XEO65" i="81"/>
  <c r="XEQ70" i="81"/>
  <c r="XEO76" i="81"/>
  <c r="XEO81" i="81"/>
  <c r="XEQ86" i="81"/>
  <c r="XEO94" i="81"/>
  <c r="XEQ100" i="81"/>
  <c r="XEQ18" i="105"/>
  <c r="XES60" i="105"/>
  <c r="XER86" i="105"/>
  <c r="XES77" i="104"/>
  <c r="XEP66" i="103"/>
  <c r="XER28" i="102"/>
  <c r="XER52" i="102"/>
  <c r="XES52" i="102"/>
  <c r="XEQ52" i="102"/>
  <c r="XER60" i="102"/>
  <c r="XES60" i="102"/>
  <c r="XEQ60" i="102"/>
  <c r="XER68" i="102"/>
  <c r="XES68" i="102"/>
  <c r="XER76" i="102"/>
  <c r="XER84" i="102"/>
  <c r="XES84" i="102"/>
  <c r="XEP84" i="102"/>
  <c r="XEQ84" i="102"/>
  <c r="XER92" i="102"/>
  <c r="XES92" i="102"/>
  <c r="XEQ92" i="102"/>
  <c r="XEP92" i="102"/>
  <c r="XEQ19" i="101"/>
  <c r="XEP19" i="101"/>
  <c r="XEQ28" i="101"/>
  <c r="XEO28" i="101"/>
  <c r="XER36" i="101"/>
  <c r="XEP36" i="101"/>
  <c r="XEP44" i="101"/>
  <c r="XER44" i="101"/>
  <c r="XER52" i="101"/>
  <c r="XEP52" i="101"/>
  <c r="XER60" i="101"/>
  <c r="XEP60" i="101"/>
  <c r="XEQ60" i="101"/>
  <c r="XER68" i="101"/>
  <c r="XEP68" i="101"/>
  <c r="XER76" i="101"/>
  <c r="XEP76" i="101"/>
  <c r="XEQ76" i="101"/>
  <c r="XER84" i="101"/>
  <c r="XEO84" i="101"/>
  <c r="XEP84" i="101"/>
  <c r="XER92" i="101"/>
  <c r="XEO92" i="101"/>
  <c r="XEP92" i="101"/>
  <c r="XEQ92" i="101"/>
  <c r="XES44" i="102"/>
  <c r="XEO36" i="101"/>
  <c r="XEQ52" i="101"/>
  <c r="XES15" i="102"/>
  <c r="XEQ15" i="102"/>
  <c r="XES24" i="102"/>
  <c r="XER24" i="102"/>
  <c r="XES40" i="102"/>
  <c r="XER48" i="102"/>
  <c r="XES48" i="102"/>
  <c r="XER56" i="102"/>
  <c r="XES56" i="102"/>
  <c r="XEQ56" i="102"/>
  <c r="XER64" i="102"/>
  <c r="XES64" i="102"/>
  <c r="XEQ64" i="102"/>
  <c r="XER72" i="102"/>
  <c r="XER80" i="102"/>
  <c r="XES80" i="102"/>
  <c r="XEQ80" i="102"/>
  <c r="XER88" i="102"/>
  <c r="XES88" i="102"/>
  <c r="XEP88" i="102"/>
  <c r="XEP15" i="101"/>
  <c r="XER15" i="101"/>
  <c r="XEO23" i="101"/>
  <c r="XEQ23" i="101"/>
  <c r="XEO32" i="101"/>
  <c r="XEP32" i="101"/>
  <c r="XER32" i="101"/>
  <c r="XEO40" i="101"/>
  <c r="XEP40" i="101"/>
  <c r="XER48" i="101"/>
  <c r="XEQ48" i="101"/>
  <c r="XEP48" i="101"/>
  <c r="XER56" i="101"/>
  <c r="XEQ56" i="101"/>
  <c r="XEP56" i="101"/>
  <c r="XER64" i="101"/>
  <c r="XEQ64" i="101"/>
  <c r="XEP64" i="101"/>
  <c r="XER72" i="101"/>
  <c r="XEQ72" i="101"/>
  <c r="XEP72" i="101"/>
  <c r="XER80" i="101"/>
  <c r="XEO80" i="101"/>
  <c r="XEQ80" i="101"/>
  <c r="XEP80" i="101"/>
  <c r="XER88" i="101"/>
  <c r="XEO88" i="101"/>
  <c r="XEQ88" i="101"/>
  <c r="XEP88" i="101"/>
  <c r="XEQ72" i="102"/>
  <c r="XEQ84" i="101"/>
  <c r="XEQ41" i="103"/>
  <c r="XEP41" i="103"/>
  <c r="XER49" i="103"/>
  <c r="XEQ49" i="103"/>
  <c r="XEP49" i="103"/>
  <c r="XER57" i="103"/>
  <c r="XEP57" i="103"/>
  <c r="XEQ57" i="103"/>
  <c r="XER65" i="103"/>
  <c r="XEQ65" i="103"/>
  <c r="XEP65" i="103"/>
  <c r="XER73" i="103"/>
  <c r="XEP73" i="103"/>
  <c r="XER81" i="103"/>
  <c r="XES81" i="103"/>
  <c r="XEQ81" i="103"/>
  <c r="XEP81" i="103"/>
  <c r="XER89" i="103"/>
  <c r="XES89" i="103"/>
  <c r="XEQ89" i="103"/>
  <c r="XER16" i="102"/>
  <c r="XEQ16" i="102"/>
  <c r="XES25" i="102"/>
  <c r="XER25" i="102"/>
  <c r="XEQ33" i="102"/>
  <c r="XES33" i="102"/>
  <c r="XES41" i="102"/>
  <c r="XEQ41" i="102"/>
  <c r="XES49" i="102"/>
  <c r="XER49" i="102"/>
  <c r="XES57" i="102"/>
  <c r="XER57" i="102"/>
  <c r="XEQ57" i="102"/>
  <c r="XES65" i="102"/>
  <c r="XEQ65" i="102"/>
  <c r="XEP73" i="102"/>
  <c r="XER73" i="102"/>
  <c r="XEQ73" i="102"/>
  <c r="XES81" i="102"/>
  <c r="XEP81" i="102"/>
  <c r="XER81" i="102"/>
  <c r="XES89" i="102"/>
  <c r="XEP89" i="102"/>
  <c r="XEP16" i="101"/>
  <c r="XER16" i="101"/>
  <c r="XEQ16" i="101"/>
  <c r="XEO24" i="101"/>
  <c r="XEO33" i="101"/>
  <c r="XEP33" i="101"/>
  <c r="XER41" i="101"/>
  <c r="XEO41" i="101"/>
  <c r="XEP41" i="101"/>
  <c r="XEP49" i="101"/>
  <c r="XER49" i="101"/>
  <c r="XEQ49" i="101"/>
  <c r="XEP57" i="101"/>
  <c r="XEQ57" i="101"/>
  <c r="XEP65" i="101"/>
  <c r="XEQ65" i="101"/>
  <c r="XEP73" i="101"/>
  <c r="XEQ73" i="101"/>
  <c r="XEP81" i="101"/>
  <c r="XEO81" i="101"/>
  <c r="XEQ81" i="101"/>
  <c r="XEP89" i="101"/>
  <c r="XEO89" i="101"/>
  <c r="XEQ89" i="101"/>
  <c r="XEQ15" i="101"/>
  <c r="XER73" i="101"/>
  <c r="XEQ40" i="102"/>
  <c r="XEP76" i="102"/>
  <c r="XES28" i="102"/>
  <c r="AP59" i="81"/>
  <c r="AN59" i="81"/>
  <c r="G59" i="81" s="1"/>
  <c r="AM59" i="81"/>
  <c r="F59" i="81"/>
  <c r="E59" i="81"/>
  <c r="J59" i="81" s="1"/>
  <c r="D59" i="81"/>
  <c r="C59" i="81"/>
  <c r="B59" i="81"/>
  <c r="A59" i="81"/>
  <c r="AP58" i="81"/>
  <c r="AN58" i="81"/>
  <c r="G58" i="81" s="1"/>
  <c r="AM58" i="81"/>
  <c r="F58" i="81"/>
  <c r="E58" i="81"/>
  <c r="J58" i="81" s="1"/>
  <c r="D58" i="81"/>
  <c r="C58" i="81"/>
  <c r="B58" i="81"/>
  <c r="A58" i="81"/>
  <c r="AP54" i="81"/>
  <c r="AN54" i="81"/>
  <c r="G54" i="81" s="1"/>
  <c r="AM54" i="81"/>
  <c r="F54" i="81"/>
  <c r="E54" i="81"/>
  <c r="J54" i="81" s="1"/>
  <c r="D54" i="81"/>
  <c r="C54" i="81"/>
  <c r="B54" i="81"/>
  <c r="A54" i="81"/>
  <c r="AP53" i="81"/>
  <c r="AN53" i="81"/>
  <c r="G53" i="81" s="1"/>
  <c r="AM53" i="81"/>
  <c r="F53" i="81"/>
  <c r="E53" i="81"/>
  <c r="J53" i="81" s="1"/>
  <c r="D53" i="81"/>
  <c r="C53" i="81"/>
  <c r="B53" i="81"/>
  <c r="A53" i="81"/>
  <c r="AP52" i="81"/>
  <c r="AN52" i="81"/>
  <c r="G52" i="81" s="1"/>
  <c r="AM52" i="81"/>
  <c r="F52" i="81"/>
  <c r="E52" i="81"/>
  <c r="J52" i="81" s="1"/>
  <c r="D52" i="81"/>
  <c r="C52" i="81"/>
  <c r="B52" i="81"/>
  <c r="A52" i="81"/>
  <c r="AP51" i="81"/>
  <c r="AN51" i="81"/>
  <c r="G51" i="81" s="1"/>
  <c r="AM51" i="81"/>
  <c r="F51" i="81"/>
  <c r="E51" i="81"/>
  <c r="J51" i="81" s="1"/>
  <c r="D51" i="81"/>
  <c r="C51" i="81"/>
  <c r="B51" i="81"/>
  <c r="AP50" i="81"/>
  <c r="AN50" i="81"/>
  <c r="G50" i="81" s="1"/>
  <c r="AM50" i="81"/>
  <c r="F50" i="81"/>
  <c r="E50" i="81"/>
  <c r="J50" i="81" s="1"/>
  <c r="D50" i="81"/>
  <c r="C50" i="81"/>
  <c r="B50" i="81"/>
  <c r="A50" i="81"/>
  <c r="AP49" i="81"/>
  <c r="AN49" i="81"/>
  <c r="G49" i="81" s="1"/>
  <c r="AM49" i="81"/>
  <c r="F49" i="81"/>
  <c r="E49" i="81"/>
  <c r="J49" i="81" s="1"/>
  <c r="D49" i="81"/>
  <c r="C49" i="81"/>
  <c r="B49" i="81"/>
  <c r="A49" i="81"/>
  <c r="AP48" i="81"/>
  <c r="AN48" i="81"/>
  <c r="G48" i="81" s="1"/>
  <c r="AM48" i="81"/>
  <c r="F48" i="81"/>
  <c r="E48" i="81"/>
  <c r="J48" i="81" s="1"/>
  <c r="D48" i="81"/>
  <c r="C48" i="81"/>
  <c r="B48" i="81"/>
  <c r="A48" i="81"/>
  <c r="AP47" i="81"/>
  <c r="AN47" i="81"/>
  <c r="G47" i="81" s="1"/>
  <c r="AM47" i="81"/>
  <c r="F47" i="81"/>
  <c r="E47" i="81"/>
  <c r="J47" i="81" s="1"/>
  <c r="D47" i="81"/>
  <c r="C47" i="81"/>
  <c r="B47" i="81"/>
  <c r="A47" i="81"/>
  <c r="AP46" i="81"/>
  <c r="AN46" i="81"/>
  <c r="G46" i="81" s="1"/>
  <c r="AM46" i="81"/>
  <c r="F46" i="81"/>
  <c r="E46" i="81"/>
  <c r="J46" i="81" s="1"/>
  <c r="D46" i="81"/>
  <c r="C46" i="81"/>
  <c r="B46" i="81"/>
  <c r="A46" i="81"/>
  <c r="AP45" i="81"/>
  <c r="AN45" i="81"/>
  <c r="G45" i="81" s="1"/>
  <c r="AM45" i="81"/>
  <c r="F45" i="81"/>
  <c r="E45" i="81"/>
  <c r="J45" i="81" s="1"/>
  <c r="D45" i="81"/>
  <c r="C45" i="81"/>
  <c r="B45" i="81"/>
  <c r="A45" i="81"/>
  <c r="AP44" i="81"/>
  <c r="AN44" i="81"/>
  <c r="G44" i="81" s="1"/>
  <c r="AM44" i="81"/>
  <c r="AO44" i="81" s="1"/>
  <c r="F44" i="81"/>
  <c r="E44" i="81"/>
  <c r="J44" i="81" s="1"/>
  <c r="D44" i="81"/>
  <c r="C44" i="81"/>
  <c r="B44" i="81"/>
  <c r="A44" i="81"/>
  <c r="AP43" i="81"/>
  <c r="AN43" i="81"/>
  <c r="G43" i="81" s="1"/>
  <c r="AM43" i="81"/>
  <c r="F43" i="81"/>
  <c r="E43" i="81"/>
  <c r="J43" i="81" s="1"/>
  <c r="D43" i="81"/>
  <c r="C43" i="81"/>
  <c r="B43" i="81"/>
  <c r="A43" i="81"/>
  <c r="AP42" i="81"/>
  <c r="AN42" i="81"/>
  <c r="G42" i="81" s="1"/>
  <c r="AM42" i="81"/>
  <c r="F42" i="81"/>
  <c r="E42" i="81"/>
  <c r="J42" i="81" s="1"/>
  <c r="D42" i="81"/>
  <c r="C42" i="81"/>
  <c r="B42" i="81"/>
  <c r="A42" i="81"/>
  <c r="AP41" i="81"/>
  <c r="AN41" i="81"/>
  <c r="G41" i="81" s="1"/>
  <c r="AM41" i="81"/>
  <c r="F41" i="81"/>
  <c r="E41" i="81"/>
  <c r="J41" i="81" s="1"/>
  <c r="D41" i="81"/>
  <c r="C41" i="81"/>
  <c r="B41" i="81"/>
  <c r="A41" i="81"/>
  <c r="AP38" i="81"/>
  <c r="AN38" i="81"/>
  <c r="G38" i="81" s="1"/>
  <c r="AM38" i="81"/>
  <c r="XER38" i="81" s="1"/>
  <c r="F38" i="81"/>
  <c r="E38" i="81"/>
  <c r="J38" i="81" s="1"/>
  <c r="D38" i="81"/>
  <c r="C38" i="81"/>
  <c r="B38" i="81"/>
  <c r="A38" i="81"/>
  <c r="AP37" i="81"/>
  <c r="AN37" i="81"/>
  <c r="G37" i="81" s="1"/>
  <c r="AM37" i="81"/>
  <c r="F37" i="81"/>
  <c r="E37" i="81"/>
  <c r="J37" i="81" s="1"/>
  <c r="D37" i="81"/>
  <c r="C37" i="81"/>
  <c r="B37" i="81"/>
  <c r="A37" i="81"/>
  <c r="AP36" i="81"/>
  <c r="AN36" i="81"/>
  <c r="G36" i="81" s="1"/>
  <c r="AM36" i="81"/>
  <c r="F36" i="81"/>
  <c r="E36" i="81"/>
  <c r="J36" i="81" s="1"/>
  <c r="D36" i="81"/>
  <c r="C36" i="81"/>
  <c r="B36" i="81"/>
  <c r="A36" i="81"/>
  <c r="AP35" i="81"/>
  <c r="AN35" i="81"/>
  <c r="G35" i="81" s="1"/>
  <c r="AM35" i="81"/>
  <c r="F35" i="81"/>
  <c r="E35" i="81"/>
  <c r="J35" i="81" s="1"/>
  <c r="D35" i="81"/>
  <c r="C35" i="81"/>
  <c r="B35" i="81"/>
  <c r="A35" i="81"/>
  <c r="AP34" i="81"/>
  <c r="AN34" i="81"/>
  <c r="G34" i="81" s="1"/>
  <c r="AM34" i="81"/>
  <c r="F34" i="81"/>
  <c r="E34" i="81"/>
  <c r="J34" i="81" s="1"/>
  <c r="D34" i="81"/>
  <c r="C34" i="81"/>
  <c r="B34" i="81"/>
  <c r="A34" i="81"/>
  <c r="AP33" i="81"/>
  <c r="AN33" i="81"/>
  <c r="G33" i="81" s="1"/>
  <c r="AM33" i="81"/>
  <c r="F33" i="81"/>
  <c r="E33" i="81"/>
  <c r="J33" i="81" s="1"/>
  <c r="D33" i="81"/>
  <c r="C33" i="81"/>
  <c r="B33" i="81"/>
  <c r="A33" i="81"/>
  <c r="AP32" i="81"/>
  <c r="AN32" i="81"/>
  <c r="G32" i="81" s="1"/>
  <c r="AM32" i="81"/>
  <c r="F32" i="81"/>
  <c r="E32" i="81"/>
  <c r="J32" i="81" s="1"/>
  <c r="D32" i="81"/>
  <c r="C32" i="81"/>
  <c r="B32" i="81"/>
  <c r="A32" i="81"/>
  <c r="AP31" i="81"/>
  <c r="AN31" i="81"/>
  <c r="G31" i="81" s="1"/>
  <c r="AM31" i="81"/>
  <c r="XER31" i="81" s="1"/>
  <c r="F31" i="81"/>
  <c r="E31" i="81"/>
  <c r="J31" i="81" s="1"/>
  <c r="D31" i="81"/>
  <c r="C31" i="81"/>
  <c r="B31" i="81"/>
  <c r="A31" i="81"/>
  <c r="AP30" i="81"/>
  <c r="AN30" i="81"/>
  <c r="G30" i="81" s="1"/>
  <c r="AM30" i="81"/>
  <c r="F30" i="81"/>
  <c r="E30" i="81"/>
  <c r="J30" i="81" s="1"/>
  <c r="D30" i="81"/>
  <c r="C30" i="81"/>
  <c r="B30" i="81"/>
  <c r="A30" i="81"/>
  <c r="AP29" i="81"/>
  <c r="AN29" i="81"/>
  <c r="G29" i="81" s="1"/>
  <c r="AM29" i="81"/>
  <c r="F29" i="81"/>
  <c r="E29" i="81"/>
  <c r="J29" i="81" s="1"/>
  <c r="D29" i="81"/>
  <c r="C29" i="81"/>
  <c r="B29" i="81"/>
  <c r="A29" i="81"/>
  <c r="AP22" i="81"/>
  <c r="AN22" i="81"/>
  <c r="G22" i="81" s="1"/>
  <c r="AM22" i="81"/>
  <c r="XEO22" i="81" s="1"/>
  <c r="F22" i="81"/>
  <c r="E22" i="81"/>
  <c r="J22" i="81" s="1"/>
  <c r="D22" i="81"/>
  <c r="C22" i="81"/>
  <c r="B22" i="81"/>
  <c r="A22" i="81"/>
  <c r="AP20" i="81"/>
  <c r="AN20" i="81"/>
  <c r="G20" i="81" s="1"/>
  <c r="AM20" i="81"/>
  <c r="XER20" i="81" s="1"/>
  <c r="F20" i="81"/>
  <c r="E20" i="81"/>
  <c r="J20" i="81" s="1"/>
  <c r="D20" i="81"/>
  <c r="C20" i="81"/>
  <c r="B20" i="81"/>
  <c r="A20" i="81"/>
  <c r="AP19" i="81"/>
  <c r="AN19" i="81"/>
  <c r="G19" i="81" s="1"/>
  <c r="AM19" i="81"/>
  <c r="XEO19" i="81" s="1"/>
  <c r="F19" i="81"/>
  <c r="E19" i="81"/>
  <c r="J19" i="81" s="1"/>
  <c r="D19" i="81"/>
  <c r="C19" i="81"/>
  <c r="B19" i="81"/>
  <c r="A19" i="81"/>
  <c r="AP18" i="81"/>
  <c r="AN18" i="81"/>
  <c r="G18" i="81" s="1"/>
  <c r="AM18" i="81"/>
  <c r="F18" i="81"/>
  <c r="E18" i="81"/>
  <c r="J18" i="81" s="1"/>
  <c r="D18" i="81"/>
  <c r="C18" i="81"/>
  <c r="B18" i="81"/>
  <c r="A18" i="81"/>
  <c r="AP17" i="81"/>
  <c r="AN17" i="81"/>
  <c r="G17" i="81" s="1"/>
  <c r="AM17" i="81"/>
  <c r="F17" i="81"/>
  <c r="E17" i="81"/>
  <c r="J17" i="81" s="1"/>
  <c r="D17" i="81"/>
  <c r="C17" i="81"/>
  <c r="B17" i="81"/>
  <c r="A17" i="81"/>
  <c r="AP16" i="81"/>
  <c r="AN16" i="81"/>
  <c r="G16" i="81" s="1"/>
  <c r="AM16" i="81"/>
  <c r="F16" i="81"/>
  <c r="E16" i="81"/>
  <c r="J16" i="81" s="1"/>
  <c r="D16" i="81"/>
  <c r="C16" i="81"/>
  <c r="B16" i="81"/>
  <c r="A16" i="81"/>
  <c r="AP15" i="81"/>
  <c r="AN15" i="81"/>
  <c r="G15" i="81" s="1"/>
  <c r="AM15" i="81"/>
  <c r="F15" i="81"/>
  <c r="E15" i="81"/>
  <c r="J15" i="81" s="1"/>
  <c r="D15" i="81"/>
  <c r="C15" i="81"/>
  <c r="B15" i="81"/>
  <c r="A15" i="81"/>
  <c r="AN14" i="81"/>
  <c r="G14" i="81" s="1"/>
  <c r="AM14" i="81"/>
  <c r="F14" i="81"/>
  <c r="E14" i="81"/>
  <c r="J14" i="81" s="1"/>
  <c r="D14" i="81"/>
  <c r="C14" i="81"/>
  <c r="B14" i="81"/>
  <c r="A14" i="81"/>
  <c r="XER19" i="81" l="1"/>
  <c r="AO37" i="81"/>
  <c r="XER37" i="81"/>
  <c r="AO31" i="81"/>
  <c r="AO50" i="81"/>
  <c r="AO43" i="81"/>
  <c r="AO48" i="81"/>
  <c r="AO59" i="81"/>
  <c r="AO35" i="81"/>
  <c r="AO41" i="81"/>
  <c r="XEO59" i="81"/>
  <c r="AO58" i="81"/>
  <c r="XEO58" i="81"/>
  <c r="XER17" i="81"/>
  <c r="XEO14" i="81"/>
  <c r="AO22" i="81"/>
  <c r="AO32" i="81"/>
  <c r="AO36" i="81"/>
  <c r="AO42" i="81"/>
  <c r="AO46" i="81"/>
  <c r="AO19" i="81"/>
  <c r="AO29" i="81"/>
  <c r="XEP12" i="81"/>
  <c r="AD9" i="106" s="1"/>
  <c r="AO45" i="81"/>
  <c r="AO49" i="81"/>
  <c r="XEQ12" i="81"/>
  <c r="AE9" i="106" s="1"/>
  <c r="AO47" i="81"/>
  <c r="AO51" i="81"/>
  <c r="AO20" i="81"/>
  <c r="AO30" i="81"/>
  <c r="AO34" i="81"/>
  <c r="AO38" i="81"/>
  <c r="AO16" i="81"/>
  <c r="XEO16" i="81"/>
  <c r="AO17" i="81"/>
  <c r="XEO17" i="81"/>
  <c r="AO18" i="81"/>
  <c r="XEO18" i="81"/>
  <c r="AO15" i="81"/>
  <c r="XEO15" i="81"/>
  <c r="AO14" i="81"/>
  <c r="AO54" i="81"/>
  <c r="XER54" i="81"/>
  <c r="AO53" i="81"/>
  <c r="XER53" i="81"/>
  <c r="AO52" i="81"/>
  <c r="XER52" i="81"/>
  <c r="AO33" i="81"/>
  <c r="K22" i="101"/>
  <c r="K21" i="101"/>
  <c r="K20" i="101"/>
  <c r="K19" i="101"/>
  <c r="K18" i="101"/>
  <c r="K17" i="101"/>
  <c r="K16" i="101"/>
  <c r="K15" i="101"/>
  <c r="K14" i="101"/>
  <c r="XER12" i="81" l="1"/>
  <c r="AF9" i="106" s="1"/>
  <c r="C1" i="105" l="1"/>
  <c r="C1" i="104"/>
  <c r="C1" i="103"/>
  <c r="C1" i="102"/>
  <c r="C1" i="101"/>
  <c r="F24" i="105"/>
  <c r="J4" i="82"/>
  <c r="J5" i="82"/>
  <c r="J6" i="82"/>
  <c r="J7" i="82"/>
  <c r="J8" i="82"/>
  <c r="J3" i="82"/>
  <c r="AL13" i="99" l="1"/>
  <c r="AL23" i="99"/>
  <c r="AL24" i="99"/>
  <c r="AL25" i="99"/>
  <c r="AL26" i="99"/>
  <c r="AI23" i="99"/>
  <c r="AI24" i="99"/>
  <c r="AI25" i="99"/>
  <c r="AI26" i="99"/>
  <c r="AL22" i="99" l="1"/>
  <c r="AI22" i="99"/>
  <c r="AL12" i="99" l="1"/>
  <c r="AI9" i="99"/>
  <c r="AI13" i="99"/>
  <c r="AI7" i="99"/>
  <c r="AL11" i="99"/>
  <c r="AL7" i="99"/>
  <c r="AI12" i="99"/>
  <c r="AI8" i="99"/>
  <c r="AL10" i="99"/>
  <c r="AI11" i="99"/>
  <c r="AL9" i="99"/>
  <c r="AI10" i="99"/>
  <c r="AL8" i="99"/>
  <c r="AL27" i="99"/>
  <c r="AM24" i="99" s="1"/>
  <c r="AI27" i="99"/>
  <c r="AJ26" i="99" s="1"/>
  <c r="AE9" i="99"/>
  <c r="AE8" i="99"/>
  <c r="AE7" i="99"/>
  <c r="AP103" i="105"/>
  <c r="AN103" i="105"/>
  <c r="G103" i="105" s="1"/>
  <c r="AM103" i="105"/>
  <c r="AO103" i="105" s="1"/>
  <c r="K103" i="105"/>
  <c r="F103" i="105"/>
  <c r="E103" i="105"/>
  <c r="J103" i="105" s="1"/>
  <c r="D103" i="105"/>
  <c r="C103" i="105"/>
  <c r="B103" i="105"/>
  <c r="A103" i="105"/>
  <c r="AP102" i="105"/>
  <c r="AN102" i="105"/>
  <c r="G102" i="105" s="1"/>
  <c r="AM102" i="105"/>
  <c r="AO102" i="105" s="1"/>
  <c r="K102" i="105"/>
  <c r="F102" i="105"/>
  <c r="E102" i="105"/>
  <c r="J102" i="105" s="1"/>
  <c r="D102" i="105"/>
  <c r="C102" i="105"/>
  <c r="B102" i="105"/>
  <c r="A102" i="105"/>
  <c r="AP101" i="105"/>
  <c r="AN101" i="105"/>
  <c r="G101" i="105" s="1"/>
  <c r="AM101" i="105"/>
  <c r="AO101" i="105" s="1"/>
  <c r="K101" i="105"/>
  <c r="F101" i="105"/>
  <c r="E101" i="105"/>
  <c r="J101" i="105" s="1"/>
  <c r="D101" i="105"/>
  <c r="C101" i="105"/>
  <c r="B101" i="105"/>
  <c r="A101" i="105"/>
  <c r="AP100" i="105"/>
  <c r="AN100" i="105"/>
  <c r="G100" i="105" s="1"/>
  <c r="AM100" i="105"/>
  <c r="AO100" i="105" s="1"/>
  <c r="K100" i="105"/>
  <c r="F100" i="105"/>
  <c r="E100" i="105"/>
  <c r="J100" i="105" s="1"/>
  <c r="D100" i="105"/>
  <c r="C100" i="105"/>
  <c r="B100" i="105"/>
  <c r="A100" i="105"/>
  <c r="AP99" i="105"/>
  <c r="AN99" i="105"/>
  <c r="G99" i="105" s="1"/>
  <c r="AM99" i="105"/>
  <c r="AO99" i="105"/>
  <c r="K99" i="105"/>
  <c r="F99" i="105"/>
  <c r="E99" i="105"/>
  <c r="J99" i="105" s="1"/>
  <c r="D99" i="105"/>
  <c r="C99" i="105"/>
  <c r="B99" i="105"/>
  <c r="A99" i="105"/>
  <c r="AP98" i="105"/>
  <c r="AN98" i="105"/>
  <c r="G98" i="105" s="1"/>
  <c r="AM98" i="105"/>
  <c r="AO98" i="105" s="1"/>
  <c r="K98" i="105"/>
  <c r="F98" i="105"/>
  <c r="E98" i="105"/>
  <c r="J98" i="105" s="1"/>
  <c r="D98" i="105"/>
  <c r="C98" i="105"/>
  <c r="B98" i="105"/>
  <c r="A98" i="105"/>
  <c r="AP97" i="105"/>
  <c r="AN97" i="105"/>
  <c r="G97" i="105" s="1"/>
  <c r="AM97" i="105"/>
  <c r="AO97" i="105" s="1"/>
  <c r="K97" i="105"/>
  <c r="F97" i="105"/>
  <c r="E97" i="105"/>
  <c r="J97" i="105" s="1"/>
  <c r="D97" i="105"/>
  <c r="C97" i="105"/>
  <c r="B97" i="105"/>
  <c r="A97" i="105"/>
  <c r="AP96" i="105"/>
  <c r="AN96" i="105"/>
  <c r="G96" i="105" s="1"/>
  <c r="AM96" i="105"/>
  <c r="AO96" i="105" s="1"/>
  <c r="K96" i="105"/>
  <c r="F96" i="105"/>
  <c r="E96" i="105"/>
  <c r="J96" i="105" s="1"/>
  <c r="D96" i="105"/>
  <c r="C96" i="105"/>
  <c r="B96" i="105"/>
  <c r="A96" i="105"/>
  <c r="AP95" i="105"/>
  <c r="AN95" i="105"/>
  <c r="G95" i="105" s="1"/>
  <c r="AM95" i="105"/>
  <c r="AO95" i="105" s="1"/>
  <c r="K95" i="105"/>
  <c r="F95" i="105"/>
  <c r="E95" i="105"/>
  <c r="J95" i="105" s="1"/>
  <c r="D95" i="105"/>
  <c r="C95" i="105"/>
  <c r="B95" i="105"/>
  <c r="A95" i="105"/>
  <c r="AP94" i="105"/>
  <c r="AN94" i="105"/>
  <c r="G94" i="105" s="1"/>
  <c r="AM94" i="105"/>
  <c r="AO94" i="105" s="1"/>
  <c r="K94" i="105"/>
  <c r="F94" i="105"/>
  <c r="E94" i="105"/>
  <c r="J94" i="105" s="1"/>
  <c r="D94" i="105"/>
  <c r="C94" i="105"/>
  <c r="B94" i="105"/>
  <c r="A94" i="105"/>
  <c r="AP93" i="105"/>
  <c r="AN93" i="105"/>
  <c r="G93" i="105" s="1"/>
  <c r="AM93" i="105"/>
  <c r="AO93" i="105" s="1"/>
  <c r="K93" i="105"/>
  <c r="F93" i="105"/>
  <c r="E93" i="105"/>
  <c r="J93" i="105" s="1"/>
  <c r="D93" i="105"/>
  <c r="C93" i="105"/>
  <c r="B93" i="105"/>
  <c r="A93" i="105"/>
  <c r="AP92" i="105"/>
  <c r="AN92" i="105"/>
  <c r="G92" i="105" s="1"/>
  <c r="AM92" i="105"/>
  <c r="AO92" i="105" s="1"/>
  <c r="K92" i="105"/>
  <c r="F92" i="105"/>
  <c r="E92" i="105"/>
  <c r="J92" i="105" s="1"/>
  <c r="D92" i="105"/>
  <c r="C92" i="105"/>
  <c r="B92" i="105"/>
  <c r="A92" i="105"/>
  <c r="AP91" i="105"/>
  <c r="AN91" i="105"/>
  <c r="G91" i="105" s="1"/>
  <c r="AM91" i="105"/>
  <c r="AO91" i="105" s="1"/>
  <c r="K91" i="105"/>
  <c r="F91" i="105"/>
  <c r="E91" i="105"/>
  <c r="J91" i="105" s="1"/>
  <c r="D91" i="105"/>
  <c r="C91" i="105"/>
  <c r="B91" i="105"/>
  <c r="A91" i="105"/>
  <c r="AP90" i="105"/>
  <c r="AN90" i="105"/>
  <c r="G90" i="105" s="1"/>
  <c r="AM90" i="105"/>
  <c r="AO90" i="105" s="1"/>
  <c r="K90" i="105"/>
  <c r="F90" i="105"/>
  <c r="E90" i="105"/>
  <c r="J90" i="105" s="1"/>
  <c r="D90" i="105"/>
  <c r="C90" i="105"/>
  <c r="B90" i="105"/>
  <c r="A90" i="105"/>
  <c r="AP89" i="105"/>
  <c r="AN89" i="105"/>
  <c r="G89" i="105" s="1"/>
  <c r="AM89" i="105"/>
  <c r="AO89" i="105" s="1"/>
  <c r="K89" i="105"/>
  <c r="F89" i="105"/>
  <c r="E89" i="105"/>
  <c r="J89" i="105" s="1"/>
  <c r="D89" i="105"/>
  <c r="C89" i="105"/>
  <c r="B89" i="105"/>
  <c r="A89" i="105"/>
  <c r="AP88" i="105"/>
  <c r="AN88" i="105"/>
  <c r="G88" i="105" s="1"/>
  <c r="AM88" i="105"/>
  <c r="AO88" i="105" s="1"/>
  <c r="K88" i="105"/>
  <c r="F88" i="105"/>
  <c r="E88" i="105"/>
  <c r="J88" i="105" s="1"/>
  <c r="D88" i="105"/>
  <c r="C88" i="105"/>
  <c r="B88" i="105"/>
  <c r="A88" i="105"/>
  <c r="AP87" i="105"/>
  <c r="AN87" i="105"/>
  <c r="G87" i="105" s="1"/>
  <c r="AM87" i="105"/>
  <c r="AO87" i="105" s="1"/>
  <c r="K87" i="105"/>
  <c r="F87" i="105"/>
  <c r="E87" i="105"/>
  <c r="J87" i="105" s="1"/>
  <c r="D87" i="105"/>
  <c r="C87" i="105"/>
  <c r="B87" i="105"/>
  <c r="A87" i="105"/>
  <c r="AP86" i="105"/>
  <c r="AN86" i="105"/>
  <c r="G86" i="105" s="1"/>
  <c r="AM86" i="105"/>
  <c r="AO86" i="105" s="1"/>
  <c r="K86" i="105"/>
  <c r="F86" i="105"/>
  <c r="E86" i="105"/>
  <c r="J86" i="105" s="1"/>
  <c r="D86" i="105"/>
  <c r="C86" i="105"/>
  <c r="B86" i="105"/>
  <c r="A86" i="105"/>
  <c r="AP85" i="105"/>
  <c r="AN85" i="105"/>
  <c r="G85" i="105" s="1"/>
  <c r="AM85" i="105"/>
  <c r="AO85" i="105" s="1"/>
  <c r="K85" i="105"/>
  <c r="F85" i="105"/>
  <c r="E85" i="105"/>
  <c r="J85" i="105" s="1"/>
  <c r="D85" i="105"/>
  <c r="C85" i="105"/>
  <c r="B85" i="105"/>
  <c r="A85" i="105"/>
  <c r="AP84" i="105"/>
  <c r="AN84" i="105"/>
  <c r="G84" i="105" s="1"/>
  <c r="AM84" i="105"/>
  <c r="AO84" i="105" s="1"/>
  <c r="K84" i="105"/>
  <c r="F84" i="105"/>
  <c r="E84" i="105"/>
  <c r="J84" i="105" s="1"/>
  <c r="D84" i="105"/>
  <c r="C84" i="105"/>
  <c r="B84" i="105"/>
  <c r="A84" i="105"/>
  <c r="AP83" i="105"/>
  <c r="AN83" i="105"/>
  <c r="G83" i="105" s="1"/>
  <c r="AM83" i="105"/>
  <c r="AO83" i="105" s="1"/>
  <c r="K83" i="105"/>
  <c r="F83" i="105"/>
  <c r="E83" i="105"/>
  <c r="J83" i="105" s="1"/>
  <c r="D83" i="105"/>
  <c r="C83" i="105"/>
  <c r="B83" i="105"/>
  <c r="A83" i="105"/>
  <c r="AP82" i="105"/>
  <c r="AN82" i="105"/>
  <c r="G82" i="105" s="1"/>
  <c r="AM82" i="105"/>
  <c r="AO82" i="105" s="1"/>
  <c r="K82" i="105"/>
  <c r="F82" i="105"/>
  <c r="E82" i="105"/>
  <c r="J82" i="105" s="1"/>
  <c r="D82" i="105"/>
  <c r="C82" i="105"/>
  <c r="B82" i="105"/>
  <c r="A82" i="105"/>
  <c r="AP81" i="105"/>
  <c r="AN81" i="105"/>
  <c r="G81" i="105" s="1"/>
  <c r="AM81" i="105"/>
  <c r="AO81" i="105" s="1"/>
  <c r="K81" i="105"/>
  <c r="F81" i="105"/>
  <c r="E81" i="105"/>
  <c r="J81" i="105" s="1"/>
  <c r="D81" i="105"/>
  <c r="C81" i="105"/>
  <c r="B81" i="105"/>
  <c r="A81" i="105"/>
  <c r="AP80" i="105"/>
  <c r="AN80" i="105"/>
  <c r="G80" i="105" s="1"/>
  <c r="AM80" i="105"/>
  <c r="AO80" i="105" s="1"/>
  <c r="K80" i="105"/>
  <c r="F80" i="105"/>
  <c r="E80" i="105"/>
  <c r="J80" i="105" s="1"/>
  <c r="D80" i="105"/>
  <c r="C80" i="105"/>
  <c r="B80" i="105"/>
  <c r="A80" i="105"/>
  <c r="AP79" i="105"/>
  <c r="AN79" i="105"/>
  <c r="G79" i="105" s="1"/>
  <c r="AM79" i="105"/>
  <c r="AO79" i="105" s="1"/>
  <c r="K79" i="105"/>
  <c r="F79" i="105"/>
  <c r="E79" i="105"/>
  <c r="J79" i="105" s="1"/>
  <c r="D79" i="105"/>
  <c r="C79" i="105"/>
  <c r="B79" i="105"/>
  <c r="A79" i="105"/>
  <c r="AP78" i="105"/>
  <c r="AN78" i="105"/>
  <c r="G78" i="105" s="1"/>
  <c r="AM78" i="105"/>
  <c r="AO78" i="105" s="1"/>
  <c r="K78" i="105"/>
  <c r="F78" i="105"/>
  <c r="E78" i="105"/>
  <c r="J78" i="105" s="1"/>
  <c r="D78" i="105"/>
  <c r="C78" i="105"/>
  <c r="B78" i="105"/>
  <c r="A78" i="105"/>
  <c r="AP77" i="105"/>
  <c r="AN77" i="105"/>
  <c r="G77" i="105" s="1"/>
  <c r="AM77" i="105"/>
  <c r="AO77" i="105" s="1"/>
  <c r="K77" i="105"/>
  <c r="F77" i="105"/>
  <c r="E77" i="105"/>
  <c r="J77" i="105" s="1"/>
  <c r="D77" i="105"/>
  <c r="C77" i="105"/>
  <c r="B77" i="105"/>
  <c r="A77" i="105"/>
  <c r="AP76" i="105"/>
  <c r="AN76" i="105"/>
  <c r="G76" i="105" s="1"/>
  <c r="AM76" i="105"/>
  <c r="AO76" i="105" s="1"/>
  <c r="K76" i="105"/>
  <c r="F76" i="105"/>
  <c r="E76" i="105"/>
  <c r="J76" i="105" s="1"/>
  <c r="D76" i="105"/>
  <c r="C76" i="105"/>
  <c r="B76" i="105"/>
  <c r="A76" i="105"/>
  <c r="AP75" i="105"/>
  <c r="AN75" i="105"/>
  <c r="G75" i="105" s="1"/>
  <c r="AM75" i="105"/>
  <c r="AO75" i="105" s="1"/>
  <c r="K75" i="105"/>
  <c r="F75" i="105"/>
  <c r="E75" i="105"/>
  <c r="J75" i="105" s="1"/>
  <c r="D75" i="105"/>
  <c r="C75" i="105"/>
  <c r="B75" i="105"/>
  <c r="A75" i="105"/>
  <c r="AP74" i="105"/>
  <c r="AN74" i="105"/>
  <c r="G74" i="105" s="1"/>
  <c r="AM74" i="105"/>
  <c r="AO74" i="105" s="1"/>
  <c r="K74" i="105"/>
  <c r="F74" i="105"/>
  <c r="E74" i="105"/>
  <c r="J74" i="105" s="1"/>
  <c r="D74" i="105"/>
  <c r="C74" i="105"/>
  <c r="B74" i="105"/>
  <c r="A74" i="105"/>
  <c r="AP73" i="105"/>
  <c r="AN73" i="105"/>
  <c r="G73" i="105" s="1"/>
  <c r="AM73" i="105"/>
  <c r="AO73" i="105" s="1"/>
  <c r="K73" i="105"/>
  <c r="F73" i="105"/>
  <c r="E73" i="105"/>
  <c r="J73" i="105" s="1"/>
  <c r="D73" i="105"/>
  <c r="C73" i="105"/>
  <c r="B73" i="105"/>
  <c r="A73" i="105"/>
  <c r="AP72" i="105"/>
  <c r="AN72" i="105"/>
  <c r="G72" i="105" s="1"/>
  <c r="AM72" i="105"/>
  <c r="AO72" i="105" s="1"/>
  <c r="K72" i="105"/>
  <c r="F72" i="105"/>
  <c r="E72" i="105"/>
  <c r="J72" i="105" s="1"/>
  <c r="D72" i="105"/>
  <c r="C72" i="105"/>
  <c r="B72" i="105"/>
  <c r="A72" i="105"/>
  <c r="AP71" i="105"/>
  <c r="AN71" i="105"/>
  <c r="G71" i="105" s="1"/>
  <c r="AM71" i="105"/>
  <c r="AO71" i="105" s="1"/>
  <c r="K71" i="105"/>
  <c r="F71" i="105"/>
  <c r="E71" i="105"/>
  <c r="J71" i="105" s="1"/>
  <c r="D71" i="105"/>
  <c r="C71" i="105"/>
  <c r="B71" i="105"/>
  <c r="A71" i="105"/>
  <c r="AP70" i="105"/>
  <c r="AN70" i="105"/>
  <c r="G70" i="105" s="1"/>
  <c r="AM70" i="105"/>
  <c r="AO70" i="105" s="1"/>
  <c r="K70" i="105"/>
  <c r="F70" i="105"/>
  <c r="E70" i="105"/>
  <c r="J70" i="105" s="1"/>
  <c r="D70" i="105"/>
  <c r="C70" i="105"/>
  <c r="B70" i="105"/>
  <c r="A70" i="105"/>
  <c r="AP69" i="105"/>
  <c r="AN69" i="105"/>
  <c r="G69" i="105" s="1"/>
  <c r="AM69" i="105"/>
  <c r="AO69" i="105" s="1"/>
  <c r="K69" i="105"/>
  <c r="F69" i="105"/>
  <c r="E69" i="105"/>
  <c r="J69" i="105" s="1"/>
  <c r="D69" i="105"/>
  <c r="C69" i="105"/>
  <c r="B69" i="105"/>
  <c r="A69" i="105"/>
  <c r="AP68" i="105"/>
  <c r="AN68" i="105"/>
  <c r="G68" i="105" s="1"/>
  <c r="AM68" i="105"/>
  <c r="AO68" i="105" s="1"/>
  <c r="K68" i="105"/>
  <c r="F68" i="105"/>
  <c r="E68" i="105"/>
  <c r="J68" i="105" s="1"/>
  <c r="D68" i="105"/>
  <c r="C68" i="105"/>
  <c r="B68" i="105"/>
  <c r="A68" i="105"/>
  <c r="AP67" i="105"/>
  <c r="AN67" i="105"/>
  <c r="G67" i="105" s="1"/>
  <c r="AM67" i="105"/>
  <c r="AO67" i="105" s="1"/>
  <c r="K67" i="105"/>
  <c r="F67" i="105"/>
  <c r="E67" i="105"/>
  <c r="J67" i="105" s="1"/>
  <c r="D67" i="105"/>
  <c r="C67" i="105"/>
  <c r="B67" i="105"/>
  <c r="A67" i="105"/>
  <c r="AP66" i="105"/>
  <c r="AN66" i="105"/>
  <c r="G66" i="105" s="1"/>
  <c r="AM66" i="105"/>
  <c r="AO66" i="105" s="1"/>
  <c r="K66" i="105"/>
  <c r="F66" i="105"/>
  <c r="E66" i="105"/>
  <c r="J66" i="105" s="1"/>
  <c r="D66" i="105"/>
  <c r="C66" i="105"/>
  <c r="B66" i="105"/>
  <c r="A66" i="105"/>
  <c r="AP65" i="105"/>
  <c r="AN65" i="105"/>
  <c r="G65" i="105" s="1"/>
  <c r="AM65" i="105"/>
  <c r="AO65" i="105" s="1"/>
  <c r="K65" i="105"/>
  <c r="F65" i="105"/>
  <c r="E65" i="105"/>
  <c r="J65" i="105" s="1"/>
  <c r="D65" i="105"/>
  <c r="C65" i="105"/>
  <c r="B65" i="105"/>
  <c r="A65" i="105"/>
  <c r="AP64" i="105"/>
  <c r="AN64" i="105"/>
  <c r="G64" i="105" s="1"/>
  <c r="AM64" i="105"/>
  <c r="AO64" i="105" s="1"/>
  <c r="K64" i="105"/>
  <c r="F64" i="105"/>
  <c r="E64" i="105"/>
  <c r="J64" i="105" s="1"/>
  <c r="D64" i="105"/>
  <c r="C64" i="105"/>
  <c r="B64" i="105"/>
  <c r="A64" i="105"/>
  <c r="AP63" i="105"/>
  <c r="AN63" i="105"/>
  <c r="G63" i="105" s="1"/>
  <c r="AM63" i="105"/>
  <c r="AO63" i="105" s="1"/>
  <c r="K63" i="105"/>
  <c r="F63" i="105"/>
  <c r="E63" i="105"/>
  <c r="J63" i="105" s="1"/>
  <c r="D63" i="105"/>
  <c r="C63" i="105"/>
  <c r="B63" i="105"/>
  <c r="A63" i="105"/>
  <c r="AP62" i="105"/>
  <c r="AN62" i="105"/>
  <c r="G62" i="105" s="1"/>
  <c r="AM62" i="105"/>
  <c r="AO62" i="105" s="1"/>
  <c r="K62" i="105"/>
  <c r="F62" i="105"/>
  <c r="E62" i="105"/>
  <c r="J62" i="105" s="1"/>
  <c r="D62" i="105"/>
  <c r="C62" i="105"/>
  <c r="B62" i="105"/>
  <c r="A62" i="105"/>
  <c r="AP61" i="105"/>
  <c r="AN61" i="105"/>
  <c r="G61" i="105" s="1"/>
  <c r="AM61" i="105"/>
  <c r="AO61" i="105" s="1"/>
  <c r="K61" i="105"/>
  <c r="F61" i="105"/>
  <c r="E61" i="105"/>
  <c r="J61" i="105" s="1"/>
  <c r="D61" i="105"/>
  <c r="C61" i="105"/>
  <c r="B61" i="105"/>
  <c r="A61" i="105"/>
  <c r="AP60" i="105"/>
  <c r="AN60" i="105"/>
  <c r="G60" i="105" s="1"/>
  <c r="AM60" i="105"/>
  <c r="AO60" i="105" s="1"/>
  <c r="K60" i="105"/>
  <c r="F60" i="105"/>
  <c r="E60" i="105"/>
  <c r="J60" i="105" s="1"/>
  <c r="D60" i="105"/>
  <c r="C60" i="105"/>
  <c r="B60" i="105"/>
  <c r="A60" i="105"/>
  <c r="AP59" i="105"/>
  <c r="AN59" i="105"/>
  <c r="G59" i="105" s="1"/>
  <c r="AM59" i="105"/>
  <c r="AO59" i="105" s="1"/>
  <c r="K59" i="105"/>
  <c r="F59" i="105"/>
  <c r="E59" i="105"/>
  <c r="J59" i="105" s="1"/>
  <c r="D59" i="105"/>
  <c r="C59" i="105"/>
  <c r="B59" i="105"/>
  <c r="A59" i="105"/>
  <c r="AP58" i="105"/>
  <c r="AN58" i="105"/>
  <c r="G58" i="105" s="1"/>
  <c r="AM58" i="105"/>
  <c r="AO58" i="105" s="1"/>
  <c r="K58" i="105"/>
  <c r="F58" i="105"/>
  <c r="E58" i="105"/>
  <c r="J58" i="105" s="1"/>
  <c r="D58" i="105"/>
  <c r="C58" i="105"/>
  <c r="B58" i="105"/>
  <c r="A58" i="105"/>
  <c r="AP57" i="105"/>
  <c r="AN57" i="105"/>
  <c r="G57" i="105" s="1"/>
  <c r="AM57" i="105"/>
  <c r="AO57" i="105" s="1"/>
  <c r="K57" i="105"/>
  <c r="F57" i="105"/>
  <c r="E57" i="105"/>
  <c r="J57" i="105" s="1"/>
  <c r="D57" i="105"/>
  <c r="C57" i="105"/>
  <c r="B57" i="105"/>
  <c r="A57" i="105"/>
  <c r="AP56" i="105"/>
  <c r="AN56" i="105"/>
  <c r="G56" i="105" s="1"/>
  <c r="AM56" i="105"/>
  <c r="AO56" i="105" s="1"/>
  <c r="K56" i="105"/>
  <c r="F56" i="105"/>
  <c r="E56" i="105"/>
  <c r="J56" i="105" s="1"/>
  <c r="D56" i="105"/>
  <c r="C56" i="105"/>
  <c r="B56" i="105"/>
  <c r="A56" i="105"/>
  <c r="AP55" i="105"/>
  <c r="AN55" i="105"/>
  <c r="G55" i="105" s="1"/>
  <c r="AM55" i="105"/>
  <c r="AO55" i="105" s="1"/>
  <c r="K55" i="105"/>
  <c r="F55" i="105"/>
  <c r="E55" i="105"/>
  <c r="J55" i="105" s="1"/>
  <c r="D55" i="105"/>
  <c r="C55" i="105"/>
  <c r="B55" i="105"/>
  <c r="A55" i="105"/>
  <c r="AP54" i="105"/>
  <c r="AN54" i="105"/>
  <c r="G54" i="105" s="1"/>
  <c r="AM54" i="105"/>
  <c r="AO54" i="105" s="1"/>
  <c r="K54" i="105"/>
  <c r="F54" i="105"/>
  <c r="E54" i="105"/>
  <c r="J54" i="105" s="1"/>
  <c r="D54" i="105"/>
  <c r="C54" i="105"/>
  <c r="B54" i="105"/>
  <c r="A54" i="105"/>
  <c r="AP53" i="105"/>
  <c r="AN53" i="105"/>
  <c r="G53" i="105" s="1"/>
  <c r="AM53" i="105"/>
  <c r="AO53" i="105" s="1"/>
  <c r="K53" i="105"/>
  <c r="F53" i="105"/>
  <c r="E53" i="105"/>
  <c r="J53" i="105" s="1"/>
  <c r="D53" i="105"/>
  <c r="C53" i="105"/>
  <c r="B53" i="105"/>
  <c r="A53" i="105"/>
  <c r="AP52" i="105"/>
  <c r="AN52" i="105"/>
  <c r="G52" i="105" s="1"/>
  <c r="AM52" i="105"/>
  <c r="AO52" i="105" s="1"/>
  <c r="K52" i="105"/>
  <c r="F52" i="105"/>
  <c r="E52" i="105"/>
  <c r="J52" i="105" s="1"/>
  <c r="D52" i="105"/>
  <c r="C52" i="105"/>
  <c r="B52" i="105"/>
  <c r="A52" i="105"/>
  <c r="AP51" i="105"/>
  <c r="AN51" i="105"/>
  <c r="G51" i="105" s="1"/>
  <c r="AM51" i="105"/>
  <c r="AO51" i="105" s="1"/>
  <c r="K51" i="105"/>
  <c r="F51" i="105"/>
  <c r="E51" i="105"/>
  <c r="J51" i="105" s="1"/>
  <c r="D51" i="105"/>
  <c r="C51" i="105"/>
  <c r="B51" i="105"/>
  <c r="A51" i="105"/>
  <c r="AP50" i="105"/>
  <c r="AN50" i="105"/>
  <c r="G50" i="105" s="1"/>
  <c r="AM50" i="105"/>
  <c r="AO50" i="105" s="1"/>
  <c r="K50" i="105"/>
  <c r="F50" i="105"/>
  <c r="E50" i="105"/>
  <c r="J50" i="105" s="1"/>
  <c r="D50" i="105"/>
  <c r="C50" i="105"/>
  <c r="B50" i="105"/>
  <c r="A50" i="105"/>
  <c r="AP49" i="105"/>
  <c r="AN49" i="105"/>
  <c r="G49" i="105" s="1"/>
  <c r="AM49" i="105"/>
  <c r="K49" i="105"/>
  <c r="F49" i="105"/>
  <c r="E49" i="105"/>
  <c r="J49" i="105" s="1"/>
  <c r="D49" i="105"/>
  <c r="C49" i="105"/>
  <c r="B49" i="105"/>
  <c r="A49" i="105"/>
  <c r="AP48" i="105"/>
  <c r="AN48" i="105"/>
  <c r="G48" i="105" s="1"/>
  <c r="AM48" i="105"/>
  <c r="XES48" i="105" s="1"/>
  <c r="K48" i="105"/>
  <c r="F48" i="105"/>
  <c r="E48" i="105"/>
  <c r="J48" i="105" s="1"/>
  <c r="D48" i="105"/>
  <c r="C48" i="105"/>
  <c r="B48" i="105"/>
  <c r="A48" i="105"/>
  <c r="AP47" i="105"/>
  <c r="AN47" i="105"/>
  <c r="G47" i="105" s="1"/>
  <c r="AM47" i="105"/>
  <c r="K47" i="105"/>
  <c r="F47" i="105"/>
  <c r="E47" i="105"/>
  <c r="J47" i="105" s="1"/>
  <c r="D47" i="105"/>
  <c r="C47" i="105"/>
  <c r="B47" i="105"/>
  <c r="A47" i="105"/>
  <c r="AP46" i="105"/>
  <c r="AN46" i="105"/>
  <c r="G46" i="105" s="1"/>
  <c r="AM46" i="105"/>
  <c r="XES46" i="105" s="1"/>
  <c r="K46" i="105"/>
  <c r="F46" i="105"/>
  <c r="E46" i="105"/>
  <c r="J46" i="105" s="1"/>
  <c r="D46" i="105"/>
  <c r="C46" i="105"/>
  <c r="B46" i="105"/>
  <c r="A46" i="105"/>
  <c r="AP45" i="105"/>
  <c r="AN45" i="105"/>
  <c r="G45" i="105" s="1"/>
  <c r="AM45" i="105"/>
  <c r="XES45" i="105" s="1"/>
  <c r="K45" i="105"/>
  <c r="F45" i="105"/>
  <c r="E45" i="105"/>
  <c r="J45" i="105" s="1"/>
  <c r="D45" i="105"/>
  <c r="C45" i="105"/>
  <c r="B45" i="105"/>
  <c r="A45" i="105"/>
  <c r="AP44" i="105"/>
  <c r="AM44" i="105"/>
  <c r="K44" i="105"/>
  <c r="F44" i="105"/>
  <c r="E44" i="105"/>
  <c r="J44" i="105" s="1"/>
  <c r="D44" i="105"/>
  <c r="C44" i="105"/>
  <c r="B44" i="105"/>
  <c r="A44" i="105"/>
  <c r="AP43" i="105"/>
  <c r="AM43" i="105"/>
  <c r="XES43" i="105" s="1"/>
  <c r="K43" i="105"/>
  <c r="F43" i="105"/>
  <c r="E43" i="105"/>
  <c r="J43" i="105" s="1"/>
  <c r="D43" i="105"/>
  <c r="C43" i="105"/>
  <c r="B43" i="105"/>
  <c r="A43" i="105"/>
  <c r="AP42" i="105"/>
  <c r="AM42" i="105"/>
  <c r="K42" i="105"/>
  <c r="F42" i="105"/>
  <c r="E42" i="105"/>
  <c r="J42" i="105" s="1"/>
  <c r="D42" i="105"/>
  <c r="C42" i="105"/>
  <c r="B42" i="105"/>
  <c r="A42" i="105"/>
  <c r="AP41" i="105"/>
  <c r="AM41" i="105"/>
  <c r="K41" i="105"/>
  <c r="F41" i="105"/>
  <c r="E41" i="105"/>
  <c r="J41" i="105" s="1"/>
  <c r="D41" i="105"/>
  <c r="C41" i="105"/>
  <c r="B41" i="105"/>
  <c r="A41" i="105"/>
  <c r="AP40" i="105"/>
  <c r="AM40" i="105"/>
  <c r="K40" i="105"/>
  <c r="F40" i="105"/>
  <c r="E40" i="105"/>
  <c r="J40" i="105" s="1"/>
  <c r="D40" i="105"/>
  <c r="C40" i="105"/>
  <c r="B40" i="105"/>
  <c r="A40" i="105"/>
  <c r="AP39" i="105"/>
  <c r="AM39" i="105"/>
  <c r="K39" i="105"/>
  <c r="F39" i="105"/>
  <c r="E39" i="105"/>
  <c r="J39" i="105" s="1"/>
  <c r="D39" i="105"/>
  <c r="C39" i="105"/>
  <c r="B39" i="105"/>
  <c r="A39" i="105"/>
  <c r="AP38" i="105"/>
  <c r="AM38" i="105"/>
  <c r="K38" i="105"/>
  <c r="F38" i="105"/>
  <c r="E38" i="105"/>
  <c r="J38" i="105" s="1"/>
  <c r="D38" i="105"/>
  <c r="C38" i="105"/>
  <c r="B38" i="105"/>
  <c r="A38" i="105"/>
  <c r="AP37" i="105"/>
  <c r="AM37" i="105"/>
  <c r="K37" i="105"/>
  <c r="F37" i="105"/>
  <c r="E37" i="105"/>
  <c r="J37" i="105" s="1"/>
  <c r="D37" i="105"/>
  <c r="C37" i="105"/>
  <c r="B37" i="105"/>
  <c r="A37" i="105"/>
  <c r="AP36" i="105"/>
  <c r="AM36" i="105"/>
  <c r="K36" i="105"/>
  <c r="F36" i="105"/>
  <c r="E36" i="105"/>
  <c r="J36" i="105" s="1"/>
  <c r="D36" i="105"/>
  <c r="C36" i="105"/>
  <c r="B36" i="105"/>
  <c r="A36" i="105"/>
  <c r="AP35" i="105"/>
  <c r="AM35" i="105"/>
  <c r="K35" i="105"/>
  <c r="F35" i="105"/>
  <c r="E35" i="105"/>
  <c r="J35" i="105" s="1"/>
  <c r="D35" i="105"/>
  <c r="C35" i="105"/>
  <c r="B35" i="105"/>
  <c r="A35" i="105"/>
  <c r="AP34" i="105"/>
  <c r="AM34" i="105"/>
  <c r="K34" i="105"/>
  <c r="F34" i="105"/>
  <c r="E34" i="105"/>
  <c r="J34" i="105" s="1"/>
  <c r="D34" i="105"/>
  <c r="C34" i="105"/>
  <c r="B34" i="105"/>
  <c r="A34" i="105"/>
  <c r="AP33" i="105"/>
  <c r="AM33" i="105"/>
  <c r="K33" i="105"/>
  <c r="F33" i="105"/>
  <c r="E33" i="105"/>
  <c r="J33" i="105" s="1"/>
  <c r="D33" i="105"/>
  <c r="C33" i="105"/>
  <c r="B33" i="105"/>
  <c r="A33" i="105"/>
  <c r="AP32" i="105"/>
  <c r="AM32" i="105"/>
  <c r="K32" i="105"/>
  <c r="F32" i="105"/>
  <c r="E32" i="105"/>
  <c r="J32" i="105" s="1"/>
  <c r="D32" i="105"/>
  <c r="C32" i="105"/>
  <c r="B32" i="105"/>
  <c r="A32" i="105"/>
  <c r="AP31" i="105"/>
  <c r="AM31" i="105"/>
  <c r="XEP31" i="105" s="1"/>
  <c r="K31" i="105"/>
  <c r="F31" i="105"/>
  <c r="E31" i="105"/>
  <c r="J31" i="105" s="1"/>
  <c r="D31" i="105"/>
  <c r="C31" i="105"/>
  <c r="B31" i="105"/>
  <c r="A31" i="105"/>
  <c r="AP30" i="105"/>
  <c r="AM30" i="105"/>
  <c r="XEP30" i="105" s="1"/>
  <c r="K30" i="105"/>
  <c r="F30" i="105"/>
  <c r="E30" i="105"/>
  <c r="J30" i="105" s="1"/>
  <c r="D30" i="105"/>
  <c r="C30" i="105"/>
  <c r="B30" i="105"/>
  <c r="A30" i="105"/>
  <c r="AP29" i="105"/>
  <c r="AM29" i="105"/>
  <c r="XEP29" i="105" s="1"/>
  <c r="K29" i="105"/>
  <c r="F29" i="105"/>
  <c r="E29" i="105"/>
  <c r="J29" i="105" s="1"/>
  <c r="D29" i="105"/>
  <c r="C29" i="105"/>
  <c r="B29" i="105"/>
  <c r="A29" i="105"/>
  <c r="AP27" i="105"/>
  <c r="AM27" i="105"/>
  <c r="K27" i="105"/>
  <c r="F27" i="105"/>
  <c r="E27" i="105"/>
  <c r="J27" i="105" s="1"/>
  <c r="D27" i="105"/>
  <c r="C27" i="105"/>
  <c r="B27" i="105"/>
  <c r="A27" i="105"/>
  <c r="AP26" i="105"/>
  <c r="AM26" i="105"/>
  <c r="K26" i="105"/>
  <c r="F26" i="105"/>
  <c r="E26" i="105"/>
  <c r="J26" i="105" s="1"/>
  <c r="D26" i="105"/>
  <c r="C26" i="105"/>
  <c r="B26" i="105"/>
  <c r="A26" i="105"/>
  <c r="AP25" i="105"/>
  <c r="AM25" i="105"/>
  <c r="K25" i="105"/>
  <c r="F25" i="105"/>
  <c r="E25" i="105"/>
  <c r="J25" i="105" s="1"/>
  <c r="D25" i="105"/>
  <c r="C25" i="105"/>
  <c r="B25" i="105"/>
  <c r="A25" i="105"/>
  <c r="AP24" i="105"/>
  <c r="AM24" i="105"/>
  <c r="K24" i="105"/>
  <c r="E24" i="105"/>
  <c r="J24" i="105" s="1"/>
  <c r="D24" i="105"/>
  <c r="C24" i="105"/>
  <c r="B24" i="105"/>
  <c r="A24" i="105"/>
  <c r="AP23" i="105"/>
  <c r="AM23" i="105"/>
  <c r="K23" i="105"/>
  <c r="F23" i="105"/>
  <c r="E23" i="105"/>
  <c r="J23" i="105" s="1"/>
  <c r="D23" i="105"/>
  <c r="C23" i="105"/>
  <c r="B23" i="105"/>
  <c r="A23" i="105"/>
  <c r="AP19" i="105"/>
  <c r="AM19" i="105"/>
  <c r="K19" i="105"/>
  <c r="F19" i="105"/>
  <c r="E19" i="105"/>
  <c r="J19" i="105" s="1"/>
  <c r="D19" i="105"/>
  <c r="C19" i="105"/>
  <c r="B19" i="105"/>
  <c r="A19" i="105"/>
  <c r="AP18" i="105"/>
  <c r="AM18" i="105"/>
  <c r="K18" i="105"/>
  <c r="F18" i="105"/>
  <c r="E18" i="105"/>
  <c r="J18" i="105" s="1"/>
  <c r="D18" i="105"/>
  <c r="C18" i="105"/>
  <c r="B18" i="105"/>
  <c r="A18" i="105"/>
  <c r="AP17" i="105"/>
  <c r="AM17" i="105"/>
  <c r="K17" i="105"/>
  <c r="F17" i="105"/>
  <c r="E17" i="105"/>
  <c r="J17" i="105" s="1"/>
  <c r="D17" i="105"/>
  <c r="C17" i="105"/>
  <c r="B17" i="105"/>
  <c r="A17" i="105"/>
  <c r="AP16" i="105"/>
  <c r="AM16" i="105"/>
  <c r="K16" i="105"/>
  <c r="F16" i="105"/>
  <c r="E16" i="105"/>
  <c r="J16" i="105" s="1"/>
  <c r="D16" i="105"/>
  <c r="C16" i="105"/>
  <c r="B16" i="105"/>
  <c r="A16" i="105"/>
  <c r="AP15" i="105"/>
  <c r="AM15" i="105"/>
  <c r="K15" i="105"/>
  <c r="F15" i="105"/>
  <c r="E15" i="105"/>
  <c r="J15" i="105" s="1"/>
  <c r="D15" i="105"/>
  <c r="C15" i="105"/>
  <c r="B15" i="105"/>
  <c r="A15" i="105"/>
  <c r="AP14" i="105"/>
  <c r="AM14" i="105"/>
  <c r="XES14" i="105" s="1"/>
  <c r="K14" i="105"/>
  <c r="F14" i="105"/>
  <c r="E14" i="105"/>
  <c r="J14" i="105" s="1"/>
  <c r="D14" i="105"/>
  <c r="C14" i="105"/>
  <c r="B14" i="105"/>
  <c r="A14" i="105"/>
  <c r="D5" i="105"/>
  <c r="AP100" i="104"/>
  <c r="AN100" i="104"/>
  <c r="G100" i="104" s="1"/>
  <c r="AM100" i="104"/>
  <c r="AO100" i="104" s="1"/>
  <c r="K100" i="104"/>
  <c r="F100" i="104"/>
  <c r="E100" i="104"/>
  <c r="J100" i="104" s="1"/>
  <c r="D100" i="104"/>
  <c r="C100" i="104"/>
  <c r="B100" i="104"/>
  <c r="A100" i="104"/>
  <c r="AP99" i="104"/>
  <c r="AN99" i="104"/>
  <c r="G99" i="104" s="1"/>
  <c r="AM99" i="104"/>
  <c r="AO99" i="104" s="1"/>
  <c r="K99" i="104"/>
  <c r="F99" i="104"/>
  <c r="E99" i="104"/>
  <c r="J99" i="104" s="1"/>
  <c r="D99" i="104"/>
  <c r="C99" i="104"/>
  <c r="B99" i="104"/>
  <c r="A99" i="104"/>
  <c r="AP98" i="104"/>
  <c r="AN98" i="104"/>
  <c r="G98" i="104" s="1"/>
  <c r="AM98" i="104"/>
  <c r="AO98" i="104" s="1"/>
  <c r="K98" i="104"/>
  <c r="F98" i="104"/>
  <c r="E98" i="104"/>
  <c r="J98" i="104" s="1"/>
  <c r="D98" i="104"/>
  <c r="C98" i="104"/>
  <c r="B98" i="104"/>
  <c r="A98" i="104"/>
  <c r="AP97" i="104"/>
  <c r="AN97" i="104"/>
  <c r="G97" i="104" s="1"/>
  <c r="AM97" i="104"/>
  <c r="AO97" i="104" s="1"/>
  <c r="K97" i="104"/>
  <c r="F97" i="104"/>
  <c r="E97" i="104"/>
  <c r="J97" i="104" s="1"/>
  <c r="D97" i="104"/>
  <c r="C97" i="104"/>
  <c r="B97" i="104"/>
  <c r="A97" i="104"/>
  <c r="AP96" i="104"/>
  <c r="AN96" i="104"/>
  <c r="G96" i="104" s="1"/>
  <c r="AM96" i="104"/>
  <c r="AO96" i="104" s="1"/>
  <c r="K96" i="104"/>
  <c r="F96" i="104"/>
  <c r="E96" i="104"/>
  <c r="J96" i="104" s="1"/>
  <c r="D96" i="104"/>
  <c r="C96" i="104"/>
  <c r="B96" i="104"/>
  <c r="A96" i="104"/>
  <c r="AP95" i="104"/>
  <c r="AN95" i="104"/>
  <c r="G95" i="104" s="1"/>
  <c r="AM95" i="104"/>
  <c r="AO95" i="104" s="1"/>
  <c r="K95" i="104"/>
  <c r="F95" i="104"/>
  <c r="E95" i="104"/>
  <c r="J95" i="104" s="1"/>
  <c r="D95" i="104"/>
  <c r="C95" i="104"/>
  <c r="B95" i="104"/>
  <c r="A95" i="104"/>
  <c r="AP94" i="104"/>
  <c r="AN94" i="104"/>
  <c r="G94" i="104" s="1"/>
  <c r="AM94" i="104"/>
  <c r="AO94" i="104" s="1"/>
  <c r="K94" i="104"/>
  <c r="F94" i="104"/>
  <c r="E94" i="104"/>
  <c r="J94" i="104" s="1"/>
  <c r="D94" i="104"/>
  <c r="C94" i="104"/>
  <c r="B94" i="104"/>
  <c r="A94" i="104"/>
  <c r="AP93" i="104"/>
  <c r="AN93" i="104"/>
  <c r="G93" i="104" s="1"/>
  <c r="AM93" i="104"/>
  <c r="AO93" i="104" s="1"/>
  <c r="K93" i="104"/>
  <c r="F93" i="104"/>
  <c r="E93" i="104"/>
  <c r="J93" i="104" s="1"/>
  <c r="D93" i="104"/>
  <c r="C93" i="104"/>
  <c r="B93" i="104"/>
  <c r="A93" i="104"/>
  <c r="AP92" i="104"/>
  <c r="AN92" i="104"/>
  <c r="G92" i="104" s="1"/>
  <c r="AM92" i="104"/>
  <c r="AO92" i="104" s="1"/>
  <c r="K92" i="104"/>
  <c r="F92" i="104"/>
  <c r="E92" i="104"/>
  <c r="J92" i="104" s="1"/>
  <c r="D92" i="104"/>
  <c r="C92" i="104"/>
  <c r="B92" i="104"/>
  <c r="A92" i="104"/>
  <c r="AP91" i="104"/>
  <c r="AN91" i="104"/>
  <c r="G91" i="104" s="1"/>
  <c r="AM91" i="104"/>
  <c r="AO91" i="104" s="1"/>
  <c r="K91" i="104"/>
  <c r="F91" i="104"/>
  <c r="E91" i="104"/>
  <c r="J91" i="104" s="1"/>
  <c r="D91" i="104"/>
  <c r="C91" i="104"/>
  <c r="B91" i="104"/>
  <c r="A91" i="104"/>
  <c r="AP90" i="104"/>
  <c r="AN90" i="104"/>
  <c r="G90" i="104" s="1"/>
  <c r="AM90" i="104"/>
  <c r="AO90" i="104" s="1"/>
  <c r="K90" i="104"/>
  <c r="F90" i="104"/>
  <c r="E90" i="104"/>
  <c r="J90" i="104" s="1"/>
  <c r="D90" i="104"/>
  <c r="C90" i="104"/>
  <c r="B90" i="104"/>
  <c r="A90" i="104"/>
  <c r="AP89" i="104"/>
  <c r="AN89" i="104"/>
  <c r="G89" i="104" s="1"/>
  <c r="AM89" i="104"/>
  <c r="AO89" i="104" s="1"/>
  <c r="K89" i="104"/>
  <c r="F89" i="104"/>
  <c r="E89" i="104"/>
  <c r="J89" i="104" s="1"/>
  <c r="D89" i="104"/>
  <c r="C89" i="104"/>
  <c r="B89" i="104"/>
  <c r="A89" i="104"/>
  <c r="AP88" i="104"/>
  <c r="AN88" i="104"/>
  <c r="G88" i="104" s="1"/>
  <c r="AM88" i="104"/>
  <c r="AO88" i="104" s="1"/>
  <c r="K88" i="104"/>
  <c r="F88" i="104"/>
  <c r="E88" i="104"/>
  <c r="J88" i="104" s="1"/>
  <c r="D88" i="104"/>
  <c r="C88" i="104"/>
  <c r="B88" i="104"/>
  <c r="A88" i="104"/>
  <c r="AP87" i="104"/>
  <c r="AN87" i="104"/>
  <c r="G87" i="104" s="1"/>
  <c r="AM87" i="104"/>
  <c r="AO87" i="104" s="1"/>
  <c r="K87" i="104"/>
  <c r="F87" i="104"/>
  <c r="E87" i="104"/>
  <c r="J87" i="104" s="1"/>
  <c r="D87" i="104"/>
  <c r="C87" i="104"/>
  <c r="B87" i="104"/>
  <c r="A87" i="104"/>
  <c r="AP86" i="104"/>
  <c r="AN86" i="104"/>
  <c r="G86" i="104" s="1"/>
  <c r="AM86" i="104"/>
  <c r="AO86" i="104" s="1"/>
  <c r="K86" i="104"/>
  <c r="F86" i="104"/>
  <c r="E86" i="104"/>
  <c r="J86" i="104" s="1"/>
  <c r="D86" i="104"/>
  <c r="C86" i="104"/>
  <c r="B86" i="104"/>
  <c r="A86" i="104"/>
  <c r="AP85" i="104"/>
  <c r="AN85" i="104"/>
  <c r="G85" i="104" s="1"/>
  <c r="AM85" i="104"/>
  <c r="AO85" i="104" s="1"/>
  <c r="K85" i="104"/>
  <c r="F85" i="104"/>
  <c r="E85" i="104"/>
  <c r="J85" i="104" s="1"/>
  <c r="D85" i="104"/>
  <c r="C85" i="104"/>
  <c r="B85" i="104"/>
  <c r="A85" i="104"/>
  <c r="AP84" i="104"/>
  <c r="AN84" i="104"/>
  <c r="G84" i="104" s="1"/>
  <c r="AM84" i="104"/>
  <c r="AO84" i="104" s="1"/>
  <c r="K84" i="104"/>
  <c r="F84" i="104"/>
  <c r="E84" i="104"/>
  <c r="J84" i="104" s="1"/>
  <c r="D84" i="104"/>
  <c r="C84" i="104"/>
  <c r="B84" i="104"/>
  <c r="A84" i="104"/>
  <c r="AP83" i="104"/>
  <c r="AN83" i="104"/>
  <c r="G83" i="104" s="1"/>
  <c r="AM83" i="104"/>
  <c r="AO83" i="104" s="1"/>
  <c r="K83" i="104"/>
  <c r="F83" i="104"/>
  <c r="E83" i="104"/>
  <c r="J83" i="104" s="1"/>
  <c r="D83" i="104"/>
  <c r="C83" i="104"/>
  <c r="B83" i="104"/>
  <c r="A83" i="104"/>
  <c r="AP82" i="104"/>
  <c r="AN82" i="104"/>
  <c r="G82" i="104" s="1"/>
  <c r="AM82" i="104"/>
  <c r="AO82" i="104" s="1"/>
  <c r="K82" i="104"/>
  <c r="F82" i="104"/>
  <c r="E82" i="104"/>
  <c r="J82" i="104" s="1"/>
  <c r="D82" i="104"/>
  <c r="C82" i="104"/>
  <c r="B82" i="104"/>
  <c r="A82" i="104"/>
  <c r="AP81" i="104"/>
  <c r="AN81" i="104"/>
  <c r="G81" i="104" s="1"/>
  <c r="AM81" i="104"/>
  <c r="AO81" i="104" s="1"/>
  <c r="K81" i="104"/>
  <c r="F81" i="104"/>
  <c r="E81" i="104"/>
  <c r="J81" i="104" s="1"/>
  <c r="D81" i="104"/>
  <c r="C81" i="104"/>
  <c r="B81" i="104"/>
  <c r="A81" i="104"/>
  <c r="AP80" i="104"/>
  <c r="AN80" i="104"/>
  <c r="G80" i="104" s="1"/>
  <c r="AM80" i="104"/>
  <c r="AO80" i="104" s="1"/>
  <c r="K80" i="104"/>
  <c r="F80" i="104"/>
  <c r="E80" i="104"/>
  <c r="J80" i="104" s="1"/>
  <c r="D80" i="104"/>
  <c r="C80" i="104"/>
  <c r="B80" i="104"/>
  <c r="A80" i="104"/>
  <c r="AP79" i="104"/>
  <c r="AN79" i="104"/>
  <c r="G79" i="104" s="1"/>
  <c r="AM79" i="104"/>
  <c r="AO79" i="104" s="1"/>
  <c r="K79" i="104"/>
  <c r="F79" i="104"/>
  <c r="E79" i="104"/>
  <c r="J79" i="104" s="1"/>
  <c r="D79" i="104"/>
  <c r="C79" i="104"/>
  <c r="B79" i="104"/>
  <c r="A79" i="104"/>
  <c r="AP78" i="104"/>
  <c r="AN78" i="104"/>
  <c r="G78" i="104" s="1"/>
  <c r="AM78" i="104"/>
  <c r="AO78" i="104" s="1"/>
  <c r="K78" i="104"/>
  <c r="F78" i="104"/>
  <c r="E78" i="104"/>
  <c r="J78" i="104" s="1"/>
  <c r="D78" i="104"/>
  <c r="C78" i="104"/>
  <c r="B78" i="104"/>
  <c r="A78" i="104"/>
  <c r="AP77" i="104"/>
  <c r="AN77" i="104"/>
  <c r="G77" i="104" s="1"/>
  <c r="AM77" i="104"/>
  <c r="AO77" i="104" s="1"/>
  <c r="K77" i="104"/>
  <c r="F77" i="104"/>
  <c r="E77" i="104"/>
  <c r="J77" i="104" s="1"/>
  <c r="D77" i="104"/>
  <c r="C77" i="104"/>
  <c r="B77" i="104"/>
  <c r="A77" i="104"/>
  <c r="AP76" i="104"/>
  <c r="AN76" i="104"/>
  <c r="G76" i="104" s="1"/>
  <c r="AM76" i="104"/>
  <c r="AO76" i="104" s="1"/>
  <c r="K76" i="104"/>
  <c r="F76" i="104"/>
  <c r="E76" i="104"/>
  <c r="J76" i="104" s="1"/>
  <c r="D76" i="104"/>
  <c r="C76" i="104"/>
  <c r="B76" i="104"/>
  <c r="A76" i="104"/>
  <c r="AP75" i="104"/>
  <c r="AN75" i="104"/>
  <c r="G75" i="104" s="1"/>
  <c r="AM75" i="104"/>
  <c r="AO75" i="104" s="1"/>
  <c r="K75" i="104"/>
  <c r="F75" i="104"/>
  <c r="E75" i="104"/>
  <c r="J75" i="104" s="1"/>
  <c r="D75" i="104"/>
  <c r="C75" i="104"/>
  <c r="B75" i="104"/>
  <c r="A75" i="104"/>
  <c r="AP74" i="104"/>
  <c r="AN74" i="104"/>
  <c r="G74" i="104" s="1"/>
  <c r="AM74" i="104"/>
  <c r="AO74" i="104" s="1"/>
  <c r="K74" i="104"/>
  <c r="F74" i="104"/>
  <c r="E74" i="104"/>
  <c r="J74" i="104" s="1"/>
  <c r="D74" i="104"/>
  <c r="C74" i="104"/>
  <c r="B74" i="104"/>
  <c r="A74" i="104"/>
  <c r="AP73" i="104"/>
  <c r="AN73" i="104"/>
  <c r="G73" i="104" s="1"/>
  <c r="AM73" i="104"/>
  <c r="AO73" i="104" s="1"/>
  <c r="K73" i="104"/>
  <c r="F73" i="104"/>
  <c r="E73" i="104"/>
  <c r="J73" i="104" s="1"/>
  <c r="D73" i="104"/>
  <c r="C73" i="104"/>
  <c r="B73" i="104"/>
  <c r="A73" i="104"/>
  <c r="AP72" i="104"/>
  <c r="AN72" i="104"/>
  <c r="G72" i="104" s="1"/>
  <c r="AM72" i="104"/>
  <c r="AO72" i="104" s="1"/>
  <c r="K72" i="104"/>
  <c r="F72" i="104"/>
  <c r="E72" i="104"/>
  <c r="J72" i="104" s="1"/>
  <c r="D72" i="104"/>
  <c r="C72" i="104"/>
  <c r="B72" i="104"/>
  <c r="A72" i="104"/>
  <c r="AP71" i="104"/>
  <c r="AN71" i="104"/>
  <c r="G71" i="104" s="1"/>
  <c r="AM71" i="104"/>
  <c r="AO71" i="104" s="1"/>
  <c r="K71" i="104"/>
  <c r="F71" i="104"/>
  <c r="E71" i="104"/>
  <c r="J71" i="104" s="1"/>
  <c r="D71" i="104"/>
  <c r="C71" i="104"/>
  <c r="B71" i="104"/>
  <c r="A71" i="104"/>
  <c r="AP70" i="104"/>
  <c r="AN70" i="104"/>
  <c r="G70" i="104" s="1"/>
  <c r="AM70" i="104"/>
  <c r="AO70" i="104" s="1"/>
  <c r="K70" i="104"/>
  <c r="F70" i="104"/>
  <c r="E70" i="104"/>
  <c r="J70" i="104" s="1"/>
  <c r="D70" i="104"/>
  <c r="C70" i="104"/>
  <c r="B70" i="104"/>
  <c r="A70" i="104"/>
  <c r="AP69" i="104"/>
  <c r="AN69" i="104"/>
  <c r="G69" i="104" s="1"/>
  <c r="AM69" i="104"/>
  <c r="AO69" i="104" s="1"/>
  <c r="K69" i="104"/>
  <c r="F69" i="104"/>
  <c r="E69" i="104"/>
  <c r="J69" i="104" s="1"/>
  <c r="D69" i="104"/>
  <c r="C69" i="104"/>
  <c r="B69" i="104"/>
  <c r="A69" i="104"/>
  <c r="AP68" i="104"/>
  <c r="AN68" i="104"/>
  <c r="G68" i="104" s="1"/>
  <c r="AM68" i="104"/>
  <c r="AO68" i="104" s="1"/>
  <c r="K68" i="104"/>
  <c r="F68" i="104"/>
  <c r="E68" i="104"/>
  <c r="J68" i="104" s="1"/>
  <c r="D68" i="104"/>
  <c r="C68" i="104"/>
  <c r="B68" i="104"/>
  <c r="A68" i="104"/>
  <c r="AP67" i="104"/>
  <c r="AN67" i="104"/>
  <c r="G67" i="104" s="1"/>
  <c r="AM67" i="104"/>
  <c r="AO67" i="104" s="1"/>
  <c r="K67" i="104"/>
  <c r="F67" i="104"/>
  <c r="E67" i="104"/>
  <c r="J67" i="104" s="1"/>
  <c r="D67" i="104"/>
  <c r="C67" i="104"/>
  <c r="B67" i="104"/>
  <c r="A67" i="104"/>
  <c r="AP66" i="104"/>
  <c r="AN66" i="104"/>
  <c r="G66" i="104" s="1"/>
  <c r="AM66" i="104"/>
  <c r="AO66" i="104" s="1"/>
  <c r="K66" i="104"/>
  <c r="F66" i="104"/>
  <c r="E66" i="104"/>
  <c r="J66" i="104" s="1"/>
  <c r="D66" i="104"/>
  <c r="C66" i="104"/>
  <c r="B66" i="104"/>
  <c r="A66" i="104"/>
  <c r="AP65" i="104"/>
  <c r="AN65" i="104"/>
  <c r="G65" i="104" s="1"/>
  <c r="AM65" i="104"/>
  <c r="AO65" i="104" s="1"/>
  <c r="K65" i="104"/>
  <c r="F65" i="104"/>
  <c r="E65" i="104"/>
  <c r="J65" i="104" s="1"/>
  <c r="D65" i="104"/>
  <c r="C65" i="104"/>
  <c r="B65" i="104"/>
  <c r="A65" i="104"/>
  <c r="AP64" i="104"/>
  <c r="AN64" i="104"/>
  <c r="G64" i="104" s="1"/>
  <c r="AM64" i="104"/>
  <c r="AO64" i="104" s="1"/>
  <c r="K64" i="104"/>
  <c r="F64" i="104"/>
  <c r="E64" i="104"/>
  <c r="J64" i="104" s="1"/>
  <c r="D64" i="104"/>
  <c r="C64" i="104"/>
  <c r="B64" i="104"/>
  <c r="A64" i="104"/>
  <c r="AP63" i="104"/>
  <c r="AN63" i="104"/>
  <c r="G63" i="104" s="1"/>
  <c r="AM63" i="104"/>
  <c r="AO63" i="104" s="1"/>
  <c r="K63" i="104"/>
  <c r="F63" i="104"/>
  <c r="E63" i="104"/>
  <c r="J63" i="104" s="1"/>
  <c r="D63" i="104"/>
  <c r="C63" i="104"/>
  <c r="B63" i="104"/>
  <c r="A63" i="104"/>
  <c r="AP62" i="104"/>
  <c r="AN62" i="104"/>
  <c r="G62" i="104" s="1"/>
  <c r="AM62" i="104"/>
  <c r="AO62" i="104" s="1"/>
  <c r="K62" i="104"/>
  <c r="F62" i="104"/>
  <c r="E62" i="104"/>
  <c r="J62" i="104" s="1"/>
  <c r="D62" i="104"/>
  <c r="C62" i="104"/>
  <c r="B62" i="104"/>
  <c r="A62" i="104"/>
  <c r="AP61" i="104"/>
  <c r="AN61" i="104"/>
  <c r="G61" i="104" s="1"/>
  <c r="AM61" i="104"/>
  <c r="AO61" i="104" s="1"/>
  <c r="K61" i="104"/>
  <c r="F61" i="104"/>
  <c r="E61" i="104"/>
  <c r="J61" i="104" s="1"/>
  <c r="D61" i="104"/>
  <c r="C61" i="104"/>
  <c r="B61" i="104"/>
  <c r="A61" i="104"/>
  <c r="AP60" i="104"/>
  <c r="AN60" i="104"/>
  <c r="G60" i="104" s="1"/>
  <c r="AM60" i="104"/>
  <c r="AO60" i="104" s="1"/>
  <c r="K60" i="104"/>
  <c r="F60" i="104"/>
  <c r="E60" i="104"/>
  <c r="J60" i="104" s="1"/>
  <c r="D60" i="104"/>
  <c r="C60" i="104"/>
  <c r="B60" i="104"/>
  <c r="A60" i="104"/>
  <c r="AP59" i="104"/>
  <c r="AN59" i="104"/>
  <c r="G59" i="104" s="1"/>
  <c r="AM59" i="104"/>
  <c r="AO59" i="104" s="1"/>
  <c r="K59" i="104"/>
  <c r="F59" i="104"/>
  <c r="E59" i="104"/>
  <c r="J59" i="104" s="1"/>
  <c r="D59" i="104"/>
  <c r="C59" i="104"/>
  <c r="B59" i="104"/>
  <c r="A59" i="104"/>
  <c r="AP58" i="104"/>
  <c r="AN58" i="104"/>
  <c r="G58" i="104" s="1"/>
  <c r="AM58" i="104"/>
  <c r="AO58" i="104" s="1"/>
  <c r="K58" i="104"/>
  <c r="F58" i="104"/>
  <c r="E58" i="104"/>
  <c r="J58" i="104" s="1"/>
  <c r="D58" i="104"/>
  <c r="C58" i="104"/>
  <c r="B58" i="104"/>
  <c r="A58" i="104"/>
  <c r="AP57" i="104"/>
  <c r="AN57" i="104"/>
  <c r="G57" i="104" s="1"/>
  <c r="AM57" i="104"/>
  <c r="AO57" i="104" s="1"/>
  <c r="K57" i="104"/>
  <c r="F57" i="104"/>
  <c r="E57" i="104"/>
  <c r="J57" i="104" s="1"/>
  <c r="D57" i="104"/>
  <c r="C57" i="104"/>
  <c r="B57" i="104"/>
  <c r="A57" i="104"/>
  <c r="AP56" i="104"/>
  <c r="AN56" i="104"/>
  <c r="G56" i="104" s="1"/>
  <c r="AM56" i="104"/>
  <c r="AO56" i="104" s="1"/>
  <c r="K56" i="104"/>
  <c r="F56" i="104"/>
  <c r="E56" i="104"/>
  <c r="J56" i="104" s="1"/>
  <c r="D56" i="104"/>
  <c r="C56" i="104"/>
  <c r="B56" i="104"/>
  <c r="A56" i="104"/>
  <c r="AP55" i="104"/>
  <c r="AN55" i="104"/>
  <c r="G55" i="104" s="1"/>
  <c r="AM55" i="104"/>
  <c r="AO55" i="104" s="1"/>
  <c r="K55" i="104"/>
  <c r="F55" i="104"/>
  <c r="E55" i="104"/>
  <c r="J55" i="104" s="1"/>
  <c r="D55" i="104"/>
  <c r="C55" i="104"/>
  <c r="B55" i="104"/>
  <c r="A55" i="104"/>
  <c r="AP54" i="104"/>
  <c r="AN54" i="104"/>
  <c r="G54" i="104" s="1"/>
  <c r="AM54" i="104"/>
  <c r="AO54" i="104" s="1"/>
  <c r="K54" i="104"/>
  <c r="F54" i="104"/>
  <c r="E54" i="104"/>
  <c r="J54" i="104" s="1"/>
  <c r="D54" i="104"/>
  <c r="C54" i="104"/>
  <c r="B54" i="104"/>
  <c r="A54" i="104"/>
  <c r="AP53" i="104"/>
  <c r="AN53" i="104"/>
  <c r="G53" i="104" s="1"/>
  <c r="AM53" i="104"/>
  <c r="AO53" i="104" s="1"/>
  <c r="K53" i="104"/>
  <c r="F53" i="104"/>
  <c r="E53" i="104"/>
  <c r="J53" i="104" s="1"/>
  <c r="D53" i="104"/>
  <c r="C53" i="104"/>
  <c r="B53" i="104"/>
  <c r="A53" i="104"/>
  <c r="AP52" i="104"/>
  <c r="AN52" i="104"/>
  <c r="G52" i="104" s="1"/>
  <c r="AM52" i="104"/>
  <c r="AO52" i="104" s="1"/>
  <c r="K52" i="104"/>
  <c r="F52" i="104"/>
  <c r="E52" i="104"/>
  <c r="J52" i="104" s="1"/>
  <c r="D52" i="104"/>
  <c r="C52" i="104"/>
  <c r="B52" i="104"/>
  <c r="A52" i="104"/>
  <c r="AP51" i="104"/>
  <c r="AN51" i="104"/>
  <c r="G51" i="104" s="1"/>
  <c r="AM51" i="104"/>
  <c r="AO51" i="104" s="1"/>
  <c r="K51" i="104"/>
  <c r="F51" i="104"/>
  <c r="E51" i="104"/>
  <c r="J51" i="104" s="1"/>
  <c r="D51" i="104"/>
  <c r="C51" i="104"/>
  <c r="B51" i="104"/>
  <c r="A51" i="104"/>
  <c r="AP50" i="104"/>
  <c r="AN50" i="104"/>
  <c r="G50" i="104" s="1"/>
  <c r="AM50" i="104"/>
  <c r="AO50" i="104" s="1"/>
  <c r="K50" i="104"/>
  <c r="F50" i="104"/>
  <c r="E50" i="104"/>
  <c r="J50" i="104" s="1"/>
  <c r="D50" i="104"/>
  <c r="C50" i="104"/>
  <c r="B50" i="104"/>
  <c r="A50" i="104"/>
  <c r="AP49" i="104"/>
  <c r="AN49" i="104"/>
  <c r="G49" i="104" s="1"/>
  <c r="AM49" i="104"/>
  <c r="AO49" i="104" s="1"/>
  <c r="K49" i="104"/>
  <c r="F49" i="104"/>
  <c r="E49" i="104"/>
  <c r="J49" i="104" s="1"/>
  <c r="D49" i="104"/>
  <c r="C49" i="104"/>
  <c r="B49" i="104"/>
  <c r="A49" i="104"/>
  <c r="AP48" i="104"/>
  <c r="AN48" i="104"/>
  <c r="G48" i="104" s="1"/>
  <c r="AM48" i="104"/>
  <c r="AO48" i="104" s="1"/>
  <c r="K48" i="104"/>
  <c r="F48" i="104"/>
  <c r="E48" i="104"/>
  <c r="J48" i="104" s="1"/>
  <c r="D48" i="104"/>
  <c r="C48" i="104"/>
  <c r="B48" i="104"/>
  <c r="A48" i="104"/>
  <c r="AP47" i="104"/>
  <c r="AN47" i="104"/>
  <c r="G47" i="104" s="1"/>
  <c r="AM47" i="104"/>
  <c r="AO47" i="104" s="1"/>
  <c r="K47" i="104"/>
  <c r="F47" i="104"/>
  <c r="E47" i="104"/>
  <c r="J47" i="104" s="1"/>
  <c r="D47" i="104"/>
  <c r="C47" i="104"/>
  <c r="B47" i="104"/>
  <c r="A47" i="104"/>
  <c r="AP46" i="104"/>
  <c r="AN46" i="104"/>
  <c r="G46" i="104" s="1"/>
  <c r="AM46" i="104"/>
  <c r="K46" i="104"/>
  <c r="F46" i="104"/>
  <c r="E46" i="104"/>
  <c r="J46" i="104" s="1"/>
  <c r="D46" i="104"/>
  <c r="C46" i="104"/>
  <c r="B46" i="104"/>
  <c r="A46" i="104"/>
  <c r="AP45" i="104"/>
  <c r="AN45" i="104"/>
  <c r="G45" i="104" s="1"/>
  <c r="AM45" i="104"/>
  <c r="K45" i="104"/>
  <c r="F45" i="104"/>
  <c r="E45" i="104"/>
  <c r="J45" i="104" s="1"/>
  <c r="D45" i="104"/>
  <c r="C45" i="104"/>
  <c r="B45" i="104"/>
  <c r="A45" i="104"/>
  <c r="AP44" i="104"/>
  <c r="AN44" i="104"/>
  <c r="G44" i="104" s="1"/>
  <c r="AM44" i="104"/>
  <c r="K44" i="104"/>
  <c r="F44" i="104"/>
  <c r="E44" i="104"/>
  <c r="J44" i="104" s="1"/>
  <c r="D44" i="104"/>
  <c r="C44" i="104"/>
  <c r="B44" i="104"/>
  <c r="A44" i="104"/>
  <c r="AP43" i="104"/>
  <c r="AN43" i="104"/>
  <c r="G43" i="104" s="1"/>
  <c r="AM43" i="104"/>
  <c r="XER43" i="104" s="1"/>
  <c r="K43" i="104"/>
  <c r="F43" i="104"/>
  <c r="E43" i="104"/>
  <c r="J43" i="104" s="1"/>
  <c r="D43" i="104"/>
  <c r="C43" i="104"/>
  <c r="B43" i="104"/>
  <c r="A43" i="104"/>
  <c r="AP42" i="104"/>
  <c r="AN42" i="104"/>
  <c r="G42" i="104" s="1"/>
  <c r="AM42" i="104"/>
  <c r="K42" i="104"/>
  <c r="F42" i="104"/>
  <c r="E42" i="104"/>
  <c r="J42" i="104" s="1"/>
  <c r="D42" i="104"/>
  <c r="C42" i="104"/>
  <c r="B42" i="104"/>
  <c r="A42" i="104"/>
  <c r="AP41" i="104"/>
  <c r="AM41" i="104"/>
  <c r="XER41" i="104" s="1"/>
  <c r="K41" i="104"/>
  <c r="F41" i="104"/>
  <c r="E41" i="104"/>
  <c r="J41" i="104" s="1"/>
  <c r="D41" i="104"/>
  <c r="C41" i="104"/>
  <c r="B41" i="104"/>
  <c r="A41" i="104"/>
  <c r="AP40" i="104"/>
  <c r="AM40" i="104"/>
  <c r="XER40" i="104" s="1"/>
  <c r="K40" i="104"/>
  <c r="F40" i="104"/>
  <c r="E40" i="104"/>
  <c r="J40" i="104" s="1"/>
  <c r="D40" i="104"/>
  <c r="C40" i="104"/>
  <c r="B40" i="104"/>
  <c r="A40" i="104"/>
  <c r="AP39" i="104"/>
  <c r="AM39" i="104"/>
  <c r="XER39" i="104" s="1"/>
  <c r="K39" i="104"/>
  <c r="F39" i="104"/>
  <c r="E39" i="104"/>
  <c r="J39" i="104" s="1"/>
  <c r="D39" i="104"/>
  <c r="C39" i="104"/>
  <c r="B39" i="104"/>
  <c r="A39" i="104"/>
  <c r="AP38" i="104"/>
  <c r="AM38" i="104"/>
  <c r="XER38" i="104" s="1"/>
  <c r="K38" i="104"/>
  <c r="F38" i="104"/>
  <c r="E38" i="104"/>
  <c r="J38" i="104" s="1"/>
  <c r="D38" i="104"/>
  <c r="C38" i="104"/>
  <c r="B38" i="104"/>
  <c r="A38" i="104"/>
  <c r="AP37" i="104"/>
  <c r="AM37" i="104"/>
  <c r="XER37" i="104" s="1"/>
  <c r="K37" i="104"/>
  <c r="F37" i="104"/>
  <c r="E37" i="104"/>
  <c r="J37" i="104" s="1"/>
  <c r="D37" i="104"/>
  <c r="C37" i="104"/>
  <c r="B37" i="104"/>
  <c r="A37" i="104"/>
  <c r="AP36" i="104"/>
  <c r="AM36" i="104"/>
  <c r="XER36" i="104" s="1"/>
  <c r="K36" i="104"/>
  <c r="F36" i="104"/>
  <c r="E36" i="104"/>
  <c r="J36" i="104" s="1"/>
  <c r="D36" i="104"/>
  <c r="C36" i="104"/>
  <c r="B36" i="104"/>
  <c r="A36" i="104"/>
  <c r="AP35" i="104"/>
  <c r="AM35" i="104"/>
  <c r="XER35" i="104" s="1"/>
  <c r="K35" i="104"/>
  <c r="F35" i="104"/>
  <c r="E35" i="104"/>
  <c r="J35" i="104" s="1"/>
  <c r="D35" i="104"/>
  <c r="C35" i="104"/>
  <c r="B35" i="104"/>
  <c r="A35" i="104"/>
  <c r="AP34" i="104"/>
  <c r="AM34" i="104"/>
  <c r="XER34" i="104" s="1"/>
  <c r="K34" i="104"/>
  <c r="F34" i="104"/>
  <c r="E34" i="104"/>
  <c r="J34" i="104" s="1"/>
  <c r="D34" i="104"/>
  <c r="C34" i="104"/>
  <c r="B34" i="104"/>
  <c r="A34" i="104"/>
  <c r="AP33" i="104"/>
  <c r="AM33" i="104"/>
  <c r="XER33" i="104" s="1"/>
  <c r="K33" i="104"/>
  <c r="F33" i="104"/>
  <c r="E33" i="104"/>
  <c r="J33" i="104" s="1"/>
  <c r="D33" i="104"/>
  <c r="C33" i="104"/>
  <c r="B33" i="104"/>
  <c r="A33" i="104"/>
  <c r="AP32" i="104"/>
  <c r="AM32" i="104"/>
  <c r="XER32" i="104" s="1"/>
  <c r="K32" i="104"/>
  <c r="F32" i="104"/>
  <c r="E32" i="104"/>
  <c r="J32" i="104" s="1"/>
  <c r="D32" i="104"/>
  <c r="C32" i="104"/>
  <c r="B32" i="104"/>
  <c r="A32" i="104"/>
  <c r="AP31" i="104"/>
  <c r="AM31" i="104"/>
  <c r="XER31" i="104" s="1"/>
  <c r="K31" i="104"/>
  <c r="F31" i="104"/>
  <c r="E31" i="104"/>
  <c r="J31" i="104" s="1"/>
  <c r="D31" i="104"/>
  <c r="C31" i="104"/>
  <c r="B31" i="104"/>
  <c r="A31" i="104"/>
  <c r="AP30" i="104"/>
  <c r="AM30" i="104"/>
  <c r="K30" i="104"/>
  <c r="F30" i="104"/>
  <c r="E30" i="104"/>
  <c r="J30" i="104" s="1"/>
  <c r="D30" i="104"/>
  <c r="C30" i="104"/>
  <c r="B30" i="104"/>
  <c r="A30" i="104"/>
  <c r="AP29" i="104"/>
  <c r="AM29" i="104"/>
  <c r="K29" i="104"/>
  <c r="F29" i="104"/>
  <c r="E29" i="104"/>
  <c r="J29" i="104" s="1"/>
  <c r="D29" i="104"/>
  <c r="C29" i="104"/>
  <c r="B29" i="104"/>
  <c r="A29" i="104"/>
  <c r="AP28" i="104"/>
  <c r="AM28" i="104"/>
  <c r="K28" i="104"/>
  <c r="F28" i="104"/>
  <c r="E28" i="104"/>
  <c r="J28" i="104" s="1"/>
  <c r="D28" i="104"/>
  <c r="C28" i="104"/>
  <c r="B28" i="104"/>
  <c r="A28" i="104"/>
  <c r="AP27" i="104"/>
  <c r="AM27" i="104"/>
  <c r="XEQ27" i="104" s="1"/>
  <c r="K27" i="104"/>
  <c r="F27" i="104"/>
  <c r="E27" i="104"/>
  <c r="J27" i="104" s="1"/>
  <c r="D27" i="104"/>
  <c r="C27" i="104"/>
  <c r="B27" i="104"/>
  <c r="A27" i="104"/>
  <c r="AP24" i="104"/>
  <c r="AM24" i="104"/>
  <c r="K24" i="104"/>
  <c r="F24" i="104"/>
  <c r="E24" i="104"/>
  <c r="J24" i="104" s="1"/>
  <c r="D24" i="104"/>
  <c r="C24" i="104"/>
  <c r="B24" i="104"/>
  <c r="A24" i="104"/>
  <c r="AP20" i="104"/>
  <c r="AM20" i="104"/>
  <c r="XEP20" i="104" s="1"/>
  <c r="F20" i="104"/>
  <c r="E20" i="104"/>
  <c r="J20" i="104" s="1"/>
  <c r="D20" i="104"/>
  <c r="C20" i="104"/>
  <c r="B20" i="104"/>
  <c r="A20" i="104"/>
  <c r="AP19" i="104"/>
  <c r="AM19" i="104"/>
  <c r="XEP19" i="104" s="1"/>
  <c r="F19" i="104"/>
  <c r="E19" i="104"/>
  <c r="J19" i="104" s="1"/>
  <c r="D19" i="104"/>
  <c r="C19" i="104"/>
  <c r="B19" i="104"/>
  <c r="A19" i="104"/>
  <c r="AP18" i="104"/>
  <c r="AM18" i="104"/>
  <c r="XEP18" i="104" s="1"/>
  <c r="F18" i="104"/>
  <c r="E18" i="104"/>
  <c r="J18" i="104" s="1"/>
  <c r="D18" i="104"/>
  <c r="C18" i="104"/>
  <c r="B18" i="104"/>
  <c r="A18" i="104"/>
  <c r="AP17" i="104"/>
  <c r="AM17" i="104"/>
  <c r="F17" i="104"/>
  <c r="E17" i="104"/>
  <c r="J17" i="104" s="1"/>
  <c r="D17" i="104"/>
  <c r="C17" i="104"/>
  <c r="B17" i="104"/>
  <c r="A17" i="104"/>
  <c r="AP16" i="104"/>
  <c r="AM16" i="104"/>
  <c r="XEP16" i="104" s="1"/>
  <c r="F16" i="104"/>
  <c r="E16" i="104"/>
  <c r="J16" i="104" s="1"/>
  <c r="D16" i="104"/>
  <c r="C16" i="104"/>
  <c r="B16" i="104"/>
  <c r="A16" i="104"/>
  <c r="AP15" i="104"/>
  <c r="AM15" i="104"/>
  <c r="XEP15" i="104" s="1"/>
  <c r="F15" i="104"/>
  <c r="E15" i="104"/>
  <c r="J15" i="104" s="1"/>
  <c r="D15" i="104"/>
  <c r="C15" i="104"/>
  <c r="B15" i="104"/>
  <c r="A15" i="104"/>
  <c r="AP14" i="104"/>
  <c r="AM14" i="104"/>
  <c r="XEP14" i="104" s="1"/>
  <c r="F14" i="104"/>
  <c r="E14" i="104"/>
  <c r="J14" i="104" s="1"/>
  <c r="D14" i="104"/>
  <c r="C14" i="104"/>
  <c r="B14" i="104"/>
  <c r="A14" i="104"/>
  <c r="D5" i="104"/>
  <c r="AP101" i="103"/>
  <c r="AN101" i="103"/>
  <c r="G101" i="103" s="1"/>
  <c r="AM101" i="103"/>
  <c r="AO101" i="103" s="1"/>
  <c r="K101" i="103"/>
  <c r="F101" i="103"/>
  <c r="E101" i="103"/>
  <c r="J101" i="103" s="1"/>
  <c r="D101" i="103"/>
  <c r="C101" i="103"/>
  <c r="B101" i="103"/>
  <c r="A101" i="103"/>
  <c r="AP100" i="103"/>
  <c r="AN100" i="103"/>
  <c r="G100" i="103" s="1"/>
  <c r="AM100" i="103"/>
  <c r="AO100" i="103" s="1"/>
  <c r="K100" i="103"/>
  <c r="F100" i="103"/>
  <c r="E100" i="103"/>
  <c r="J100" i="103" s="1"/>
  <c r="D100" i="103"/>
  <c r="C100" i="103"/>
  <c r="B100" i="103"/>
  <c r="A100" i="103"/>
  <c r="AP99" i="103"/>
  <c r="AN99" i="103"/>
  <c r="G99" i="103" s="1"/>
  <c r="AM99" i="103"/>
  <c r="AO99" i="103" s="1"/>
  <c r="K99" i="103"/>
  <c r="F99" i="103"/>
  <c r="E99" i="103"/>
  <c r="J99" i="103" s="1"/>
  <c r="D99" i="103"/>
  <c r="C99" i="103"/>
  <c r="B99" i="103"/>
  <c r="A99" i="103"/>
  <c r="AP98" i="103"/>
  <c r="AN98" i="103"/>
  <c r="G98" i="103" s="1"/>
  <c r="AM98" i="103"/>
  <c r="AO98" i="103" s="1"/>
  <c r="K98" i="103"/>
  <c r="F98" i="103"/>
  <c r="E98" i="103"/>
  <c r="J98" i="103" s="1"/>
  <c r="D98" i="103"/>
  <c r="C98" i="103"/>
  <c r="B98" i="103"/>
  <c r="A98" i="103"/>
  <c r="AP97" i="103"/>
  <c r="AN97" i="103"/>
  <c r="G97" i="103" s="1"/>
  <c r="AM97" i="103"/>
  <c r="AO97" i="103" s="1"/>
  <c r="K97" i="103"/>
  <c r="F97" i="103"/>
  <c r="E97" i="103"/>
  <c r="J97" i="103" s="1"/>
  <c r="D97" i="103"/>
  <c r="C97" i="103"/>
  <c r="B97" i="103"/>
  <c r="A97" i="103"/>
  <c r="AP96" i="103"/>
  <c r="AN96" i="103"/>
  <c r="G96" i="103" s="1"/>
  <c r="AM96" i="103"/>
  <c r="AO96" i="103" s="1"/>
  <c r="K96" i="103"/>
  <c r="F96" i="103"/>
  <c r="E96" i="103"/>
  <c r="J96" i="103" s="1"/>
  <c r="D96" i="103"/>
  <c r="C96" i="103"/>
  <c r="B96" i="103"/>
  <c r="A96" i="103"/>
  <c r="AP95" i="103"/>
  <c r="AN95" i="103"/>
  <c r="G95" i="103" s="1"/>
  <c r="AM95" i="103"/>
  <c r="AO95" i="103" s="1"/>
  <c r="K95" i="103"/>
  <c r="F95" i="103"/>
  <c r="E95" i="103"/>
  <c r="J95" i="103" s="1"/>
  <c r="D95" i="103"/>
  <c r="C95" i="103"/>
  <c r="B95" i="103"/>
  <c r="A95" i="103"/>
  <c r="AP94" i="103"/>
  <c r="AN94" i="103"/>
  <c r="G94" i="103" s="1"/>
  <c r="AM94" i="103"/>
  <c r="AO94" i="103" s="1"/>
  <c r="K94" i="103"/>
  <c r="F94" i="103"/>
  <c r="E94" i="103"/>
  <c r="J94" i="103" s="1"/>
  <c r="D94" i="103"/>
  <c r="C94" i="103"/>
  <c r="B94" i="103"/>
  <c r="A94" i="103"/>
  <c r="AP93" i="103"/>
  <c r="AN93" i="103"/>
  <c r="G93" i="103" s="1"/>
  <c r="AM93" i="103"/>
  <c r="AO93" i="103" s="1"/>
  <c r="K93" i="103"/>
  <c r="F93" i="103"/>
  <c r="E93" i="103"/>
  <c r="J93" i="103" s="1"/>
  <c r="D93" i="103"/>
  <c r="C93" i="103"/>
  <c r="B93" i="103"/>
  <c r="A93" i="103"/>
  <c r="AP92" i="103"/>
  <c r="AN92" i="103"/>
  <c r="G92" i="103" s="1"/>
  <c r="AM92" i="103"/>
  <c r="AO92" i="103" s="1"/>
  <c r="K92" i="103"/>
  <c r="F92" i="103"/>
  <c r="E92" i="103"/>
  <c r="J92" i="103" s="1"/>
  <c r="D92" i="103"/>
  <c r="C92" i="103"/>
  <c r="B92" i="103"/>
  <c r="A92" i="103"/>
  <c r="AP91" i="103"/>
  <c r="AN91" i="103"/>
  <c r="G91" i="103" s="1"/>
  <c r="AM91" i="103"/>
  <c r="AO91" i="103" s="1"/>
  <c r="K91" i="103"/>
  <c r="F91" i="103"/>
  <c r="E91" i="103"/>
  <c r="J91" i="103" s="1"/>
  <c r="D91" i="103"/>
  <c r="C91" i="103"/>
  <c r="B91" i="103"/>
  <c r="A91" i="103"/>
  <c r="AP90" i="103"/>
  <c r="AN90" i="103"/>
  <c r="G90" i="103" s="1"/>
  <c r="AM90" i="103"/>
  <c r="AO90" i="103" s="1"/>
  <c r="K90" i="103"/>
  <c r="F90" i="103"/>
  <c r="E90" i="103"/>
  <c r="J90" i="103" s="1"/>
  <c r="D90" i="103"/>
  <c r="C90" i="103"/>
  <c r="B90" i="103"/>
  <c r="A90" i="103"/>
  <c r="AP89" i="103"/>
  <c r="AN89" i="103"/>
  <c r="G89" i="103" s="1"/>
  <c r="AM89" i="103"/>
  <c r="AO89" i="103" s="1"/>
  <c r="K89" i="103"/>
  <c r="F89" i="103"/>
  <c r="E89" i="103"/>
  <c r="J89" i="103" s="1"/>
  <c r="D89" i="103"/>
  <c r="C89" i="103"/>
  <c r="B89" i="103"/>
  <c r="A89" i="103"/>
  <c r="AP88" i="103"/>
  <c r="AN88" i="103"/>
  <c r="G88" i="103" s="1"/>
  <c r="AM88" i="103"/>
  <c r="AO88" i="103" s="1"/>
  <c r="K88" i="103"/>
  <c r="F88" i="103"/>
  <c r="E88" i="103"/>
  <c r="J88" i="103" s="1"/>
  <c r="D88" i="103"/>
  <c r="C88" i="103"/>
  <c r="B88" i="103"/>
  <c r="A88" i="103"/>
  <c r="AP87" i="103"/>
  <c r="AN87" i="103"/>
  <c r="G87" i="103" s="1"/>
  <c r="AM87" i="103"/>
  <c r="AO87" i="103" s="1"/>
  <c r="K87" i="103"/>
  <c r="F87" i="103"/>
  <c r="E87" i="103"/>
  <c r="J87" i="103" s="1"/>
  <c r="D87" i="103"/>
  <c r="C87" i="103"/>
  <c r="B87" i="103"/>
  <c r="A87" i="103"/>
  <c r="AP86" i="103"/>
  <c r="AN86" i="103"/>
  <c r="G86" i="103" s="1"/>
  <c r="AM86" i="103"/>
  <c r="AO86" i="103" s="1"/>
  <c r="K86" i="103"/>
  <c r="F86" i="103"/>
  <c r="E86" i="103"/>
  <c r="J86" i="103" s="1"/>
  <c r="D86" i="103"/>
  <c r="C86" i="103"/>
  <c r="B86" i="103"/>
  <c r="A86" i="103"/>
  <c r="AP85" i="103"/>
  <c r="AN85" i="103"/>
  <c r="G85" i="103" s="1"/>
  <c r="AM85" i="103"/>
  <c r="AO85" i="103" s="1"/>
  <c r="K85" i="103"/>
  <c r="F85" i="103"/>
  <c r="E85" i="103"/>
  <c r="J85" i="103" s="1"/>
  <c r="D85" i="103"/>
  <c r="C85" i="103"/>
  <c r="B85" i="103"/>
  <c r="A85" i="103"/>
  <c r="AP84" i="103"/>
  <c r="AN84" i="103"/>
  <c r="G84" i="103" s="1"/>
  <c r="AM84" i="103"/>
  <c r="AO84" i="103" s="1"/>
  <c r="K84" i="103"/>
  <c r="F84" i="103"/>
  <c r="E84" i="103"/>
  <c r="J84" i="103" s="1"/>
  <c r="D84" i="103"/>
  <c r="C84" i="103"/>
  <c r="B84" i="103"/>
  <c r="A84" i="103"/>
  <c r="AP83" i="103"/>
  <c r="AN83" i="103"/>
  <c r="G83" i="103" s="1"/>
  <c r="AM83" i="103"/>
  <c r="AO83" i="103" s="1"/>
  <c r="K83" i="103"/>
  <c r="F83" i="103"/>
  <c r="E83" i="103"/>
  <c r="J83" i="103" s="1"/>
  <c r="D83" i="103"/>
  <c r="C83" i="103"/>
  <c r="B83" i="103"/>
  <c r="A83" i="103"/>
  <c r="AP82" i="103"/>
  <c r="AN82" i="103"/>
  <c r="G82" i="103" s="1"/>
  <c r="AM82" i="103"/>
  <c r="AO82" i="103" s="1"/>
  <c r="K82" i="103"/>
  <c r="F82" i="103"/>
  <c r="E82" i="103"/>
  <c r="J82" i="103" s="1"/>
  <c r="D82" i="103"/>
  <c r="C82" i="103"/>
  <c r="B82" i="103"/>
  <c r="A82" i="103"/>
  <c r="AP81" i="103"/>
  <c r="AN81" i="103"/>
  <c r="G81" i="103" s="1"/>
  <c r="AM81" i="103"/>
  <c r="AO81" i="103"/>
  <c r="K81" i="103"/>
  <c r="F81" i="103"/>
  <c r="E81" i="103"/>
  <c r="J81" i="103" s="1"/>
  <c r="D81" i="103"/>
  <c r="C81" i="103"/>
  <c r="B81" i="103"/>
  <c r="A81" i="103"/>
  <c r="AP80" i="103"/>
  <c r="AN80" i="103"/>
  <c r="G80" i="103" s="1"/>
  <c r="AM80" i="103"/>
  <c r="AO80" i="103" s="1"/>
  <c r="K80" i="103"/>
  <c r="F80" i="103"/>
  <c r="E80" i="103"/>
  <c r="J80" i="103" s="1"/>
  <c r="D80" i="103"/>
  <c r="C80" i="103"/>
  <c r="B80" i="103"/>
  <c r="A80" i="103"/>
  <c r="AP79" i="103"/>
  <c r="AN79" i="103"/>
  <c r="G79" i="103" s="1"/>
  <c r="AM79" i="103"/>
  <c r="K79" i="103"/>
  <c r="F79" i="103"/>
  <c r="E79" i="103"/>
  <c r="J79" i="103" s="1"/>
  <c r="D79" i="103"/>
  <c r="C79" i="103"/>
  <c r="B79" i="103"/>
  <c r="A79" i="103"/>
  <c r="AP78" i="103"/>
  <c r="AN78" i="103"/>
  <c r="G78" i="103" s="1"/>
  <c r="AM78" i="103"/>
  <c r="K78" i="103"/>
  <c r="F78" i="103"/>
  <c r="E78" i="103"/>
  <c r="J78" i="103" s="1"/>
  <c r="D78" i="103"/>
  <c r="C78" i="103"/>
  <c r="B78" i="103"/>
  <c r="A78" i="103"/>
  <c r="AP77" i="103"/>
  <c r="AN77" i="103"/>
  <c r="G77" i="103" s="1"/>
  <c r="AM77" i="103"/>
  <c r="K77" i="103"/>
  <c r="F77" i="103"/>
  <c r="E77" i="103"/>
  <c r="J77" i="103" s="1"/>
  <c r="D77" i="103"/>
  <c r="C77" i="103"/>
  <c r="B77" i="103"/>
  <c r="A77" i="103"/>
  <c r="AP76" i="103"/>
  <c r="AN76" i="103"/>
  <c r="G76" i="103" s="1"/>
  <c r="AM76" i="103"/>
  <c r="K76" i="103"/>
  <c r="F76" i="103"/>
  <c r="E76" i="103"/>
  <c r="J76" i="103" s="1"/>
  <c r="D76" i="103"/>
  <c r="C76" i="103"/>
  <c r="B76" i="103"/>
  <c r="A76" i="103"/>
  <c r="AP75" i="103"/>
  <c r="AN75" i="103"/>
  <c r="G75" i="103" s="1"/>
  <c r="AM75" i="103"/>
  <c r="K75" i="103"/>
  <c r="F75" i="103"/>
  <c r="E75" i="103"/>
  <c r="J75" i="103" s="1"/>
  <c r="D75" i="103"/>
  <c r="C75" i="103"/>
  <c r="B75" i="103"/>
  <c r="A75" i="103"/>
  <c r="AP74" i="103"/>
  <c r="AN74" i="103"/>
  <c r="G74" i="103" s="1"/>
  <c r="AM74" i="103"/>
  <c r="K74" i="103"/>
  <c r="F74" i="103"/>
  <c r="E74" i="103"/>
  <c r="J74" i="103" s="1"/>
  <c r="D74" i="103"/>
  <c r="C74" i="103"/>
  <c r="B74" i="103"/>
  <c r="A74" i="103"/>
  <c r="AP73" i="103"/>
  <c r="AN73" i="103"/>
  <c r="G73" i="103" s="1"/>
  <c r="AM73" i="103"/>
  <c r="K73" i="103"/>
  <c r="F73" i="103"/>
  <c r="E73" i="103"/>
  <c r="J73" i="103" s="1"/>
  <c r="D73" i="103"/>
  <c r="C73" i="103"/>
  <c r="B73" i="103"/>
  <c r="A73" i="103"/>
  <c r="AP72" i="103"/>
  <c r="AN72" i="103"/>
  <c r="G72" i="103" s="1"/>
  <c r="AM72" i="103"/>
  <c r="K72" i="103"/>
  <c r="F72" i="103"/>
  <c r="E72" i="103"/>
  <c r="J72" i="103" s="1"/>
  <c r="D72" i="103"/>
  <c r="C72" i="103"/>
  <c r="B72" i="103"/>
  <c r="A72" i="103"/>
  <c r="AP71" i="103"/>
  <c r="AN71" i="103"/>
  <c r="G71" i="103" s="1"/>
  <c r="AM71" i="103"/>
  <c r="K71" i="103"/>
  <c r="F71" i="103"/>
  <c r="E71" i="103"/>
  <c r="J71" i="103" s="1"/>
  <c r="D71" i="103"/>
  <c r="C71" i="103"/>
  <c r="B71" i="103"/>
  <c r="A71" i="103"/>
  <c r="AP70" i="103"/>
  <c r="AN70" i="103"/>
  <c r="G70" i="103" s="1"/>
  <c r="AM70" i="103"/>
  <c r="K70" i="103"/>
  <c r="F70" i="103"/>
  <c r="E70" i="103"/>
  <c r="J70" i="103" s="1"/>
  <c r="D70" i="103"/>
  <c r="C70" i="103"/>
  <c r="B70" i="103"/>
  <c r="A70" i="103"/>
  <c r="AP69" i="103"/>
  <c r="AN69" i="103"/>
  <c r="G69" i="103" s="1"/>
  <c r="AM69" i="103"/>
  <c r="K69" i="103"/>
  <c r="F69" i="103"/>
  <c r="E69" i="103"/>
  <c r="J69" i="103" s="1"/>
  <c r="D69" i="103"/>
  <c r="C69" i="103"/>
  <c r="B69" i="103"/>
  <c r="A69" i="103"/>
  <c r="AP68" i="103"/>
  <c r="AN68" i="103"/>
  <c r="G68" i="103" s="1"/>
  <c r="AM68" i="103"/>
  <c r="K68" i="103"/>
  <c r="F68" i="103"/>
  <c r="E68" i="103"/>
  <c r="J68" i="103" s="1"/>
  <c r="D68" i="103"/>
  <c r="C68" i="103"/>
  <c r="B68" i="103"/>
  <c r="A68" i="103"/>
  <c r="AP67" i="103"/>
  <c r="AN67" i="103"/>
  <c r="G67" i="103" s="1"/>
  <c r="AM67" i="103"/>
  <c r="K67" i="103"/>
  <c r="F67" i="103"/>
  <c r="E67" i="103"/>
  <c r="J67" i="103" s="1"/>
  <c r="D67" i="103"/>
  <c r="C67" i="103"/>
  <c r="B67" i="103"/>
  <c r="A67" i="103"/>
  <c r="AP66" i="103"/>
  <c r="AN66" i="103"/>
  <c r="G66" i="103" s="1"/>
  <c r="AM66" i="103"/>
  <c r="K66" i="103"/>
  <c r="F66" i="103"/>
  <c r="E66" i="103"/>
  <c r="J66" i="103" s="1"/>
  <c r="D66" i="103"/>
  <c r="C66" i="103"/>
  <c r="B66" i="103"/>
  <c r="A66" i="103"/>
  <c r="AP65" i="103"/>
  <c r="AN65" i="103"/>
  <c r="G65" i="103" s="1"/>
  <c r="AM65" i="103"/>
  <c r="K65" i="103"/>
  <c r="F65" i="103"/>
  <c r="E65" i="103"/>
  <c r="J65" i="103" s="1"/>
  <c r="D65" i="103"/>
  <c r="C65" i="103"/>
  <c r="B65" i="103"/>
  <c r="A65" i="103"/>
  <c r="AP64" i="103"/>
  <c r="AN64" i="103"/>
  <c r="G64" i="103" s="1"/>
  <c r="AM64" i="103"/>
  <c r="K64" i="103"/>
  <c r="F64" i="103"/>
  <c r="E64" i="103"/>
  <c r="J64" i="103" s="1"/>
  <c r="D64" i="103"/>
  <c r="C64" i="103"/>
  <c r="B64" i="103"/>
  <c r="A64" i="103"/>
  <c r="AP63" i="103"/>
  <c r="AN63" i="103"/>
  <c r="G63" i="103" s="1"/>
  <c r="AM63" i="103"/>
  <c r="K63" i="103"/>
  <c r="F63" i="103"/>
  <c r="E63" i="103"/>
  <c r="J63" i="103" s="1"/>
  <c r="D63" i="103"/>
  <c r="C63" i="103"/>
  <c r="B63" i="103"/>
  <c r="A63" i="103"/>
  <c r="AP62" i="103"/>
  <c r="AN62" i="103"/>
  <c r="G62" i="103" s="1"/>
  <c r="AM62" i="103"/>
  <c r="K62" i="103"/>
  <c r="F62" i="103"/>
  <c r="E62" i="103"/>
  <c r="J62" i="103" s="1"/>
  <c r="D62" i="103"/>
  <c r="C62" i="103"/>
  <c r="B62" i="103"/>
  <c r="A62" i="103"/>
  <c r="AP61" i="103"/>
  <c r="AN61" i="103"/>
  <c r="G61" i="103" s="1"/>
  <c r="AM61" i="103"/>
  <c r="K61" i="103"/>
  <c r="F61" i="103"/>
  <c r="E61" i="103"/>
  <c r="J61" i="103" s="1"/>
  <c r="D61" i="103"/>
  <c r="C61" i="103"/>
  <c r="B61" i="103"/>
  <c r="A61" i="103"/>
  <c r="AP60" i="103"/>
  <c r="AN60" i="103"/>
  <c r="G60" i="103" s="1"/>
  <c r="AM60" i="103"/>
  <c r="K60" i="103"/>
  <c r="F60" i="103"/>
  <c r="E60" i="103"/>
  <c r="J60" i="103" s="1"/>
  <c r="D60" i="103"/>
  <c r="C60" i="103"/>
  <c r="B60" i="103"/>
  <c r="A60" i="103"/>
  <c r="AP59" i="103"/>
  <c r="AN59" i="103"/>
  <c r="G59" i="103" s="1"/>
  <c r="AM59" i="103"/>
  <c r="K59" i="103"/>
  <c r="F59" i="103"/>
  <c r="E59" i="103"/>
  <c r="J59" i="103" s="1"/>
  <c r="D59" i="103"/>
  <c r="C59" i="103"/>
  <c r="B59" i="103"/>
  <c r="A59" i="103"/>
  <c r="AP58" i="103"/>
  <c r="AN58" i="103"/>
  <c r="G58" i="103" s="1"/>
  <c r="AM58" i="103"/>
  <c r="K58" i="103"/>
  <c r="F58" i="103"/>
  <c r="E58" i="103"/>
  <c r="J58" i="103" s="1"/>
  <c r="D58" i="103"/>
  <c r="C58" i="103"/>
  <c r="B58" i="103"/>
  <c r="A58" i="103"/>
  <c r="AP57" i="103"/>
  <c r="AN57" i="103"/>
  <c r="G57" i="103" s="1"/>
  <c r="AM57" i="103"/>
  <c r="K57" i="103"/>
  <c r="F57" i="103"/>
  <c r="E57" i="103"/>
  <c r="J57" i="103" s="1"/>
  <c r="D57" i="103"/>
  <c r="C57" i="103"/>
  <c r="B57" i="103"/>
  <c r="A57" i="103"/>
  <c r="AP56" i="103"/>
  <c r="AN56" i="103"/>
  <c r="G56" i="103" s="1"/>
  <c r="AM56" i="103"/>
  <c r="K56" i="103"/>
  <c r="F56" i="103"/>
  <c r="E56" i="103"/>
  <c r="J56" i="103" s="1"/>
  <c r="D56" i="103"/>
  <c r="C56" i="103"/>
  <c r="B56" i="103"/>
  <c r="A56" i="103"/>
  <c r="AP55" i="103"/>
  <c r="AN55" i="103"/>
  <c r="G55" i="103" s="1"/>
  <c r="AM55" i="103"/>
  <c r="K55" i="103"/>
  <c r="F55" i="103"/>
  <c r="E55" i="103"/>
  <c r="J55" i="103" s="1"/>
  <c r="D55" i="103"/>
  <c r="C55" i="103"/>
  <c r="B55" i="103"/>
  <c r="A55" i="103"/>
  <c r="AP54" i="103"/>
  <c r="AN54" i="103"/>
  <c r="G54" i="103" s="1"/>
  <c r="AM54" i="103"/>
  <c r="K54" i="103"/>
  <c r="F54" i="103"/>
  <c r="E54" i="103"/>
  <c r="J54" i="103" s="1"/>
  <c r="D54" i="103"/>
  <c r="C54" i="103"/>
  <c r="B54" i="103"/>
  <c r="A54" i="103"/>
  <c r="AP53" i="103"/>
  <c r="AN53" i="103"/>
  <c r="G53" i="103" s="1"/>
  <c r="AM53" i="103"/>
  <c r="K53" i="103"/>
  <c r="F53" i="103"/>
  <c r="E53" i="103"/>
  <c r="J53" i="103" s="1"/>
  <c r="D53" i="103"/>
  <c r="C53" i="103"/>
  <c r="B53" i="103"/>
  <c r="A53" i="103"/>
  <c r="AP52" i="103"/>
  <c r="AN52" i="103"/>
  <c r="G52" i="103" s="1"/>
  <c r="AM52" i="103"/>
  <c r="K52" i="103"/>
  <c r="F52" i="103"/>
  <c r="E52" i="103"/>
  <c r="J52" i="103" s="1"/>
  <c r="D52" i="103"/>
  <c r="C52" i="103"/>
  <c r="B52" i="103"/>
  <c r="A52" i="103"/>
  <c r="AP51" i="103"/>
  <c r="AN51" i="103"/>
  <c r="G51" i="103" s="1"/>
  <c r="AM51" i="103"/>
  <c r="K51" i="103"/>
  <c r="F51" i="103"/>
  <c r="E51" i="103"/>
  <c r="J51" i="103" s="1"/>
  <c r="D51" i="103"/>
  <c r="C51" i="103"/>
  <c r="B51" i="103"/>
  <c r="A51" i="103"/>
  <c r="AP50" i="103"/>
  <c r="AN50" i="103"/>
  <c r="G50" i="103" s="1"/>
  <c r="AM50" i="103"/>
  <c r="K50" i="103"/>
  <c r="F50" i="103"/>
  <c r="E50" i="103"/>
  <c r="J50" i="103" s="1"/>
  <c r="D50" i="103"/>
  <c r="C50" i="103"/>
  <c r="B50" i="103"/>
  <c r="A50" i="103"/>
  <c r="AP49" i="103"/>
  <c r="AN49" i="103"/>
  <c r="G49" i="103" s="1"/>
  <c r="AM49" i="103"/>
  <c r="K49" i="103"/>
  <c r="F49" i="103"/>
  <c r="E49" i="103"/>
  <c r="J49" i="103" s="1"/>
  <c r="D49" i="103"/>
  <c r="C49" i="103"/>
  <c r="B49" i="103"/>
  <c r="A49" i="103"/>
  <c r="AP48" i="103"/>
  <c r="AN48" i="103"/>
  <c r="G48" i="103" s="1"/>
  <c r="AM48" i="103"/>
  <c r="K48" i="103"/>
  <c r="F48" i="103"/>
  <c r="E48" i="103"/>
  <c r="J48" i="103" s="1"/>
  <c r="D48" i="103"/>
  <c r="C48" i="103"/>
  <c r="B48" i="103"/>
  <c r="A48" i="103"/>
  <c r="AP47" i="103"/>
  <c r="AN47" i="103"/>
  <c r="G47" i="103" s="1"/>
  <c r="AM47" i="103"/>
  <c r="K47" i="103"/>
  <c r="F47" i="103"/>
  <c r="E47" i="103"/>
  <c r="J47" i="103" s="1"/>
  <c r="D47" i="103"/>
  <c r="C47" i="103"/>
  <c r="B47" i="103"/>
  <c r="A47" i="103"/>
  <c r="AP46" i="103"/>
  <c r="AN46" i="103"/>
  <c r="G46" i="103" s="1"/>
  <c r="AM46" i="103"/>
  <c r="K46" i="103"/>
  <c r="F46" i="103"/>
  <c r="E46" i="103"/>
  <c r="J46" i="103" s="1"/>
  <c r="D46" i="103"/>
  <c r="C46" i="103"/>
  <c r="B46" i="103"/>
  <c r="A46" i="103"/>
  <c r="AP45" i="103"/>
  <c r="AN45" i="103"/>
  <c r="G45" i="103" s="1"/>
  <c r="AM45" i="103"/>
  <c r="K45" i="103"/>
  <c r="F45" i="103"/>
  <c r="E45" i="103"/>
  <c r="J45" i="103" s="1"/>
  <c r="D45" i="103"/>
  <c r="C45" i="103"/>
  <c r="B45" i="103"/>
  <c r="A45" i="103"/>
  <c r="AP44" i="103"/>
  <c r="AN44" i="103"/>
  <c r="G44" i="103" s="1"/>
  <c r="AM44" i="103"/>
  <c r="XES44" i="103" s="1"/>
  <c r="K44" i="103"/>
  <c r="F44" i="103"/>
  <c r="E44" i="103"/>
  <c r="J44" i="103" s="1"/>
  <c r="D44" i="103"/>
  <c r="C44" i="103"/>
  <c r="B44" i="103"/>
  <c r="A44" i="103"/>
  <c r="AP43" i="103"/>
  <c r="AN43" i="103"/>
  <c r="G43" i="103" s="1"/>
  <c r="AM43" i="103"/>
  <c r="XES43" i="103" s="1"/>
  <c r="K43" i="103"/>
  <c r="F43" i="103"/>
  <c r="E43" i="103"/>
  <c r="J43" i="103" s="1"/>
  <c r="D43" i="103"/>
  <c r="C43" i="103"/>
  <c r="B43" i="103"/>
  <c r="A43" i="103"/>
  <c r="AP42" i="103"/>
  <c r="AM42" i="103"/>
  <c r="XES42" i="103" s="1"/>
  <c r="K42" i="103"/>
  <c r="F42" i="103"/>
  <c r="E42" i="103"/>
  <c r="J42" i="103" s="1"/>
  <c r="D42" i="103"/>
  <c r="C42" i="103"/>
  <c r="B42" i="103"/>
  <c r="A42" i="103"/>
  <c r="AP41" i="103"/>
  <c r="AM41" i="103"/>
  <c r="XES41" i="103" s="1"/>
  <c r="K41" i="103"/>
  <c r="F41" i="103"/>
  <c r="E41" i="103"/>
  <c r="J41" i="103" s="1"/>
  <c r="D41" i="103"/>
  <c r="C41" i="103"/>
  <c r="B41" i="103"/>
  <c r="A41" i="103"/>
  <c r="AP40" i="103"/>
  <c r="AM40" i="103"/>
  <c r="K40" i="103"/>
  <c r="F40" i="103"/>
  <c r="E40" i="103"/>
  <c r="J40" i="103" s="1"/>
  <c r="D40" i="103"/>
  <c r="C40" i="103"/>
  <c r="B40" i="103"/>
  <c r="A40" i="103"/>
  <c r="AP39" i="103"/>
  <c r="AM39" i="103"/>
  <c r="K39" i="103"/>
  <c r="F39" i="103"/>
  <c r="E39" i="103"/>
  <c r="J39" i="103" s="1"/>
  <c r="D39" i="103"/>
  <c r="C39" i="103"/>
  <c r="B39" i="103"/>
  <c r="A39" i="103"/>
  <c r="AP38" i="103"/>
  <c r="AM38" i="103"/>
  <c r="K38" i="103"/>
  <c r="F38" i="103"/>
  <c r="E38" i="103"/>
  <c r="J38" i="103" s="1"/>
  <c r="D38" i="103"/>
  <c r="C38" i="103"/>
  <c r="B38" i="103"/>
  <c r="A38" i="103"/>
  <c r="AP37" i="103"/>
  <c r="AM37" i="103"/>
  <c r="K37" i="103"/>
  <c r="F37" i="103"/>
  <c r="E37" i="103"/>
  <c r="J37" i="103" s="1"/>
  <c r="D37" i="103"/>
  <c r="C37" i="103"/>
  <c r="B37" i="103"/>
  <c r="A37" i="103"/>
  <c r="AP36" i="103"/>
  <c r="AM36" i="103"/>
  <c r="K36" i="103"/>
  <c r="F36" i="103"/>
  <c r="E36" i="103"/>
  <c r="J36" i="103" s="1"/>
  <c r="D36" i="103"/>
  <c r="C36" i="103"/>
  <c r="B36" i="103"/>
  <c r="A36" i="103"/>
  <c r="AP35" i="103"/>
  <c r="AM35" i="103"/>
  <c r="K35" i="103"/>
  <c r="F35" i="103"/>
  <c r="E35" i="103"/>
  <c r="J35" i="103" s="1"/>
  <c r="D35" i="103"/>
  <c r="C35" i="103"/>
  <c r="B35" i="103"/>
  <c r="A35" i="103"/>
  <c r="AP34" i="103"/>
  <c r="AM34" i="103"/>
  <c r="K34" i="103"/>
  <c r="F34" i="103"/>
  <c r="E34" i="103"/>
  <c r="J34" i="103" s="1"/>
  <c r="D34" i="103"/>
  <c r="C34" i="103"/>
  <c r="B34" i="103"/>
  <c r="A34" i="103"/>
  <c r="AP33" i="103"/>
  <c r="AM33" i="103"/>
  <c r="XEP33" i="103" s="1"/>
  <c r="K33" i="103"/>
  <c r="F33" i="103"/>
  <c r="E33" i="103"/>
  <c r="J33" i="103" s="1"/>
  <c r="D33" i="103"/>
  <c r="C33" i="103"/>
  <c r="B33" i="103"/>
  <c r="A33" i="103"/>
  <c r="AP32" i="103"/>
  <c r="AM32" i="103"/>
  <c r="XEP32" i="103" s="1"/>
  <c r="K32" i="103"/>
  <c r="F32" i="103"/>
  <c r="E32" i="103"/>
  <c r="J32" i="103" s="1"/>
  <c r="D32" i="103"/>
  <c r="C32" i="103"/>
  <c r="B32" i="103"/>
  <c r="A32" i="103"/>
  <c r="AP31" i="103"/>
  <c r="AM31" i="103"/>
  <c r="XEP31" i="103" s="1"/>
  <c r="K31" i="103"/>
  <c r="F31" i="103"/>
  <c r="E31" i="103"/>
  <c r="J31" i="103" s="1"/>
  <c r="D31" i="103"/>
  <c r="C31" i="103"/>
  <c r="B31" i="103"/>
  <c r="A31" i="103"/>
  <c r="AP30" i="103"/>
  <c r="AM30" i="103"/>
  <c r="K30" i="103"/>
  <c r="F30" i="103"/>
  <c r="E30" i="103"/>
  <c r="J30" i="103" s="1"/>
  <c r="D30" i="103"/>
  <c r="C30" i="103"/>
  <c r="B30" i="103"/>
  <c r="A30" i="103"/>
  <c r="AP26" i="103"/>
  <c r="AM26" i="103"/>
  <c r="K26" i="103"/>
  <c r="F26" i="103"/>
  <c r="E26" i="103"/>
  <c r="J26" i="103" s="1"/>
  <c r="D26" i="103"/>
  <c r="C26" i="103"/>
  <c r="B26" i="103"/>
  <c r="A26" i="103"/>
  <c r="AP25" i="103"/>
  <c r="AM25" i="103"/>
  <c r="K25" i="103"/>
  <c r="F25" i="103"/>
  <c r="E25" i="103"/>
  <c r="J25" i="103" s="1"/>
  <c r="D25" i="103"/>
  <c r="C25" i="103"/>
  <c r="B25" i="103"/>
  <c r="A25" i="103"/>
  <c r="AP20" i="103"/>
  <c r="AM20" i="103"/>
  <c r="K20" i="103"/>
  <c r="F20" i="103"/>
  <c r="E20" i="103"/>
  <c r="J20" i="103" s="1"/>
  <c r="D20" i="103"/>
  <c r="C20" i="103"/>
  <c r="B20" i="103"/>
  <c r="A20" i="103"/>
  <c r="AP19" i="103"/>
  <c r="AM19" i="103"/>
  <c r="K19" i="103"/>
  <c r="F19" i="103"/>
  <c r="E19" i="103"/>
  <c r="J19" i="103" s="1"/>
  <c r="D19" i="103"/>
  <c r="C19" i="103"/>
  <c r="B19" i="103"/>
  <c r="A19" i="103"/>
  <c r="AP18" i="103"/>
  <c r="AM18" i="103"/>
  <c r="K18" i="103"/>
  <c r="F18" i="103"/>
  <c r="E18" i="103"/>
  <c r="J18" i="103" s="1"/>
  <c r="D18" i="103"/>
  <c r="C18" i="103"/>
  <c r="B18" i="103"/>
  <c r="A18" i="103"/>
  <c r="AP17" i="103"/>
  <c r="AM17" i="103"/>
  <c r="K17" i="103"/>
  <c r="F17" i="103"/>
  <c r="E17" i="103"/>
  <c r="J17" i="103" s="1"/>
  <c r="D17" i="103"/>
  <c r="C17" i="103"/>
  <c r="B17" i="103"/>
  <c r="A17" i="103"/>
  <c r="AP16" i="103"/>
  <c r="AM16" i="103"/>
  <c r="K16" i="103"/>
  <c r="F16" i="103"/>
  <c r="E16" i="103"/>
  <c r="J16" i="103" s="1"/>
  <c r="D16" i="103"/>
  <c r="C16" i="103"/>
  <c r="B16" i="103"/>
  <c r="A16" i="103"/>
  <c r="AP15" i="103"/>
  <c r="AM15" i="103"/>
  <c r="K15" i="103"/>
  <c r="F15" i="103"/>
  <c r="E15" i="103"/>
  <c r="J15" i="103" s="1"/>
  <c r="D15" i="103"/>
  <c r="C15" i="103"/>
  <c r="B15" i="103"/>
  <c r="A15" i="103"/>
  <c r="AP14" i="103"/>
  <c r="AM14" i="103"/>
  <c r="K14" i="103"/>
  <c r="F14" i="103"/>
  <c r="E14" i="103"/>
  <c r="J14" i="103" s="1"/>
  <c r="D14" i="103"/>
  <c r="C14" i="103"/>
  <c r="B14" i="103"/>
  <c r="A14" i="103"/>
  <c r="D5" i="103"/>
  <c r="AP101" i="102"/>
  <c r="AN101" i="102"/>
  <c r="G101" i="102" s="1"/>
  <c r="AM101" i="102"/>
  <c r="AO101" i="102" s="1"/>
  <c r="K101" i="102"/>
  <c r="F101" i="102"/>
  <c r="E101" i="102"/>
  <c r="J101" i="102" s="1"/>
  <c r="D101" i="102"/>
  <c r="C101" i="102"/>
  <c r="B101" i="102"/>
  <c r="A101" i="102"/>
  <c r="AP100" i="102"/>
  <c r="AN100" i="102"/>
  <c r="G100" i="102" s="1"/>
  <c r="AM100" i="102"/>
  <c r="AO100" i="102" s="1"/>
  <c r="K100" i="102"/>
  <c r="F100" i="102"/>
  <c r="E100" i="102"/>
  <c r="J100" i="102" s="1"/>
  <c r="D100" i="102"/>
  <c r="C100" i="102"/>
  <c r="B100" i="102"/>
  <c r="A100" i="102"/>
  <c r="AP99" i="102"/>
  <c r="AN99" i="102"/>
  <c r="G99" i="102" s="1"/>
  <c r="AM99" i="102"/>
  <c r="AO99" i="102" s="1"/>
  <c r="K99" i="102"/>
  <c r="F99" i="102"/>
  <c r="E99" i="102"/>
  <c r="J99" i="102" s="1"/>
  <c r="D99" i="102"/>
  <c r="C99" i="102"/>
  <c r="B99" i="102"/>
  <c r="A99" i="102"/>
  <c r="AP98" i="102"/>
  <c r="AN98" i="102"/>
  <c r="G98" i="102" s="1"/>
  <c r="AM98" i="102"/>
  <c r="AO98" i="102" s="1"/>
  <c r="K98" i="102"/>
  <c r="F98" i="102"/>
  <c r="E98" i="102"/>
  <c r="J98" i="102" s="1"/>
  <c r="D98" i="102"/>
  <c r="C98" i="102"/>
  <c r="B98" i="102"/>
  <c r="A98" i="102"/>
  <c r="AP97" i="102"/>
  <c r="AN97" i="102"/>
  <c r="G97" i="102" s="1"/>
  <c r="AM97" i="102"/>
  <c r="AO97" i="102" s="1"/>
  <c r="K97" i="102"/>
  <c r="F97" i="102"/>
  <c r="E97" i="102"/>
  <c r="J97" i="102" s="1"/>
  <c r="D97" i="102"/>
  <c r="C97" i="102"/>
  <c r="B97" i="102"/>
  <c r="A97" i="102"/>
  <c r="AP96" i="102"/>
  <c r="AN96" i="102"/>
  <c r="G96" i="102" s="1"/>
  <c r="AM96" i="102"/>
  <c r="AO96" i="102" s="1"/>
  <c r="K96" i="102"/>
  <c r="F96" i="102"/>
  <c r="E96" i="102"/>
  <c r="J96" i="102" s="1"/>
  <c r="D96" i="102"/>
  <c r="C96" i="102"/>
  <c r="B96" i="102"/>
  <c r="A96" i="102"/>
  <c r="AP95" i="102"/>
  <c r="AN95" i="102"/>
  <c r="G95" i="102" s="1"/>
  <c r="AM95" i="102"/>
  <c r="AO95" i="102" s="1"/>
  <c r="K95" i="102"/>
  <c r="F95" i="102"/>
  <c r="E95" i="102"/>
  <c r="J95" i="102" s="1"/>
  <c r="D95" i="102"/>
  <c r="C95" i="102"/>
  <c r="B95" i="102"/>
  <c r="A95" i="102"/>
  <c r="AP94" i="102"/>
  <c r="AN94" i="102"/>
  <c r="G94" i="102" s="1"/>
  <c r="AM94" i="102"/>
  <c r="AO94" i="102" s="1"/>
  <c r="K94" i="102"/>
  <c r="F94" i="102"/>
  <c r="E94" i="102"/>
  <c r="J94" i="102" s="1"/>
  <c r="D94" i="102"/>
  <c r="C94" i="102"/>
  <c r="B94" i="102"/>
  <c r="A94" i="102"/>
  <c r="AP93" i="102"/>
  <c r="AN93" i="102"/>
  <c r="G93" i="102" s="1"/>
  <c r="AM93" i="102"/>
  <c r="AO93" i="102" s="1"/>
  <c r="K93" i="102"/>
  <c r="F93" i="102"/>
  <c r="E93" i="102"/>
  <c r="J93" i="102" s="1"/>
  <c r="D93" i="102"/>
  <c r="C93" i="102"/>
  <c r="B93" i="102"/>
  <c r="A93" i="102"/>
  <c r="AP92" i="102"/>
  <c r="AN92" i="102"/>
  <c r="G92" i="102" s="1"/>
  <c r="AM92" i="102"/>
  <c r="AO92" i="102" s="1"/>
  <c r="K92" i="102"/>
  <c r="F92" i="102"/>
  <c r="E92" i="102"/>
  <c r="J92" i="102" s="1"/>
  <c r="D92" i="102"/>
  <c r="C92" i="102"/>
  <c r="B92" i="102"/>
  <c r="A92" i="102"/>
  <c r="AP91" i="102"/>
  <c r="AN91" i="102"/>
  <c r="G91" i="102" s="1"/>
  <c r="AM91" i="102"/>
  <c r="AO91" i="102" s="1"/>
  <c r="K91" i="102"/>
  <c r="F91" i="102"/>
  <c r="E91" i="102"/>
  <c r="J91" i="102" s="1"/>
  <c r="D91" i="102"/>
  <c r="C91" i="102"/>
  <c r="B91" i="102"/>
  <c r="A91" i="102"/>
  <c r="AP90" i="102"/>
  <c r="AN90" i="102"/>
  <c r="G90" i="102" s="1"/>
  <c r="AM90" i="102"/>
  <c r="AO90" i="102" s="1"/>
  <c r="K90" i="102"/>
  <c r="F90" i="102"/>
  <c r="E90" i="102"/>
  <c r="J90" i="102" s="1"/>
  <c r="D90" i="102"/>
  <c r="C90" i="102"/>
  <c r="B90" i="102"/>
  <c r="A90" i="102"/>
  <c r="AP89" i="102"/>
  <c r="AN89" i="102"/>
  <c r="G89" i="102" s="1"/>
  <c r="AM89" i="102"/>
  <c r="AO89" i="102" s="1"/>
  <c r="K89" i="102"/>
  <c r="F89" i="102"/>
  <c r="E89" i="102"/>
  <c r="J89" i="102" s="1"/>
  <c r="D89" i="102"/>
  <c r="C89" i="102"/>
  <c r="B89" i="102"/>
  <c r="A89" i="102"/>
  <c r="AP88" i="102"/>
  <c r="AN88" i="102"/>
  <c r="G88" i="102" s="1"/>
  <c r="AM88" i="102"/>
  <c r="AO88" i="102" s="1"/>
  <c r="K88" i="102"/>
  <c r="F88" i="102"/>
  <c r="E88" i="102"/>
  <c r="J88" i="102" s="1"/>
  <c r="D88" i="102"/>
  <c r="C88" i="102"/>
  <c r="B88" i="102"/>
  <c r="A88" i="102"/>
  <c r="AP87" i="102"/>
  <c r="AN87" i="102"/>
  <c r="G87" i="102" s="1"/>
  <c r="AM87" i="102"/>
  <c r="AO87" i="102" s="1"/>
  <c r="K87" i="102"/>
  <c r="F87" i="102"/>
  <c r="E87" i="102"/>
  <c r="J87" i="102" s="1"/>
  <c r="D87" i="102"/>
  <c r="C87" i="102"/>
  <c r="B87" i="102"/>
  <c r="A87" i="102"/>
  <c r="AP86" i="102"/>
  <c r="AN86" i="102"/>
  <c r="G86" i="102" s="1"/>
  <c r="AM86" i="102"/>
  <c r="AO86" i="102" s="1"/>
  <c r="K86" i="102"/>
  <c r="F86" i="102"/>
  <c r="E86" i="102"/>
  <c r="J86" i="102" s="1"/>
  <c r="D86" i="102"/>
  <c r="C86" i="102"/>
  <c r="B86" i="102"/>
  <c r="A86" i="102"/>
  <c r="AP85" i="102"/>
  <c r="AN85" i="102"/>
  <c r="G85" i="102" s="1"/>
  <c r="AM85" i="102"/>
  <c r="AO85" i="102" s="1"/>
  <c r="K85" i="102"/>
  <c r="F85" i="102"/>
  <c r="E85" i="102"/>
  <c r="J85" i="102" s="1"/>
  <c r="D85" i="102"/>
  <c r="C85" i="102"/>
  <c r="B85" i="102"/>
  <c r="A85" i="102"/>
  <c r="AP84" i="102"/>
  <c r="AN84" i="102"/>
  <c r="G84" i="102" s="1"/>
  <c r="AM84" i="102"/>
  <c r="AO84" i="102" s="1"/>
  <c r="K84" i="102"/>
  <c r="F84" i="102"/>
  <c r="E84" i="102"/>
  <c r="J84" i="102" s="1"/>
  <c r="D84" i="102"/>
  <c r="C84" i="102"/>
  <c r="B84" i="102"/>
  <c r="A84" i="102"/>
  <c r="AP83" i="102"/>
  <c r="AN83" i="102"/>
  <c r="G83" i="102" s="1"/>
  <c r="AM83" i="102"/>
  <c r="AO83" i="102" s="1"/>
  <c r="K83" i="102"/>
  <c r="F83" i="102"/>
  <c r="E83" i="102"/>
  <c r="J83" i="102" s="1"/>
  <c r="D83" i="102"/>
  <c r="C83" i="102"/>
  <c r="B83" i="102"/>
  <c r="A83" i="102"/>
  <c r="AP82" i="102"/>
  <c r="AN82" i="102"/>
  <c r="G82" i="102" s="1"/>
  <c r="AM82" i="102"/>
  <c r="AO82" i="102" s="1"/>
  <c r="K82" i="102"/>
  <c r="F82" i="102"/>
  <c r="E82" i="102"/>
  <c r="J82" i="102" s="1"/>
  <c r="D82" i="102"/>
  <c r="C82" i="102"/>
  <c r="B82" i="102"/>
  <c r="A82" i="102"/>
  <c r="AP81" i="102"/>
  <c r="AN81" i="102"/>
  <c r="G81" i="102" s="1"/>
  <c r="AM81" i="102"/>
  <c r="AO81" i="102" s="1"/>
  <c r="K81" i="102"/>
  <c r="F81" i="102"/>
  <c r="E81" i="102"/>
  <c r="J81" i="102" s="1"/>
  <c r="D81" i="102"/>
  <c r="C81" i="102"/>
  <c r="B81" i="102"/>
  <c r="A81" i="102"/>
  <c r="AP80" i="102"/>
  <c r="AN80" i="102"/>
  <c r="G80" i="102" s="1"/>
  <c r="AM80" i="102"/>
  <c r="AO80" i="102" s="1"/>
  <c r="K80" i="102"/>
  <c r="F80" i="102"/>
  <c r="E80" i="102"/>
  <c r="J80" i="102" s="1"/>
  <c r="D80" i="102"/>
  <c r="C80" i="102"/>
  <c r="B80" i="102"/>
  <c r="A80" i="102"/>
  <c r="AP79" i="102"/>
  <c r="AN79" i="102"/>
  <c r="G79" i="102" s="1"/>
  <c r="AM79" i="102"/>
  <c r="K79" i="102"/>
  <c r="F79" i="102"/>
  <c r="E79" i="102"/>
  <c r="J79" i="102" s="1"/>
  <c r="D79" i="102"/>
  <c r="C79" i="102"/>
  <c r="B79" i="102"/>
  <c r="A79" i="102"/>
  <c r="AP78" i="102"/>
  <c r="AN78" i="102"/>
  <c r="G78" i="102" s="1"/>
  <c r="AM78" i="102"/>
  <c r="K78" i="102"/>
  <c r="F78" i="102"/>
  <c r="E78" i="102"/>
  <c r="J78" i="102" s="1"/>
  <c r="D78" i="102"/>
  <c r="C78" i="102"/>
  <c r="B78" i="102"/>
  <c r="A78" i="102"/>
  <c r="AP77" i="102"/>
  <c r="AN77" i="102"/>
  <c r="G77" i="102" s="1"/>
  <c r="AM77" i="102"/>
  <c r="K77" i="102"/>
  <c r="F77" i="102"/>
  <c r="E77" i="102"/>
  <c r="J77" i="102" s="1"/>
  <c r="D77" i="102"/>
  <c r="C77" i="102"/>
  <c r="B77" i="102"/>
  <c r="A77" i="102"/>
  <c r="AP76" i="102"/>
  <c r="AN76" i="102"/>
  <c r="G76" i="102" s="1"/>
  <c r="AM76" i="102"/>
  <c r="K76" i="102"/>
  <c r="F76" i="102"/>
  <c r="E76" i="102"/>
  <c r="J76" i="102" s="1"/>
  <c r="D76" i="102"/>
  <c r="C76" i="102"/>
  <c r="B76" i="102"/>
  <c r="A76" i="102"/>
  <c r="AP75" i="102"/>
  <c r="AN75" i="102"/>
  <c r="G75" i="102" s="1"/>
  <c r="AM75" i="102"/>
  <c r="K75" i="102"/>
  <c r="F75" i="102"/>
  <c r="E75" i="102"/>
  <c r="J75" i="102" s="1"/>
  <c r="D75" i="102"/>
  <c r="C75" i="102"/>
  <c r="B75" i="102"/>
  <c r="A75" i="102"/>
  <c r="AP74" i="102"/>
  <c r="AN74" i="102"/>
  <c r="G74" i="102" s="1"/>
  <c r="AM74" i="102"/>
  <c r="K74" i="102"/>
  <c r="F74" i="102"/>
  <c r="E74" i="102"/>
  <c r="J74" i="102" s="1"/>
  <c r="D74" i="102"/>
  <c r="C74" i="102"/>
  <c r="B74" i="102"/>
  <c r="A74" i="102"/>
  <c r="AP73" i="102"/>
  <c r="AN73" i="102"/>
  <c r="G73" i="102" s="1"/>
  <c r="AM73" i="102"/>
  <c r="K73" i="102"/>
  <c r="F73" i="102"/>
  <c r="E73" i="102"/>
  <c r="J73" i="102" s="1"/>
  <c r="D73" i="102"/>
  <c r="C73" i="102"/>
  <c r="B73" i="102"/>
  <c r="A73" i="102"/>
  <c r="AP72" i="102"/>
  <c r="AN72" i="102"/>
  <c r="G72" i="102" s="1"/>
  <c r="AM72" i="102"/>
  <c r="K72" i="102"/>
  <c r="F72" i="102"/>
  <c r="E72" i="102"/>
  <c r="J72" i="102" s="1"/>
  <c r="D72" i="102"/>
  <c r="C72" i="102"/>
  <c r="B72" i="102"/>
  <c r="A72" i="102"/>
  <c r="AP71" i="102"/>
  <c r="AN71" i="102"/>
  <c r="G71" i="102" s="1"/>
  <c r="AM71" i="102"/>
  <c r="K71" i="102"/>
  <c r="F71" i="102"/>
  <c r="E71" i="102"/>
  <c r="J71" i="102" s="1"/>
  <c r="D71" i="102"/>
  <c r="C71" i="102"/>
  <c r="B71" i="102"/>
  <c r="A71" i="102"/>
  <c r="AP70" i="102"/>
  <c r="AN70" i="102"/>
  <c r="G70" i="102" s="1"/>
  <c r="AM70" i="102"/>
  <c r="K70" i="102"/>
  <c r="F70" i="102"/>
  <c r="E70" i="102"/>
  <c r="J70" i="102" s="1"/>
  <c r="D70" i="102"/>
  <c r="C70" i="102"/>
  <c r="B70" i="102"/>
  <c r="A70" i="102"/>
  <c r="AP69" i="102"/>
  <c r="AN69" i="102"/>
  <c r="G69" i="102" s="1"/>
  <c r="AM69" i="102"/>
  <c r="K69" i="102"/>
  <c r="F69" i="102"/>
  <c r="E69" i="102"/>
  <c r="J69" i="102" s="1"/>
  <c r="D69" i="102"/>
  <c r="C69" i="102"/>
  <c r="B69" i="102"/>
  <c r="A69" i="102"/>
  <c r="AP68" i="102"/>
  <c r="AN68" i="102"/>
  <c r="G68" i="102" s="1"/>
  <c r="AM68" i="102"/>
  <c r="K68" i="102"/>
  <c r="F68" i="102"/>
  <c r="E68" i="102"/>
  <c r="J68" i="102" s="1"/>
  <c r="D68" i="102"/>
  <c r="C68" i="102"/>
  <c r="B68" i="102"/>
  <c r="A68" i="102"/>
  <c r="AP67" i="102"/>
  <c r="AN67" i="102"/>
  <c r="G67" i="102" s="1"/>
  <c r="AM67" i="102"/>
  <c r="K67" i="102"/>
  <c r="F67" i="102"/>
  <c r="E67" i="102"/>
  <c r="J67" i="102" s="1"/>
  <c r="D67" i="102"/>
  <c r="C67" i="102"/>
  <c r="B67" i="102"/>
  <c r="A67" i="102"/>
  <c r="AP66" i="102"/>
  <c r="AN66" i="102"/>
  <c r="G66" i="102" s="1"/>
  <c r="AM66" i="102"/>
  <c r="K66" i="102"/>
  <c r="F66" i="102"/>
  <c r="E66" i="102"/>
  <c r="J66" i="102" s="1"/>
  <c r="D66" i="102"/>
  <c r="C66" i="102"/>
  <c r="B66" i="102"/>
  <c r="A66" i="102"/>
  <c r="AP65" i="102"/>
  <c r="AN65" i="102"/>
  <c r="G65" i="102" s="1"/>
  <c r="AM65" i="102"/>
  <c r="K65" i="102"/>
  <c r="F65" i="102"/>
  <c r="E65" i="102"/>
  <c r="J65" i="102" s="1"/>
  <c r="D65" i="102"/>
  <c r="C65" i="102"/>
  <c r="B65" i="102"/>
  <c r="A65" i="102"/>
  <c r="AP64" i="102"/>
  <c r="AN64" i="102"/>
  <c r="G64" i="102" s="1"/>
  <c r="AM64" i="102"/>
  <c r="K64" i="102"/>
  <c r="F64" i="102"/>
  <c r="E64" i="102"/>
  <c r="J64" i="102" s="1"/>
  <c r="D64" i="102"/>
  <c r="C64" i="102"/>
  <c r="B64" i="102"/>
  <c r="A64" i="102"/>
  <c r="AP63" i="102"/>
  <c r="AN63" i="102"/>
  <c r="G63" i="102" s="1"/>
  <c r="AM63" i="102"/>
  <c r="K63" i="102"/>
  <c r="F63" i="102"/>
  <c r="E63" i="102"/>
  <c r="J63" i="102" s="1"/>
  <c r="D63" i="102"/>
  <c r="C63" i="102"/>
  <c r="B63" i="102"/>
  <c r="A63" i="102"/>
  <c r="AP62" i="102"/>
  <c r="AN62" i="102"/>
  <c r="G62" i="102" s="1"/>
  <c r="AM62" i="102"/>
  <c r="K62" i="102"/>
  <c r="F62" i="102"/>
  <c r="E62" i="102"/>
  <c r="J62" i="102" s="1"/>
  <c r="D62" i="102"/>
  <c r="C62" i="102"/>
  <c r="B62" i="102"/>
  <c r="A62" i="102"/>
  <c r="AP61" i="102"/>
  <c r="AN61" i="102"/>
  <c r="G61" i="102" s="1"/>
  <c r="AM61" i="102"/>
  <c r="K61" i="102"/>
  <c r="F61" i="102"/>
  <c r="E61" i="102"/>
  <c r="J61" i="102" s="1"/>
  <c r="D61" i="102"/>
  <c r="C61" i="102"/>
  <c r="B61" i="102"/>
  <c r="A61" i="102"/>
  <c r="AP60" i="102"/>
  <c r="AN60" i="102"/>
  <c r="G60" i="102" s="1"/>
  <c r="AM60" i="102"/>
  <c r="K60" i="102"/>
  <c r="F60" i="102"/>
  <c r="E60" i="102"/>
  <c r="J60" i="102" s="1"/>
  <c r="D60" i="102"/>
  <c r="C60" i="102"/>
  <c r="B60" i="102"/>
  <c r="A60" i="102"/>
  <c r="AP59" i="102"/>
  <c r="AN59" i="102"/>
  <c r="G59" i="102" s="1"/>
  <c r="AM59" i="102"/>
  <c r="K59" i="102"/>
  <c r="F59" i="102"/>
  <c r="E59" i="102"/>
  <c r="J59" i="102" s="1"/>
  <c r="D59" i="102"/>
  <c r="C59" i="102"/>
  <c r="B59" i="102"/>
  <c r="A59" i="102"/>
  <c r="AP58" i="102"/>
  <c r="AN58" i="102"/>
  <c r="G58" i="102" s="1"/>
  <c r="AM58" i="102"/>
  <c r="K58" i="102"/>
  <c r="F58" i="102"/>
  <c r="E58" i="102"/>
  <c r="J58" i="102" s="1"/>
  <c r="D58" i="102"/>
  <c r="C58" i="102"/>
  <c r="B58" i="102"/>
  <c r="A58" i="102"/>
  <c r="AP57" i="102"/>
  <c r="AN57" i="102"/>
  <c r="G57" i="102" s="1"/>
  <c r="AM57" i="102"/>
  <c r="K57" i="102"/>
  <c r="F57" i="102"/>
  <c r="E57" i="102"/>
  <c r="J57" i="102" s="1"/>
  <c r="D57" i="102"/>
  <c r="C57" i="102"/>
  <c r="B57" i="102"/>
  <c r="A57" i="102"/>
  <c r="AP56" i="102"/>
  <c r="AN56" i="102"/>
  <c r="G56" i="102" s="1"/>
  <c r="AM56" i="102"/>
  <c r="K56" i="102"/>
  <c r="F56" i="102"/>
  <c r="E56" i="102"/>
  <c r="J56" i="102" s="1"/>
  <c r="D56" i="102"/>
  <c r="C56" i="102"/>
  <c r="B56" i="102"/>
  <c r="A56" i="102"/>
  <c r="AP55" i="102"/>
  <c r="AN55" i="102"/>
  <c r="G55" i="102" s="1"/>
  <c r="AM55" i="102"/>
  <c r="K55" i="102"/>
  <c r="F55" i="102"/>
  <c r="E55" i="102"/>
  <c r="J55" i="102" s="1"/>
  <c r="D55" i="102"/>
  <c r="C55" i="102"/>
  <c r="B55" i="102"/>
  <c r="A55" i="102"/>
  <c r="AP54" i="102"/>
  <c r="AN54" i="102"/>
  <c r="G54" i="102" s="1"/>
  <c r="AM54" i="102"/>
  <c r="K54" i="102"/>
  <c r="F54" i="102"/>
  <c r="E54" i="102"/>
  <c r="J54" i="102" s="1"/>
  <c r="D54" i="102"/>
  <c r="C54" i="102"/>
  <c r="B54" i="102"/>
  <c r="A54" i="102"/>
  <c r="AP53" i="102"/>
  <c r="AN53" i="102"/>
  <c r="G53" i="102" s="1"/>
  <c r="AM53" i="102"/>
  <c r="K53" i="102"/>
  <c r="F53" i="102"/>
  <c r="E53" i="102"/>
  <c r="J53" i="102" s="1"/>
  <c r="D53" i="102"/>
  <c r="C53" i="102"/>
  <c r="B53" i="102"/>
  <c r="A53" i="102"/>
  <c r="AP52" i="102"/>
  <c r="AN52" i="102"/>
  <c r="G52" i="102" s="1"/>
  <c r="AM52" i="102"/>
  <c r="K52" i="102"/>
  <c r="F52" i="102"/>
  <c r="E52" i="102"/>
  <c r="J52" i="102" s="1"/>
  <c r="D52" i="102"/>
  <c r="C52" i="102"/>
  <c r="B52" i="102"/>
  <c r="A52" i="102"/>
  <c r="AP51" i="102"/>
  <c r="AN51" i="102"/>
  <c r="G51" i="102" s="1"/>
  <c r="AM51" i="102"/>
  <c r="K51" i="102"/>
  <c r="F51" i="102"/>
  <c r="E51" i="102"/>
  <c r="J51" i="102" s="1"/>
  <c r="D51" i="102"/>
  <c r="C51" i="102"/>
  <c r="B51" i="102"/>
  <c r="A51" i="102"/>
  <c r="AP50" i="102"/>
  <c r="AN50" i="102"/>
  <c r="G50" i="102" s="1"/>
  <c r="AM50" i="102"/>
  <c r="K50" i="102"/>
  <c r="F50" i="102"/>
  <c r="E50" i="102"/>
  <c r="J50" i="102" s="1"/>
  <c r="D50" i="102"/>
  <c r="C50" i="102"/>
  <c r="B50" i="102"/>
  <c r="A50" i="102"/>
  <c r="AP49" i="102"/>
  <c r="AN49" i="102"/>
  <c r="G49" i="102" s="1"/>
  <c r="AM49" i="102"/>
  <c r="K49" i="102"/>
  <c r="F49" i="102"/>
  <c r="E49" i="102"/>
  <c r="J49" i="102" s="1"/>
  <c r="D49" i="102"/>
  <c r="C49" i="102"/>
  <c r="B49" i="102"/>
  <c r="A49" i="102"/>
  <c r="AP48" i="102"/>
  <c r="AN48" i="102"/>
  <c r="G48" i="102" s="1"/>
  <c r="AM48" i="102"/>
  <c r="K48" i="102"/>
  <c r="F48" i="102"/>
  <c r="E48" i="102"/>
  <c r="J48" i="102" s="1"/>
  <c r="D48" i="102"/>
  <c r="C48" i="102"/>
  <c r="B48" i="102"/>
  <c r="A48" i="102"/>
  <c r="AP47" i="102"/>
  <c r="AN47" i="102"/>
  <c r="G47" i="102" s="1"/>
  <c r="AM47" i="102"/>
  <c r="XEP47" i="102" s="1"/>
  <c r="K47" i="102"/>
  <c r="F47" i="102"/>
  <c r="E47" i="102"/>
  <c r="J47" i="102" s="1"/>
  <c r="D47" i="102"/>
  <c r="C47" i="102"/>
  <c r="B47" i="102"/>
  <c r="A47" i="102"/>
  <c r="AP46" i="102"/>
  <c r="AN46" i="102"/>
  <c r="G46" i="102" s="1"/>
  <c r="AM46" i="102"/>
  <c r="XEP46" i="102" s="1"/>
  <c r="K46" i="102"/>
  <c r="F46" i="102"/>
  <c r="E46" i="102"/>
  <c r="J46" i="102" s="1"/>
  <c r="D46" i="102"/>
  <c r="C46" i="102"/>
  <c r="B46" i="102"/>
  <c r="A46" i="102"/>
  <c r="AP45" i="102"/>
  <c r="AN45" i="102"/>
  <c r="G45" i="102" s="1"/>
  <c r="AM45" i="102"/>
  <c r="XEP45" i="102" s="1"/>
  <c r="K45" i="102"/>
  <c r="F45" i="102"/>
  <c r="E45" i="102"/>
  <c r="J45" i="102" s="1"/>
  <c r="D45" i="102"/>
  <c r="C45" i="102"/>
  <c r="B45" i="102"/>
  <c r="A45" i="102"/>
  <c r="AP44" i="102"/>
  <c r="AN44" i="102"/>
  <c r="G44" i="102" s="1"/>
  <c r="AM44" i="102"/>
  <c r="XEP44" i="102" s="1"/>
  <c r="K44" i="102"/>
  <c r="F44" i="102"/>
  <c r="E44" i="102"/>
  <c r="J44" i="102" s="1"/>
  <c r="D44" i="102"/>
  <c r="C44" i="102"/>
  <c r="B44" i="102"/>
  <c r="A44" i="102"/>
  <c r="AP43" i="102"/>
  <c r="AN43" i="102"/>
  <c r="G43" i="102" s="1"/>
  <c r="AM43" i="102"/>
  <c r="XEP43" i="102" s="1"/>
  <c r="K43" i="102"/>
  <c r="F43" i="102"/>
  <c r="E43" i="102"/>
  <c r="J43" i="102" s="1"/>
  <c r="D43" i="102"/>
  <c r="C43" i="102"/>
  <c r="B43" i="102"/>
  <c r="A43" i="102"/>
  <c r="AP42" i="102"/>
  <c r="AM42" i="102"/>
  <c r="XEP42" i="102" s="1"/>
  <c r="K42" i="102"/>
  <c r="F42" i="102"/>
  <c r="E42" i="102"/>
  <c r="J42" i="102" s="1"/>
  <c r="D42" i="102"/>
  <c r="C42" i="102"/>
  <c r="B42" i="102"/>
  <c r="A42" i="102"/>
  <c r="AP41" i="102"/>
  <c r="AM41" i="102"/>
  <c r="XEP41" i="102" s="1"/>
  <c r="K41" i="102"/>
  <c r="F41" i="102"/>
  <c r="E41" i="102"/>
  <c r="J41" i="102" s="1"/>
  <c r="D41" i="102"/>
  <c r="C41" i="102"/>
  <c r="B41" i="102"/>
  <c r="A41" i="102"/>
  <c r="AP40" i="102"/>
  <c r="AM40" i="102"/>
  <c r="K40" i="102"/>
  <c r="F40" i="102"/>
  <c r="E40" i="102"/>
  <c r="J40" i="102" s="1"/>
  <c r="D40" i="102"/>
  <c r="C40" i="102"/>
  <c r="B40" i="102"/>
  <c r="A40" i="102"/>
  <c r="AP39" i="102"/>
  <c r="AM39" i="102"/>
  <c r="K39" i="102"/>
  <c r="F39" i="102"/>
  <c r="E39" i="102"/>
  <c r="J39" i="102" s="1"/>
  <c r="D39" i="102"/>
  <c r="C39" i="102"/>
  <c r="B39" i="102"/>
  <c r="A39" i="102"/>
  <c r="AP38" i="102"/>
  <c r="AM38" i="102"/>
  <c r="K38" i="102"/>
  <c r="F38" i="102"/>
  <c r="E38" i="102"/>
  <c r="J38" i="102" s="1"/>
  <c r="D38" i="102"/>
  <c r="C38" i="102"/>
  <c r="B38" i="102"/>
  <c r="A38" i="102"/>
  <c r="AP37" i="102"/>
  <c r="AM37" i="102"/>
  <c r="AO37" i="102" s="1"/>
  <c r="K37" i="102"/>
  <c r="F37" i="102"/>
  <c r="E37" i="102"/>
  <c r="J37" i="102" s="1"/>
  <c r="D37" i="102"/>
  <c r="C37" i="102"/>
  <c r="B37" i="102"/>
  <c r="A37" i="102"/>
  <c r="AP35" i="102"/>
  <c r="AM35" i="102"/>
  <c r="K35" i="102"/>
  <c r="F35" i="102"/>
  <c r="E35" i="102"/>
  <c r="J35" i="102" s="1"/>
  <c r="D35" i="102"/>
  <c r="C35" i="102"/>
  <c r="B35" i="102"/>
  <c r="A35" i="102"/>
  <c r="AP34" i="102"/>
  <c r="AM34" i="102"/>
  <c r="K34" i="102"/>
  <c r="F34" i="102"/>
  <c r="E34" i="102"/>
  <c r="J34" i="102" s="1"/>
  <c r="D34" i="102"/>
  <c r="C34" i="102"/>
  <c r="B34" i="102"/>
  <c r="A34" i="102"/>
  <c r="AP33" i="102"/>
  <c r="AM33" i="102"/>
  <c r="K33" i="102"/>
  <c r="F33" i="102"/>
  <c r="E33" i="102"/>
  <c r="J33" i="102" s="1"/>
  <c r="D33" i="102"/>
  <c r="C33" i="102"/>
  <c r="B33" i="102"/>
  <c r="A33" i="102"/>
  <c r="AP30" i="102"/>
  <c r="AM30" i="102"/>
  <c r="K30" i="102"/>
  <c r="F30" i="102"/>
  <c r="E30" i="102"/>
  <c r="J30" i="102" s="1"/>
  <c r="D30" i="102"/>
  <c r="C30" i="102"/>
  <c r="B30" i="102"/>
  <c r="A30" i="102"/>
  <c r="AP29" i="102"/>
  <c r="AM29" i="102"/>
  <c r="XES29" i="102" s="1"/>
  <c r="K29" i="102"/>
  <c r="F29" i="102"/>
  <c r="E29" i="102"/>
  <c r="J29" i="102" s="1"/>
  <c r="D29" i="102"/>
  <c r="C29" i="102"/>
  <c r="B29" i="102"/>
  <c r="A29" i="102"/>
  <c r="AP28" i="102"/>
  <c r="AM28" i="102"/>
  <c r="K28" i="102"/>
  <c r="F28" i="102"/>
  <c r="E28" i="102"/>
  <c r="J28" i="102" s="1"/>
  <c r="D28" i="102"/>
  <c r="C28" i="102"/>
  <c r="B28" i="102"/>
  <c r="A28" i="102"/>
  <c r="AP27" i="102"/>
  <c r="AM27" i="102"/>
  <c r="XES27" i="102" s="1"/>
  <c r="K27" i="102"/>
  <c r="F27" i="102"/>
  <c r="E27" i="102"/>
  <c r="J27" i="102" s="1"/>
  <c r="D27" i="102"/>
  <c r="C27" i="102"/>
  <c r="B27" i="102"/>
  <c r="A27" i="102"/>
  <c r="AP26" i="102"/>
  <c r="AM26" i="102"/>
  <c r="K26" i="102"/>
  <c r="F26" i="102"/>
  <c r="E26" i="102"/>
  <c r="J26" i="102" s="1"/>
  <c r="D26" i="102"/>
  <c r="C26" i="102"/>
  <c r="B26" i="102"/>
  <c r="A26" i="102"/>
  <c r="AP25" i="102"/>
  <c r="AM25" i="102"/>
  <c r="AR23" i="99" s="1"/>
  <c r="K25" i="102"/>
  <c r="F25" i="102"/>
  <c r="E25" i="102"/>
  <c r="J25" i="102" s="1"/>
  <c r="D25" i="102"/>
  <c r="C25" i="102"/>
  <c r="B25" i="102"/>
  <c r="A25" i="102"/>
  <c r="AP24" i="102"/>
  <c r="AM24" i="102"/>
  <c r="K24" i="102"/>
  <c r="F24" i="102"/>
  <c r="E24" i="102"/>
  <c r="J24" i="102" s="1"/>
  <c r="D24" i="102"/>
  <c r="C24" i="102"/>
  <c r="B24" i="102"/>
  <c r="A24" i="102"/>
  <c r="AP23" i="102"/>
  <c r="AM23" i="102"/>
  <c r="K23" i="102"/>
  <c r="F23" i="102"/>
  <c r="E23" i="102"/>
  <c r="J23" i="102" s="1"/>
  <c r="D23" i="102"/>
  <c r="C23" i="102"/>
  <c r="B23" i="102"/>
  <c r="A23" i="102"/>
  <c r="AP22" i="102"/>
  <c r="AM22" i="102"/>
  <c r="K22" i="102"/>
  <c r="F22" i="102"/>
  <c r="E22" i="102"/>
  <c r="J22" i="102" s="1"/>
  <c r="D22" i="102"/>
  <c r="C22" i="102"/>
  <c r="B22" i="102"/>
  <c r="A22" i="102"/>
  <c r="AP20" i="102"/>
  <c r="AM20" i="102"/>
  <c r="K20" i="102"/>
  <c r="F20" i="102"/>
  <c r="E20" i="102"/>
  <c r="J20" i="102" s="1"/>
  <c r="D20" i="102"/>
  <c r="C20" i="102"/>
  <c r="B20" i="102"/>
  <c r="A20" i="102"/>
  <c r="AP19" i="102"/>
  <c r="AM19" i="102"/>
  <c r="XEP19" i="102" s="1"/>
  <c r="K19" i="102"/>
  <c r="F19" i="102"/>
  <c r="E19" i="102"/>
  <c r="J19" i="102" s="1"/>
  <c r="D19" i="102"/>
  <c r="C19" i="102"/>
  <c r="B19" i="102"/>
  <c r="A19" i="102"/>
  <c r="AP18" i="102"/>
  <c r="AM18" i="102"/>
  <c r="XEP18" i="102" s="1"/>
  <c r="K18" i="102"/>
  <c r="F18" i="102"/>
  <c r="E18" i="102"/>
  <c r="J18" i="102" s="1"/>
  <c r="D18" i="102"/>
  <c r="C18" i="102"/>
  <c r="B18" i="102"/>
  <c r="A18" i="102"/>
  <c r="AP17" i="102"/>
  <c r="AM17" i="102"/>
  <c r="K17" i="102"/>
  <c r="F17" i="102"/>
  <c r="E17" i="102"/>
  <c r="J17" i="102" s="1"/>
  <c r="D17" i="102"/>
  <c r="C17" i="102"/>
  <c r="B17" i="102"/>
  <c r="A17" i="102"/>
  <c r="AP16" i="102"/>
  <c r="AM16" i="102"/>
  <c r="XEP16" i="102" s="1"/>
  <c r="K16" i="102"/>
  <c r="F16" i="102"/>
  <c r="E16" i="102"/>
  <c r="J16" i="102" s="1"/>
  <c r="D16" i="102"/>
  <c r="C16" i="102"/>
  <c r="B16" i="102"/>
  <c r="A16" i="102"/>
  <c r="AP15" i="102"/>
  <c r="AM15" i="102"/>
  <c r="XEP15" i="102" s="1"/>
  <c r="K15" i="102"/>
  <c r="F15" i="102"/>
  <c r="E15" i="102"/>
  <c r="J15" i="102" s="1"/>
  <c r="D15" i="102"/>
  <c r="C15" i="102"/>
  <c r="B15" i="102"/>
  <c r="A15" i="102"/>
  <c r="AP14" i="102"/>
  <c r="AM14" i="102"/>
  <c r="XEP14" i="102" s="1"/>
  <c r="K14" i="102"/>
  <c r="F14" i="102"/>
  <c r="E14" i="102"/>
  <c r="J14" i="102" s="1"/>
  <c r="D14" i="102"/>
  <c r="C14" i="102"/>
  <c r="B14" i="102"/>
  <c r="A14" i="102"/>
  <c r="D5" i="102"/>
  <c r="AP100" i="101"/>
  <c r="AN100" i="101"/>
  <c r="G100" i="101" s="1"/>
  <c r="AM100" i="101"/>
  <c r="AO100" i="101" s="1"/>
  <c r="K100" i="101"/>
  <c r="F100" i="101"/>
  <c r="E100" i="101"/>
  <c r="J100" i="101" s="1"/>
  <c r="D100" i="101"/>
  <c r="C100" i="101"/>
  <c r="B100" i="101"/>
  <c r="A100" i="101"/>
  <c r="AP99" i="101"/>
  <c r="AN99" i="101"/>
  <c r="G99" i="101" s="1"/>
  <c r="AM99" i="101"/>
  <c r="AO99" i="101" s="1"/>
  <c r="K99" i="101"/>
  <c r="F99" i="101"/>
  <c r="E99" i="101"/>
  <c r="J99" i="101" s="1"/>
  <c r="D99" i="101"/>
  <c r="C99" i="101"/>
  <c r="B99" i="101"/>
  <c r="A99" i="101"/>
  <c r="AP98" i="101"/>
  <c r="AN98" i="101"/>
  <c r="G98" i="101" s="1"/>
  <c r="AM98" i="101"/>
  <c r="AO98" i="101" s="1"/>
  <c r="K98" i="101"/>
  <c r="F98" i="101"/>
  <c r="E98" i="101"/>
  <c r="J98" i="101" s="1"/>
  <c r="D98" i="101"/>
  <c r="C98" i="101"/>
  <c r="B98" i="101"/>
  <c r="A98" i="101"/>
  <c r="AP97" i="101"/>
  <c r="AN97" i="101"/>
  <c r="G97" i="101" s="1"/>
  <c r="AM97" i="101"/>
  <c r="AO97" i="101" s="1"/>
  <c r="K97" i="101"/>
  <c r="F97" i="101"/>
  <c r="E97" i="101"/>
  <c r="J97" i="101" s="1"/>
  <c r="D97" i="101"/>
  <c r="C97" i="101"/>
  <c r="B97" i="101"/>
  <c r="A97" i="101"/>
  <c r="AP96" i="101"/>
  <c r="AN96" i="101"/>
  <c r="G96" i="101" s="1"/>
  <c r="AM96" i="101"/>
  <c r="AO96" i="101" s="1"/>
  <c r="K96" i="101"/>
  <c r="F96" i="101"/>
  <c r="E96" i="101"/>
  <c r="J96" i="101" s="1"/>
  <c r="D96" i="101"/>
  <c r="C96" i="101"/>
  <c r="B96" i="101"/>
  <c r="A96" i="101"/>
  <c r="AP95" i="101"/>
  <c r="AN95" i="101"/>
  <c r="G95" i="101" s="1"/>
  <c r="AM95" i="101"/>
  <c r="AO95" i="101" s="1"/>
  <c r="K95" i="101"/>
  <c r="F95" i="101"/>
  <c r="E95" i="101"/>
  <c r="J95" i="101" s="1"/>
  <c r="D95" i="101"/>
  <c r="C95" i="101"/>
  <c r="B95" i="101"/>
  <c r="A95" i="101"/>
  <c r="AP94" i="101"/>
  <c r="AN94" i="101"/>
  <c r="G94" i="101" s="1"/>
  <c r="AM94" i="101"/>
  <c r="AO94" i="101" s="1"/>
  <c r="K94" i="101"/>
  <c r="F94" i="101"/>
  <c r="E94" i="101"/>
  <c r="J94" i="101" s="1"/>
  <c r="D94" i="101"/>
  <c r="C94" i="101"/>
  <c r="B94" i="101"/>
  <c r="A94" i="101"/>
  <c r="AP93" i="101"/>
  <c r="AN93" i="101"/>
  <c r="G93" i="101" s="1"/>
  <c r="AM93" i="101"/>
  <c r="AO93" i="101" s="1"/>
  <c r="K93" i="101"/>
  <c r="F93" i="101"/>
  <c r="E93" i="101"/>
  <c r="J93" i="101" s="1"/>
  <c r="D93" i="101"/>
  <c r="C93" i="101"/>
  <c r="B93" i="101"/>
  <c r="A93" i="101"/>
  <c r="AP92" i="101"/>
  <c r="AN92" i="101"/>
  <c r="G92" i="101" s="1"/>
  <c r="AM92" i="101"/>
  <c r="AO92" i="101" s="1"/>
  <c r="K92" i="101"/>
  <c r="F92" i="101"/>
  <c r="E92" i="101"/>
  <c r="J92" i="101" s="1"/>
  <c r="D92" i="101"/>
  <c r="C92" i="101"/>
  <c r="B92" i="101"/>
  <c r="A92" i="101"/>
  <c r="AP91" i="101"/>
  <c r="AN91" i="101"/>
  <c r="G91" i="101" s="1"/>
  <c r="AM91" i="101"/>
  <c r="AO91" i="101" s="1"/>
  <c r="K91" i="101"/>
  <c r="F91" i="101"/>
  <c r="E91" i="101"/>
  <c r="J91" i="101" s="1"/>
  <c r="D91" i="101"/>
  <c r="C91" i="101"/>
  <c r="B91" i="101"/>
  <c r="A91" i="101"/>
  <c r="AP90" i="101"/>
  <c r="AN90" i="101"/>
  <c r="G90" i="101" s="1"/>
  <c r="AM90" i="101"/>
  <c r="AO90" i="101" s="1"/>
  <c r="K90" i="101"/>
  <c r="F90" i="101"/>
  <c r="E90" i="101"/>
  <c r="J90" i="101" s="1"/>
  <c r="D90" i="101"/>
  <c r="C90" i="101"/>
  <c r="B90" i="101"/>
  <c r="A90" i="101"/>
  <c r="AP89" i="101"/>
  <c r="AN89" i="101"/>
  <c r="G89" i="101" s="1"/>
  <c r="AM89" i="101"/>
  <c r="AO89" i="101" s="1"/>
  <c r="K89" i="101"/>
  <c r="F89" i="101"/>
  <c r="E89" i="101"/>
  <c r="J89" i="101" s="1"/>
  <c r="D89" i="101"/>
  <c r="C89" i="101"/>
  <c r="B89" i="101"/>
  <c r="A89" i="101"/>
  <c r="AP88" i="101"/>
  <c r="AN88" i="101"/>
  <c r="G88" i="101" s="1"/>
  <c r="AM88" i="101"/>
  <c r="AO88" i="101" s="1"/>
  <c r="K88" i="101"/>
  <c r="F88" i="101"/>
  <c r="E88" i="101"/>
  <c r="J88" i="101" s="1"/>
  <c r="D88" i="101"/>
  <c r="C88" i="101"/>
  <c r="B88" i="101"/>
  <c r="A88" i="101"/>
  <c r="AP87" i="101"/>
  <c r="AN87" i="101"/>
  <c r="G87" i="101" s="1"/>
  <c r="AM87" i="101"/>
  <c r="AO87" i="101" s="1"/>
  <c r="K87" i="101"/>
  <c r="F87" i="101"/>
  <c r="E87" i="101"/>
  <c r="J87" i="101" s="1"/>
  <c r="D87" i="101"/>
  <c r="C87" i="101"/>
  <c r="B87" i="101"/>
  <c r="A87" i="101"/>
  <c r="AP86" i="101"/>
  <c r="AN86" i="101"/>
  <c r="G86" i="101" s="1"/>
  <c r="AM86" i="101"/>
  <c r="AO86" i="101" s="1"/>
  <c r="K86" i="101"/>
  <c r="F86" i="101"/>
  <c r="E86" i="101"/>
  <c r="J86" i="101" s="1"/>
  <c r="D86" i="101"/>
  <c r="C86" i="101"/>
  <c r="B86" i="101"/>
  <c r="A86" i="101"/>
  <c r="AP85" i="101"/>
  <c r="AN85" i="101"/>
  <c r="G85" i="101" s="1"/>
  <c r="AM85" i="101"/>
  <c r="AO85" i="101" s="1"/>
  <c r="K85" i="101"/>
  <c r="F85" i="101"/>
  <c r="E85" i="101"/>
  <c r="J85" i="101" s="1"/>
  <c r="D85" i="101"/>
  <c r="C85" i="101"/>
  <c r="B85" i="101"/>
  <c r="A85" i="101"/>
  <c r="AP84" i="101"/>
  <c r="AN84" i="101"/>
  <c r="G84" i="101" s="1"/>
  <c r="AM84" i="101"/>
  <c r="AO84" i="101" s="1"/>
  <c r="K84" i="101"/>
  <c r="F84" i="101"/>
  <c r="E84" i="101"/>
  <c r="J84" i="101" s="1"/>
  <c r="D84" i="101"/>
  <c r="C84" i="101"/>
  <c r="B84" i="101"/>
  <c r="A84" i="101"/>
  <c r="AP83" i="101"/>
  <c r="AN83" i="101"/>
  <c r="G83" i="101" s="1"/>
  <c r="AM83" i="101"/>
  <c r="AO83" i="101" s="1"/>
  <c r="K83" i="101"/>
  <c r="F83" i="101"/>
  <c r="E83" i="101"/>
  <c r="J83" i="101" s="1"/>
  <c r="D83" i="101"/>
  <c r="C83" i="101"/>
  <c r="B83" i="101"/>
  <c r="A83" i="101"/>
  <c r="AP82" i="101"/>
  <c r="AN82" i="101"/>
  <c r="G82" i="101" s="1"/>
  <c r="AM82" i="101"/>
  <c r="AO82" i="101" s="1"/>
  <c r="K82" i="101"/>
  <c r="F82" i="101"/>
  <c r="E82" i="101"/>
  <c r="J82" i="101" s="1"/>
  <c r="D82" i="101"/>
  <c r="C82" i="101"/>
  <c r="B82" i="101"/>
  <c r="A82" i="101"/>
  <c r="AP81" i="101"/>
  <c r="AN81" i="101"/>
  <c r="G81" i="101" s="1"/>
  <c r="AM81" i="101"/>
  <c r="AO81" i="101" s="1"/>
  <c r="K81" i="101"/>
  <c r="F81" i="101"/>
  <c r="E81" i="101"/>
  <c r="J81" i="101" s="1"/>
  <c r="D81" i="101"/>
  <c r="C81" i="101"/>
  <c r="B81" i="101"/>
  <c r="A81" i="101"/>
  <c r="AP80" i="101"/>
  <c r="AN80" i="101"/>
  <c r="G80" i="101" s="1"/>
  <c r="AM80" i="101"/>
  <c r="AO80" i="101" s="1"/>
  <c r="K80" i="101"/>
  <c r="F80" i="101"/>
  <c r="E80" i="101"/>
  <c r="J80" i="101" s="1"/>
  <c r="D80" i="101"/>
  <c r="C80" i="101"/>
  <c r="B80" i="101"/>
  <c r="A80" i="101"/>
  <c r="AP79" i="101"/>
  <c r="AN79" i="101"/>
  <c r="G79" i="101" s="1"/>
  <c r="AM79" i="101"/>
  <c r="K79" i="101"/>
  <c r="F79" i="101"/>
  <c r="E79" i="101"/>
  <c r="J79" i="101" s="1"/>
  <c r="D79" i="101"/>
  <c r="C79" i="101"/>
  <c r="B79" i="101"/>
  <c r="A79" i="101"/>
  <c r="AP78" i="101"/>
  <c r="AN78" i="101"/>
  <c r="G78" i="101" s="1"/>
  <c r="AM78" i="101"/>
  <c r="K78" i="101"/>
  <c r="F78" i="101"/>
  <c r="E78" i="101"/>
  <c r="J78" i="101" s="1"/>
  <c r="D78" i="101"/>
  <c r="C78" i="101"/>
  <c r="B78" i="101"/>
  <c r="A78" i="101"/>
  <c r="AP77" i="101"/>
  <c r="AN77" i="101"/>
  <c r="G77" i="101" s="1"/>
  <c r="AM77" i="101"/>
  <c r="K77" i="101"/>
  <c r="F77" i="101"/>
  <c r="E77" i="101"/>
  <c r="J77" i="101" s="1"/>
  <c r="D77" i="101"/>
  <c r="C77" i="101"/>
  <c r="B77" i="101"/>
  <c r="A77" i="101"/>
  <c r="AP76" i="101"/>
  <c r="AN76" i="101"/>
  <c r="G76" i="101" s="1"/>
  <c r="AM76" i="101"/>
  <c r="K76" i="101"/>
  <c r="F76" i="101"/>
  <c r="E76" i="101"/>
  <c r="J76" i="101" s="1"/>
  <c r="D76" i="101"/>
  <c r="C76" i="101"/>
  <c r="B76" i="101"/>
  <c r="A76" i="101"/>
  <c r="AP75" i="101"/>
  <c r="AN75" i="101"/>
  <c r="G75" i="101" s="1"/>
  <c r="AM75" i="101"/>
  <c r="K75" i="101"/>
  <c r="F75" i="101"/>
  <c r="E75" i="101"/>
  <c r="J75" i="101" s="1"/>
  <c r="D75" i="101"/>
  <c r="C75" i="101"/>
  <c r="B75" i="101"/>
  <c r="A75" i="101"/>
  <c r="AP74" i="101"/>
  <c r="AN74" i="101"/>
  <c r="G74" i="101" s="1"/>
  <c r="AM74" i="101"/>
  <c r="K74" i="101"/>
  <c r="F74" i="101"/>
  <c r="E74" i="101"/>
  <c r="J74" i="101" s="1"/>
  <c r="D74" i="101"/>
  <c r="C74" i="101"/>
  <c r="B74" i="101"/>
  <c r="A74" i="101"/>
  <c r="AP73" i="101"/>
  <c r="AN73" i="101"/>
  <c r="G73" i="101" s="1"/>
  <c r="AM73" i="101"/>
  <c r="K73" i="101"/>
  <c r="F73" i="101"/>
  <c r="E73" i="101"/>
  <c r="J73" i="101" s="1"/>
  <c r="D73" i="101"/>
  <c r="C73" i="101"/>
  <c r="B73" i="101"/>
  <c r="A73" i="101"/>
  <c r="AP72" i="101"/>
  <c r="AN72" i="101"/>
  <c r="G72" i="101" s="1"/>
  <c r="AM72" i="101"/>
  <c r="K72" i="101"/>
  <c r="F72" i="101"/>
  <c r="E72" i="101"/>
  <c r="J72" i="101" s="1"/>
  <c r="D72" i="101"/>
  <c r="C72" i="101"/>
  <c r="B72" i="101"/>
  <c r="A72" i="101"/>
  <c r="AP71" i="101"/>
  <c r="AN71" i="101"/>
  <c r="G71" i="101" s="1"/>
  <c r="AM71" i="101"/>
  <c r="K71" i="101"/>
  <c r="F71" i="101"/>
  <c r="E71" i="101"/>
  <c r="J71" i="101" s="1"/>
  <c r="D71" i="101"/>
  <c r="C71" i="101"/>
  <c r="B71" i="101"/>
  <c r="A71" i="101"/>
  <c r="AP70" i="101"/>
  <c r="AN70" i="101"/>
  <c r="G70" i="101" s="1"/>
  <c r="AM70" i="101"/>
  <c r="K70" i="101"/>
  <c r="F70" i="101"/>
  <c r="E70" i="101"/>
  <c r="J70" i="101" s="1"/>
  <c r="D70" i="101"/>
  <c r="C70" i="101"/>
  <c r="B70" i="101"/>
  <c r="A70" i="101"/>
  <c r="AP69" i="101"/>
  <c r="AN69" i="101"/>
  <c r="G69" i="101" s="1"/>
  <c r="AM69" i="101"/>
  <c r="K69" i="101"/>
  <c r="F69" i="101"/>
  <c r="E69" i="101"/>
  <c r="J69" i="101" s="1"/>
  <c r="D69" i="101"/>
  <c r="C69" i="101"/>
  <c r="B69" i="101"/>
  <c r="A69" i="101"/>
  <c r="AP68" i="101"/>
  <c r="AN68" i="101"/>
  <c r="G68" i="101" s="1"/>
  <c r="AM68" i="101"/>
  <c r="K68" i="101"/>
  <c r="F68" i="101"/>
  <c r="E68" i="101"/>
  <c r="J68" i="101" s="1"/>
  <c r="D68" i="101"/>
  <c r="C68" i="101"/>
  <c r="B68" i="101"/>
  <c r="A68" i="101"/>
  <c r="AP67" i="101"/>
  <c r="AN67" i="101"/>
  <c r="G67" i="101" s="1"/>
  <c r="AM67" i="101"/>
  <c r="K67" i="101"/>
  <c r="F67" i="101"/>
  <c r="E67" i="101"/>
  <c r="J67" i="101" s="1"/>
  <c r="D67" i="101"/>
  <c r="C67" i="101"/>
  <c r="B67" i="101"/>
  <c r="A67" i="101"/>
  <c r="AP66" i="101"/>
  <c r="AN66" i="101"/>
  <c r="G66" i="101" s="1"/>
  <c r="AM66" i="101"/>
  <c r="K66" i="101"/>
  <c r="F66" i="101"/>
  <c r="E66" i="101"/>
  <c r="J66" i="101" s="1"/>
  <c r="D66" i="101"/>
  <c r="C66" i="101"/>
  <c r="B66" i="101"/>
  <c r="A66" i="101"/>
  <c r="AP65" i="101"/>
  <c r="AN65" i="101"/>
  <c r="G65" i="101" s="1"/>
  <c r="AM65" i="101"/>
  <c r="K65" i="101"/>
  <c r="F65" i="101"/>
  <c r="E65" i="101"/>
  <c r="J65" i="101" s="1"/>
  <c r="D65" i="101"/>
  <c r="C65" i="101"/>
  <c r="B65" i="101"/>
  <c r="A65" i="101"/>
  <c r="AP64" i="101"/>
  <c r="AN64" i="101"/>
  <c r="G64" i="101" s="1"/>
  <c r="AM64" i="101"/>
  <c r="K64" i="101"/>
  <c r="F64" i="101"/>
  <c r="E64" i="101"/>
  <c r="J64" i="101" s="1"/>
  <c r="D64" i="101"/>
  <c r="C64" i="101"/>
  <c r="B64" i="101"/>
  <c r="A64" i="101"/>
  <c r="AP63" i="101"/>
  <c r="AN63" i="101"/>
  <c r="G63" i="101" s="1"/>
  <c r="AM63" i="101"/>
  <c r="K63" i="101"/>
  <c r="F63" i="101"/>
  <c r="E63" i="101"/>
  <c r="J63" i="101" s="1"/>
  <c r="D63" i="101"/>
  <c r="C63" i="101"/>
  <c r="B63" i="101"/>
  <c r="A63" i="101"/>
  <c r="AP62" i="101"/>
  <c r="AN62" i="101"/>
  <c r="G62" i="101" s="1"/>
  <c r="AM62" i="101"/>
  <c r="K62" i="101"/>
  <c r="F62" i="101"/>
  <c r="E62" i="101"/>
  <c r="J62" i="101" s="1"/>
  <c r="D62" i="101"/>
  <c r="C62" i="101"/>
  <c r="B62" i="101"/>
  <c r="A62" i="101"/>
  <c r="AP61" i="101"/>
  <c r="AN61" i="101"/>
  <c r="G61" i="101" s="1"/>
  <c r="AM61" i="101"/>
  <c r="K61" i="101"/>
  <c r="F61" i="101"/>
  <c r="E61" i="101"/>
  <c r="J61" i="101" s="1"/>
  <c r="D61" i="101"/>
  <c r="C61" i="101"/>
  <c r="B61" i="101"/>
  <c r="A61" i="101"/>
  <c r="AP60" i="101"/>
  <c r="AN60" i="101"/>
  <c r="G60" i="101" s="1"/>
  <c r="AM60" i="101"/>
  <c r="K60" i="101"/>
  <c r="F60" i="101"/>
  <c r="E60" i="101"/>
  <c r="J60" i="101" s="1"/>
  <c r="D60" i="101"/>
  <c r="C60" i="101"/>
  <c r="B60" i="101"/>
  <c r="A60" i="101"/>
  <c r="AP59" i="101"/>
  <c r="AN59" i="101"/>
  <c r="G59" i="101" s="1"/>
  <c r="AM59" i="101"/>
  <c r="K59" i="101"/>
  <c r="F59" i="101"/>
  <c r="E59" i="101"/>
  <c r="J59" i="101" s="1"/>
  <c r="D59" i="101"/>
  <c r="C59" i="101"/>
  <c r="B59" i="101"/>
  <c r="A59" i="101"/>
  <c r="AP58" i="101"/>
  <c r="AN58" i="101"/>
  <c r="G58" i="101" s="1"/>
  <c r="AM58" i="101"/>
  <c r="K58" i="101"/>
  <c r="F58" i="101"/>
  <c r="E58" i="101"/>
  <c r="J58" i="101" s="1"/>
  <c r="D58" i="101"/>
  <c r="C58" i="101"/>
  <c r="B58" i="101"/>
  <c r="A58" i="101"/>
  <c r="AP57" i="101"/>
  <c r="AN57" i="101"/>
  <c r="G57" i="101" s="1"/>
  <c r="AM57" i="101"/>
  <c r="K57" i="101"/>
  <c r="F57" i="101"/>
  <c r="E57" i="101"/>
  <c r="J57" i="101" s="1"/>
  <c r="D57" i="101"/>
  <c r="C57" i="101"/>
  <c r="B57" i="101"/>
  <c r="A57" i="101"/>
  <c r="AP56" i="101"/>
  <c r="AN56" i="101"/>
  <c r="G56" i="101" s="1"/>
  <c r="AM56" i="101"/>
  <c r="K56" i="101"/>
  <c r="F56" i="101"/>
  <c r="E56" i="101"/>
  <c r="J56" i="101" s="1"/>
  <c r="D56" i="101"/>
  <c r="C56" i="101"/>
  <c r="B56" i="101"/>
  <c r="A56" i="101"/>
  <c r="AP55" i="101"/>
  <c r="AN55" i="101"/>
  <c r="G55" i="101" s="1"/>
  <c r="AM55" i="101"/>
  <c r="K55" i="101"/>
  <c r="F55" i="101"/>
  <c r="E55" i="101"/>
  <c r="J55" i="101" s="1"/>
  <c r="D55" i="101"/>
  <c r="C55" i="101"/>
  <c r="B55" i="101"/>
  <c r="A55" i="101"/>
  <c r="AP54" i="101"/>
  <c r="AN54" i="101"/>
  <c r="G54" i="101" s="1"/>
  <c r="AM54" i="101"/>
  <c r="K54" i="101"/>
  <c r="F54" i="101"/>
  <c r="E54" i="101"/>
  <c r="J54" i="101" s="1"/>
  <c r="D54" i="101"/>
  <c r="C54" i="101"/>
  <c r="B54" i="101"/>
  <c r="A54" i="101"/>
  <c r="AP53" i="101"/>
  <c r="AN53" i="101"/>
  <c r="G53" i="101" s="1"/>
  <c r="AM53" i="101"/>
  <c r="K53" i="101"/>
  <c r="F53" i="101"/>
  <c r="E53" i="101"/>
  <c r="J53" i="101" s="1"/>
  <c r="D53" i="101"/>
  <c r="C53" i="101"/>
  <c r="B53" i="101"/>
  <c r="A53" i="101"/>
  <c r="AP52" i="101"/>
  <c r="AN52" i="101"/>
  <c r="G52" i="101" s="1"/>
  <c r="AM52" i="101"/>
  <c r="K52" i="101"/>
  <c r="F52" i="101"/>
  <c r="E52" i="101"/>
  <c r="J52" i="101" s="1"/>
  <c r="D52" i="101"/>
  <c r="C52" i="101"/>
  <c r="B52" i="101"/>
  <c r="A52" i="101"/>
  <c r="AP51" i="101"/>
  <c r="AN51" i="101"/>
  <c r="G51" i="101" s="1"/>
  <c r="AM51" i="101"/>
  <c r="K51" i="101"/>
  <c r="F51" i="101"/>
  <c r="E51" i="101"/>
  <c r="J51" i="101" s="1"/>
  <c r="D51" i="101"/>
  <c r="C51" i="101"/>
  <c r="B51" i="101"/>
  <c r="A51" i="101"/>
  <c r="AP50" i="101"/>
  <c r="AN50" i="101"/>
  <c r="G50" i="101" s="1"/>
  <c r="AM50" i="101"/>
  <c r="K50" i="101"/>
  <c r="F50" i="101"/>
  <c r="E50" i="101"/>
  <c r="J50" i="101" s="1"/>
  <c r="D50" i="101"/>
  <c r="C50" i="101"/>
  <c r="B50" i="101"/>
  <c r="A50" i="101"/>
  <c r="AP49" i="101"/>
  <c r="AN49" i="101"/>
  <c r="G49" i="101" s="1"/>
  <c r="AM49" i="101"/>
  <c r="K49" i="101"/>
  <c r="F49" i="101"/>
  <c r="E49" i="101"/>
  <c r="J49" i="101" s="1"/>
  <c r="D49" i="101"/>
  <c r="C49" i="101"/>
  <c r="B49" i="101"/>
  <c r="A49" i="101"/>
  <c r="AP48" i="101"/>
  <c r="AN48" i="101"/>
  <c r="G48" i="101" s="1"/>
  <c r="AM48" i="101"/>
  <c r="K48" i="101"/>
  <c r="F48" i="101"/>
  <c r="E48" i="101"/>
  <c r="J48" i="101" s="1"/>
  <c r="D48" i="101"/>
  <c r="C48" i="101"/>
  <c r="B48" i="101"/>
  <c r="A48" i="101"/>
  <c r="AP47" i="101"/>
  <c r="AN47" i="101"/>
  <c r="G47" i="101" s="1"/>
  <c r="AM47" i="101"/>
  <c r="XEO47" i="101" s="1"/>
  <c r="K47" i="101"/>
  <c r="F47" i="101"/>
  <c r="E47" i="101"/>
  <c r="J47" i="101" s="1"/>
  <c r="D47" i="101"/>
  <c r="C47" i="101"/>
  <c r="B47" i="101"/>
  <c r="A47" i="101"/>
  <c r="AP46" i="101"/>
  <c r="AN46" i="101"/>
  <c r="G46" i="101" s="1"/>
  <c r="AM46" i="101"/>
  <c r="XEO46" i="101" s="1"/>
  <c r="K46" i="101"/>
  <c r="F46" i="101"/>
  <c r="E46" i="101"/>
  <c r="J46" i="101" s="1"/>
  <c r="D46" i="101"/>
  <c r="C46" i="101"/>
  <c r="B46" i="101"/>
  <c r="A46" i="101"/>
  <c r="AP45" i="101"/>
  <c r="AN45" i="101"/>
  <c r="G45" i="101" s="1"/>
  <c r="AM45" i="101"/>
  <c r="K45" i="101"/>
  <c r="F45" i="101"/>
  <c r="E45" i="101"/>
  <c r="J45" i="101" s="1"/>
  <c r="D45" i="101"/>
  <c r="C45" i="101"/>
  <c r="B45" i="101"/>
  <c r="A45" i="101"/>
  <c r="AP44" i="101"/>
  <c r="AN44" i="101"/>
  <c r="G44" i="101" s="1"/>
  <c r="AM44" i="101"/>
  <c r="K44" i="101"/>
  <c r="F44" i="101"/>
  <c r="E44" i="101"/>
  <c r="J44" i="101" s="1"/>
  <c r="D44" i="101"/>
  <c r="C44" i="101"/>
  <c r="B44" i="101"/>
  <c r="A44" i="101"/>
  <c r="AP43" i="101"/>
  <c r="AN43" i="101"/>
  <c r="G43" i="101" s="1"/>
  <c r="AM43" i="101"/>
  <c r="K43" i="101"/>
  <c r="F43" i="101"/>
  <c r="E43" i="101"/>
  <c r="J43" i="101" s="1"/>
  <c r="D43" i="101"/>
  <c r="C43" i="101"/>
  <c r="B43" i="101"/>
  <c r="A43" i="101"/>
  <c r="AP42" i="101"/>
  <c r="AM42" i="101"/>
  <c r="K42" i="101"/>
  <c r="F42" i="101"/>
  <c r="E42" i="101"/>
  <c r="J42" i="101" s="1"/>
  <c r="D42" i="101"/>
  <c r="C42" i="101"/>
  <c r="B42" i="101"/>
  <c r="A42" i="101"/>
  <c r="AP41" i="101"/>
  <c r="AM41" i="101"/>
  <c r="XEQ41" i="101" s="1"/>
  <c r="K41" i="101"/>
  <c r="F41" i="101"/>
  <c r="E41" i="101"/>
  <c r="J41" i="101" s="1"/>
  <c r="D41" i="101"/>
  <c r="C41" i="101"/>
  <c r="B41" i="101"/>
  <c r="A41" i="101"/>
  <c r="AP40" i="101"/>
  <c r="AM40" i="101"/>
  <c r="XEQ40" i="101" s="1"/>
  <c r="K40" i="101"/>
  <c r="F40" i="101"/>
  <c r="E40" i="101"/>
  <c r="J40" i="101" s="1"/>
  <c r="D40" i="101"/>
  <c r="C40" i="101"/>
  <c r="B40" i="101"/>
  <c r="A40" i="101"/>
  <c r="AP39" i="101"/>
  <c r="AM39" i="101"/>
  <c r="XEQ39" i="101" s="1"/>
  <c r="K39" i="101"/>
  <c r="F39" i="101"/>
  <c r="E39" i="101"/>
  <c r="J39" i="101" s="1"/>
  <c r="D39" i="101"/>
  <c r="C39" i="101"/>
  <c r="B39" i="101"/>
  <c r="A39" i="101"/>
  <c r="AP38" i="101"/>
  <c r="AM38" i="101"/>
  <c r="XEQ38" i="101" s="1"/>
  <c r="K38" i="101"/>
  <c r="F38" i="101"/>
  <c r="E38" i="101"/>
  <c r="J38" i="101" s="1"/>
  <c r="D38" i="101"/>
  <c r="C38" i="101"/>
  <c r="B38" i="101"/>
  <c r="A38" i="101"/>
  <c r="AP37" i="101"/>
  <c r="AM37" i="101"/>
  <c r="XEQ37" i="101" s="1"/>
  <c r="K37" i="101"/>
  <c r="F37" i="101"/>
  <c r="E37" i="101"/>
  <c r="J37" i="101" s="1"/>
  <c r="D37" i="101"/>
  <c r="C37" i="101"/>
  <c r="B37" i="101"/>
  <c r="A37" i="101"/>
  <c r="AP36" i="101"/>
  <c r="AM36" i="101"/>
  <c r="XEQ36" i="101" s="1"/>
  <c r="K36" i="101"/>
  <c r="F36" i="101"/>
  <c r="E36" i="101"/>
  <c r="J36" i="101" s="1"/>
  <c r="D36" i="101"/>
  <c r="C36" i="101"/>
  <c r="B36" i="101"/>
  <c r="A36" i="101"/>
  <c r="AP35" i="101"/>
  <c r="AM35" i="101"/>
  <c r="XEQ35" i="101" s="1"/>
  <c r="K35" i="101"/>
  <c r="F35" i="101"/>
  <c r="E35" i="101"/>
  <c r="J35" i="101" s="1"/>
  <c r="D35" i="101"/>
  <c r="C35" i="101"/>
  <c r="B35" i="101"/>
  <c r="A35" i="101"/>
  <c r="AP34" i="101"/>
  <c r="AM34" i="101"/>
  <c r="XEQ34" i="101" s="1"/>
  <c r="K34" i="101"/>
  <c r="F34" i="101"/>
  <c r="E34" i="101"/>
  <c r="J34" i="101" s="1"/>
  <c r="D34" i="101"/>
  <c r="C34" i="101"/>
  <c r="B34" i="101"/>
  <c r="A34" i="101"/>
  <c r="AP33" i="101"/>
  <c r="AM33" i="101"/>
  <c r="XEQ33" i="101" s="1"/>
  <c r="K33" i="101"/>
  <c r="F33" i="101"/>
  <c r="E33" i="101"/>
  <c r="J33" i="101" s="1"/>
  <c r="D33" i="101"/>
  <c r="C33" i="101"/>
  <c r="B33" i="101"/>
  <c r="A33" i="101"/>
  <c r="AP32" i="101"/>
  <c r="AM32" i="101"/>
  <c r="XEQ32" i="101" s="1"/>
  <c r="K32" i="101"/>
  <c r="F32" i="101"/>
  <c r="E32" i="101"/>
  <c r="J32" i="101" s="1"/>
  <c r="D32" i="101"/>
  <c r="C32" i="101"/>
  <c r="B32" i="101"/>
  <c r="A32" i="101"/>
  <c r="AP31" i="101"/>
  <c r="AM31" i="101"/>
  <c r="XEP31" i="101" s="1"/>
  <c r="K31" i="101"/>
  <c r="F31" i="101"/>
  <c r="E31" i="101"/>
  <c r="J31" i="101" s="1"/>
  <c r="D31" i="101"/>
  <c r="C31" i="101"/>
  <c r="B31" i="101"/>
  <c r="A31" i="101"/>
  <c r="AP30" i="101"/>
  <c r="AM30" i="101"/>
  <c r="K30" i="101"/>
  <c r="F30" i="101"/>
  <c r="E30" i="101"/>
  <c r="J30" i="101" s="1"/>
  <c r="D30" i="101"/>
  <c r="C30" i="101"/>
  <c r="B30" i="101"/>
  <c r="A30" i="101"/>
  <c r="AP29" i="101"/>
  <c r="AM29" i="101"/>
  <c r="XEP29" i="101" s="1"/>
  <c r="K29" i="101"/>
  <c r="F29" i="101"/>
  <c r="E29" i="101"/>
  <c r="J29" i="101" s="1"/>
  <c r="D29" i="101"/>
  <c r="C29" i="101"/>
  <c r="B29" i="101"/>
  <c r="A29" i="101"/>
  <c r="AP28" i="101"/>
  <c r="AM28" i="101"/>
  <c r="K28" i="101"/>
  <c r="F28" i="101"/>
  <c r="E28" i="101"/>
  <c r="J28" i="101" s="1"/>
  <c r="D28" i="101"/>
  <c r="C28" i="101"/>
  <c r="B28" i="101"/>
  <c r="A28" i="101"/>
  <c r="AP27" i="101"/>
  <c r="AM27" i="101"/>
  <c r="XEP27" i="101" s="1"/>
  <c r="K27" i="101"/>
  <c r="F27" i="101"/>
  <c r="E27" i="101"/>
  <c r="J27" i="101" s="1"/>
  <c r="D27" i="101"/>
  <c r="C27" i="101"/>
  <c r="B27" i="101"/>
  <c r="A27" i="101"/>
  <c r="AP26" i="101"/>
  <c r="AM26" i="101"/>
  <c r="XEP26" i="101" s="1"/>
  <c r="K26" i="101"/>
  <c r="F26" i="101"/>
  <c r="E26" i="101"/>
  <c r="J26" i="101" s="1"/>
  <c r="D26" i="101"/>
  <c r="C26" i="101"/>
  <c r="B26" i="101"/>
  <c r="A26" i="101"/>
  <c r="AP24" i="101"/>
  <c r="AM24" i="101"/>
  <c r="K24" i="101"/>
  <c r="F24" i="101"/>
  <c r="E24" i="101"/>
  <c r="J24" i="101" s="1"/>
  <c r="D24" i="101"/>
  <c r="C24" i="101"/>
  <c r="B24" i="101"/>
  <c r="A24" i="101"/>
  <c r="AP23" i="101"/>
  <c r="AM23" i="101"/>
  <c r="K23" i="101"/>
  <c r="F23" i="101"/>
  <c r="E23" i="101"/>
  <c r="J23" i="101" s="1"/>
  <c r="D23" i="101"/>
  <c r="C23" i="101"/>
  <c r="B23" i="101"/>
  <c r="A23" i="101"/>
  <c r="AP22" i="101"/>
  <c r="AM22" i="101"/>
  <c r="F22" i="101"/>
  <c r="E22" i="101"/>
  <c r="J22" i="101" s="1"/>
  <c r="D22" i="101"/>
  <c r="C22" i="101"/>
  <c r="B22" i="101"/>
  <c r="A22" i="101"/>
  <c r="AP21" i="101"/>
  <c r="AM21" i="101"/>
  <c r="F21" i="101"/>
  <c r="E21" i="101"/>
  <c r="J21" i="101" s="1"/>
  <c r="D21" i="101"/>
  <c r="C21" i="101"/>
  <c r="B21" i="101"/>
  <c r="A21" i="101"/>
  <c r="AP20" i="101"/>
  <c r="AM20" i="101"/>
  <c r="F20" i="101"/>
  <c r="E20" i="101"/>
  <c r="J20" i="101" s="1"/>
  <c r="D20" i="101"/>
  <c r="C20" i="101"/>
  <c r="B20" i="101"/>
  <c r="A20" i="101"/>
  <c r="AP19" i="101"/>
  <c r="AM19" i="101"/>
  <c r="F19" i="101"/>
  <c r="E19" i="101"/>
  <c r="J19" i="101" s="1"/>
  <c r="D19" i="101"/>
  <c r="C19" i="101"/>
  <c r="B19" i="101"/>
  <c r="A19" i="101"/>
  <c r="AP18" i="101"/>
  <c r="AM18" i="101"/>
  <c r="F18" i="101"/>
  <c r="E18" i="101"/>
  <c r="J18" i="101" s="1"/>
  <c r="D18" i="101"/>
  <c r="C18" i="101"/>
  <c r="B18" i="101"/>
  <c r="A18" i="101"/>
  <c r="AP17" i="101"/>
  <c r="AM17" i="101"/>
  <c r="F17" i="101"/>
  <c r="E17" i="101"/>
  <c r="J17" i="101" s="1"/>
  <c r="D17" i="101"/>
  <c r="C17" i="101"/>
  <c r="B17" i="101"/>
  <c r="A17" i="101"/>
  <c r="AP16" i="101"/>
  <c r="AM16" i="101"/>
  <c r="F16" i="101"/>
  <c r="E16" i="101"/>
  <c r="J16" i="101" s="1"/>
  <c r="D16" i="101"/>
  <c r="C16" i="101"/>
  <c r="B16" i="101"/>
  <c r="A16" i="101"/>
  <c r="AP15" i="101"/>
  <c r="AM15" i="101"/>
  <c r="XEO15" i="101" s="1"/>
  <c r="F15" i="101"/>
  <c r="E15" i="101"/>
  <c r="J15" i="101" s="1"/>
  <c r="D15" i="101"/>
  <c r="C15" i="101"/>
  <c r="B15" i="101"/>
  <c r="A15" i="101"/>
  <c r="AP14" i="101"/>
  <c r="AM14" i="101"/>
  <c r="F14" i="101"/>
  <c r="E14" i="101"/>
  <c r="J14" i="101" s="1"/>
  <c r="D14" i="101"/>
  <c r="C14" i="101"/>
  <c r="B14" i="101"/>
  <c r="A14" i="101"/>
  <c r="D5" i="101"/>
  <c r="AP104" i="81"/>
  <c r="AP103" i="81"/>
  <c r="AP102" i="81"/>
  <c r="AP101" i="81"/>
  <c r="AP100" i="81"/>
  <c r="AP99" i="81"/>
  <c r="AP98" i="81"/>
  <c r="AP97" i="81"/>
  <c r="AP96" i="81"/>
  <c r="AP95" i="81"/>
  <c r="AP94" i="81"/>
  <c r="AP93" i="81"/>
  <c r="AP92" i="81"/>
  <c r="AP91" i="81"/>
  <c r="AP90" i="81"/>
  <c r="AP89" i="81"/>
  <c r="AP88" i="81"/>
  <c r="AP87" i="81"/>
  <c r="AP86" i="81"/>
  <c r="AP85" i="81"/>
  <c r="AP84" i="81"/>
  <c r="AP83" i="81"/>
  <c r="AP82" i="81"/>
  <c r="AP81" i="81"/>
  <c r="AP80" i="81"/>
  <c r="AP79" i="81"/>
  <c r="AP78" i="81"/>
  <c r="AP77" i="81"/>
  <c r="AP76" i="81"/>
  <c r="AP75" i="81"/>
  <c r="AP74" i="81"/>
  <c r="AP73" i="81"/>
  <c r="AP72" i="81"/>
  <c r="AP71" i="81"/>
  <c r="AP70" i="81"/>
  <c r="AP69" i="81"/>
  <c r="AP68" i="81"/>
  <c r="AP67" i="81"/>
  <c r="AP66" i="81"/>
  <c r="AP65" i="81"/>
  <c r="AP64" i="81"/>
  <c r="AP63" i="81"/>
  <c r="AP62" i="81"/>
  <c r="AP61" i="81"/>
  <c r="AP60" i="81"/>
  <c r="AN42" i="102"/>
  <c r="G42" i="102" s="1"/>
  <c r="AN40" i="101"/>
  <c r="G40" i="101" s="1"/>
  <c r="AN38" i="102"/>
  <c r="G38" i="102" s="1"/>
  <c r="AN37" i="102"/>
  <c r="G37" i="102" s="1"/>
  <c r="AN34" i="102"/>
  <c r="G34" i="102" s="1"/>
  <c r="AN33" i="101"/>
  <c r="G33" i="101" s="1"/>
  <c r="AN27" i="102"/>
  <c r="G27" i="102" s="1"/>
  <c r="AN20" i="101"/>
  <c r="G20" i="101" s="1"/>
  <c r="AN18" i="102"/>
  <c r="G18" i="102" s="1"/>
  <c r="AN17" i="104"/>
  <c r="G17" i="104" s="1"/>
  <c r="AN15" i="102"/>
  <c r="G15" i="102" s="1"/>
  <c r="AN14" i="102"/>
  <c r="G14" i="102" s="1"/>
  <c r="AN38" i="103"/>
  <c r="G38" i="103" s="1"/>
  <c r="AN24" i="105"/>
  <c r="G24" i="105" s="1"/>
  <c r="AN25" i="103"/>
  <c r="G25" i="103" s="1"/>
  <c r="AN22" i="102"/>
  <c r="G22" i="102" s="1"/>
  <c r="AN26" i="102"/>
  <c r="G26" i="102" s="1"/>
  <c r="AN34" i="103"/>
  <c r="G34" i="103" s="1"/>
  <c r="AN41" i="103"/>
  <c r="G41" i="103" s="1"/>
  <c r="AN41" i="102"/>
  <c r="G41" i="102" s="1"/>
  <c r="AN16" i="105"/>
  <c r="G16" i="105" s="1"/>
  <c r="AN16" i="103"/>
  <c r="G16" i="103" s="1"/>
  <c r="AN16" i="101"/>
  <c r="G16" i="101" s="1"/>
  <c r="AN18" i="104"/>
  <c r="G18" i="104" s="1"/>
  <c r="AN18" i="103"/>
  <c r="G18" i="103" s="1"/>
  <c r="AN25" i="105"/>
  <c r="G25" i="105" s="1"/>
  <c r="AN23" i="102"/>
  <c r="G23" i="102" s="1"/>
  <c r="AN15" i="101"/>
  <c r="G15" i="101" s="1"/>
  <c r="AN37" i="101"/>
  <c r="G37" i="101" s="1"/>
  <c r="AN18" i="101"/>
  <c r="G18" i="101" s="1"/>
  <c r="AN22" i="101"/>
  <c r="G22" i="101" s="1"/>
  <c r="AN41" i="101"/>
  <c r="G41" i="101" s="1"/>
  <c r="AN42" i="101"/>
  <c r="G42" i="101" s="1"/>
  <c r="AN19" i="105"/>
  <c r="G19" i="105" s="1"/>
  <c r="AN19" i="104"/>
  <c r="G19" i="104" s="1"/>
  <c r="AN19" i="103"/>
  <c r="G19" i="103" s="1"/>
  <c r="AN19" i="102"/>
  <c r="G19" i="102" s="1"/>
  <c r="AN17" i="102"/>
  <c r="G17" i="102" s="1"/>
  <c r="AN17" i="103"/>
  <c r="G17" i="103" s="1"/>
  <c r="AN17" i="101"/>
  <c r="G17" i="101" s="1"/>
  <c r="AN26" i="105"/>
  <c r="G26" i="105" s="1"/>
  <c r="AN24" i="102"/>
  <c r="G24" i="102" s="1"/>
  <c r="AN23" i="101"/>
  <c r="G23" i="101" s="1"/>
  <c r="AN30" i="105"/>
  <c r="G30" i="105" s="1"/>
  <c r="AN27" i="104"/>
  <c r="G27" i="104" s="1"/>
  <c r="AN28" i="102"/>
  <c r="G28" i="102" s="1"/>
  <c r="AN28" i="101"/>
  <c r="G28" i="101" s="1"/>
  <c r="AN34" i="104"/>
  <c r="G34" i="104" s="1"/>
  <c r="AN35" i="101"/>
  <c r="G35" i="101" s="1"/>
  <c r="AN35" i="103"/>
  <c r="G35" i="103" s="1"/>
  <c r="AN35" i="102"/>
  <c r="G35" i="102" s="1"/>
  <c r="AN41" i="105"/>
  <c r="G41" i="105" s="1"/>
  <c r="AN38" i="104"/>
  <c r="G38" i="104" s="1"/>
  <c r="AN39" i="102"/>
  <c r="G39" i="102" s="1"/>
  <c r="AN39" i="101"/>
  <c r="G39" i="101" s="1"/>
  <c r="AN39" i="103"/>
  <c r="G39" i="103" s="1"/>
  <c r="AN14" i="105"/>
  <c r="G14" i="105" s="1"/>
  <c r="AN14" i="104"/>
  <c r="G14" i="104" s="1"/>
  <c r="AN14" i="101"/>
  <c r="G14" i="101" s="1"/>
  <c r="AN14" i="103"/>
  <c r="G14" i="103" s="1"/>
  <c r="AN20" i="103"/>
  <c r="G20" i="103" s="1"/>
  <c r="AN20" i="102"/>
  <c r="G20" i="102" s="1"/>
  <c r="AN20" i="104"/>
  <c r="G20" i="104" s="1"/>
  <c r="AN23" i="105"/>
  <c r="G23" i="105" s="1"/>
  <c r="AN27" i="105"/>
  <c r="G27" i="105" s="1"/>
  <c r="AN25" i="102"/>
  <c r="G25" i="102" s="1"/>
  <c r="AN24" i="104"/>
  <c r="G24" i="104" s="1"/>
  <c r="AN24" i="101"/>
  <c r="G24" i="101" s="1"/>
  <c r="AN31" i="105"/>
  <c r="G31" i="105" s="1"/>
  <c r="AN28" i="104"/>
  <c r="G28" i="104" s="1"/>
  <c r="AN29" i="102"/>
  <c r="G29" i="102" s="1"/>
  <c r="AN29" i="101"/>
  <c r="G29" i="101" s="1"/>
  <c r="AN32" i="105"/>
  <c r="G32" i="105" s="1"/>
  <c r="AN29" i="104"/>
  <c r="G29" i="104" s="1"/>
  <c r="AN30" i="103"/>
  <c r="G30" i="103" s="1"/>
  <c r="AN30" i="101"/>
  <c r="G30" i="101" s="1"/>
  <c r="AN30" i="102"/>
  <c r="G30" i="102" s="1"/>
  <c r="AN31" i="104"/>
  <c r="G31" i="104" s="1"/>
  <c r="AN32" i="103"/>
  <c r="G32" i="103" s="1"/>
  <c r="AN32" i="101"/>
  <c r="G32" i="101" s="1"/>
  <c r="AN34" i="105"/>
  <c r="G34" i="105" s="1"/>
  <c r="AN35" i="104"/>
  <c r="G35" i="104" s="1"/>
  <c r="AN36" i="103"/>
  <c r="G36" i="103" s="1"/>
  <c r="AN38" i="105"/>
  <c r="G38" i="105" s="1"/>
  <c r="AN36" i="101"/>
  <c r="G36" i="101" s="1"/>
  <c r="AN39" i="104"/>
  <c r="G39" i="104" s="1"/>
  <c r="AN42" i="105"/>
  <c r="G42" i="105" s="1"/>
  <c r="AN40" i="102"/>
  <c r="G40" i="102" s="1"/>
  <c r="AN37" i="105"/>
  <c r="G37" i="105" s="1"/>
  <c r="AN17" i="105"/>
  <c r="G17" i="105" s="1"/>
  <c r="AN19" i="101"/>
  <c r="G19" i="101" s="1"/>
  <c r="AN40" i="103"/>
  <c r="G40" i="103" s="1"/>
  <c r="AN29" i="105"/>
  <c r="G29" i="105" s="1"/>
  <c r="AN26" i="103"/>
  <c r="G26" i="103" s="1"/>
  <c r="AN33" i="104"/>
  <c r="G33" i="104" s="1"/>
  <c r="AN36" i="105"/>
  <c r="G36" i="105" s="1"/>
  <c r="AN40" i="105"/>
  <c r="G40" i="105" s="1"/>
  <c r="AN37" i="104"/>
  <c r="G37" i="104" s="1"/>
  <c r="AN44" i="105"/>
  <c r="G44" i="105" s="1"/>
  <c r="AN41" i="104"/>
  <c r="G41" i="104" s="1"/>
  <c r="AN42" i="103"/>
  <c r="G42" i="103" s="1"/>
  <c r="AN16" i="102"/>
  <c r="G16" i="102" s="1"/>
  <c r="AN16" i="104"/>
  <c r="G16" i="104" s="1"/>
  <c r="AN18" i="105"/>
  <c r="G18" i="105" s="1"/>
  <c r="AN15" i="103"/>
  <c r="G15" i="103" s="1"/>
  <c r="AN15" i="105"/>
  <c r="G15" i="105" s="1"/>
  <c r="AN33" i="105"/>
  <c r="G33" i="105" s="1"/>
  <c r="AN30" i="104"/>
  <c r="G30" i="104" s="1"/>
  <c r="AN31" i="103"/>
  <c r="G31" i="103" s="1"/>
  <c r="AN35" i="105"/>
  <c r="G35" i="105" s="1"/>
  <c r="AN33" i="103"/>
  <c r="G33" i="103" s="1"/>
  <c r="AN32" i="104"/>
  <c r="G32" i="104" s="1"/>
  <c r="AN36" i="104"/>
  <c r="G36" i="104" s="1"/>
  <c r="AN39" i="105"/>
  <c r="G39" i="105" s="1"/>
  <c r="AN40" i="104"/>
  <c r="G40" i="104" s="1"/>
  <c r="AN43" i="105"/>
  <c r="G43" i="105" s="1"/>
  <c r="AN21" i="101"/>
  <c r="G21" i="101" s="1"/>
  <c r="AN26" i="101"/>
  <c r="G26" i="101" s="1"/>
  <c r="AN27" i="101"/>
  <c r="G27" i="101" s="1"/>
  <c r="AN31" i="101"/>
  <c r="G31" i="101" s="1"/>
  <c r="AN34" i="101"/>
  <c r="G34" i="101" s="1"/>
  <c r="AN38" i="101"/>
  <c r="G38" i="101" s="1"/>
  <c r="AN33" i="102"/>
  <c r="G33" i="102" s="1"/>
  <c r="AN37" i="103"/>
  <c r="G37" i="103" s="1"/>
  <c r="AN15" i="104"/>
  <c r="G15" i="104" s="1"/>
  <c r="F104" i="81"/>
  <c r="F103" i="81"/>
  <c r="F102" i="81"/>
  <c r="F101" i="81"/>
  <c r="F100" i="81"/>
  <c r="F99" i="81"/>
  <c r="F98" i="81"/>
  <c r="F97" i="81"/>
  <c r="F96" i="81"/>
  <c r="F95" i="81"/>
  <c r="F94" i="81"/>
  <c r="F93" i="81"/>
  <c r="F92" i="81"/>
  <c r="F91" i="81"/>
  <c r="F90" i="81"/>
  <c r="F89" i="81"/>
  <c r="F88" i="81"/>
  <c r="F87" i="81"/>
  <c r="F86" i="81"/>
  <c r="F85" i="81"/>
  <c r="F84" i="81"/>
  <c r="F83" i="81"/>
  <c r="F82" i="81"/>
  <c r="F81" i="81"/>
  <c r="F80" i="81"/>
  <c r="F79" i="81"/>
  <c r="F78" i="81"/>
  <c r="F77" i="81"/>
  <c r="F76" i="81"/>
  <c r="F75" i="81"/>
  <c r="F74" i="81"/>
  <c r="F73" i="81"/>
  <c r="F72" i="81"/>
  <c r="F71" i="81"/>
  <c r="F70" i="81"/>
  <c r="F69" i="81"/>
  <c r="F68" i="81"/>
  <c r="F67" i="81"/>
  <c r="F66" i="81"/>
  <c r="F65" i="81"/>
  <c r="F64" i="81"/>
  <c r="F63" i="81"/>
  <c r="F62" i="81"/>
  <c r="F61" i="81"/>
  <c r="F60" i="81"/>
  <c r="A60" i="81"/>
  <c r="A61" i="81"/>
  <c r="A62" i="81"/>
  <c r="A63" i="81"/>
  <c r="A64" i="81"/>
  <c r="A65" i="81"/>
  <c r="A66" i="81"/>
  <c r="A67" i="81"/>
  <c r="A68" i="81"/>
  <c r="A69" i="81"/>
  <c r="A70" i="81"/>
  <c r="A71" i="81"/>
  <c r="A72" i="81"/>
  <c r="A73" i="81"/>
  <c r="A74" i="81"/>
  <c r="A75" i="81"/>
  <c r="A76" i="81"/>
  <c r="A77" i="81"/>
  <c r="A78" i="81"/>
  <c r="A79" i="81"/>
  <c r="A80" i="81"/>
  <c r="A81" i="81"/>
  <c r="A82" i="81"/>
  <c r="A83" i="81"/>
  <c r="A84" i="81"/>
  <c r="A85" i="81"/>
  <c r="A86" i="81"/>
  <c r="A87" i="81"/>
  <c r="A88" i="81"/>
  <c r="A89" i="81"/>
  <c r="A90" i="81"/>
  <c r="A91" i="81"/>
  <c r="A92" i="81"/>
  <c r="A93" i="81"/>
  <c r="A94" i="81"/>
  <c r="A95" i="81"/>
  <c r="A96" i="81"/>
  <c r="A97" i="81"/>
  <c r="A98" i="81"/>
  <c r="A99" i="81"/>
  <c r="A100" i="81"/>
  <c r="A101" i="81"/>
  <c r="A102" i="81"/>
  <c r="A103" i="81"/>
  <c r="A104" i="81"/>
  <c r="AN104" i="81"/>
  <c r="G104" i="81" s="1"/>
  <c r="E104" i="81"/>
  <c r="J104" i="81" s="1"/>
  <c r="D104" i="81"/>
  <c r="C104" i="81"/>
  <c r="B104" i="81"/>
  <c r="AN103" i="81"/>
  <c r="G103" i="81" s="1"/>
  <c r="E103" i="81"/>
  <c r="J103" i="81" s="1"/>
  <c r="D103" i="81"/>
  <c r="C103" i="81"/>
  <c r="B103" i="81"/>
  <c r="AN102" i="81"/>
  <c r="G102" i="81" s="1"/>
  <c r="E102" i="81"/>
  <c r="J102" i="81" s="1"/>
  <c r="D102" i="81"/>
  <c r="C102" i="81"/>
  <c r="B102" i="81"/>
  <c r="AN101" i="81"/>
  <c r="G101" i="81" s="1"/>
  <c r="E101" i="81"/>
  <c r="J101" i="81" s="1"/>
  <c r="D101" i="81"/>
  <c r="C101" i="81"/>
  <c r="B101" i="81"/>
  <c r="AN100" i="81"/>
  <c r="G100" i="81" s="1"/>
  <c r="E100" i="81"/>
  <c r="J100" i="81" s="1"/>
  <c r="D100" i="81"/>
  <c r="C100" i="81"/>
  <c r="B100" i="81"/>
  <c r="AN99" i="81"/>
  <c r="G99" i="81" s="1"/>
  <c r="E99" i="81"/>
  <c r="J99" i="81" s="1"/>
  <c r="D99" i="81"/>
  <c r="C99" i="81"/>
  <c r="B99" i="81"/>
  <c r="AN98" i="81"/>
  <c r="G98" i="81" s="1"/>
  <c r="E98" i="81"/>
  <c r="J98" i="81" s="1"/>
  <c r="D98" i="81"/>
  <c r="C98" i="81"/>
  <c r="B98" i="81"/>
  <c r="AN97" i="81"/>
  <c r="G97" i="81" s="1"/>
  <c r="E97" i="81"/>
  <c r="J97" i="81" s="1"/>
  <c r="D97" i="81"/>
  <c r="C97" i="81"/>
  <c r="B97" i="81"/>
  <c r="AN96" i="81"/>
  <c r="G96" i="81" s="1"/>
  <c r="E96" i="81"/>
  <c r="J96" i="81" s="1"/>
  <c r="D96" i="81"/>
  <c r="C96" i="81"/>
  <c r="B96" i="81"/>
  <c r="AN95" i="81"/>
  <c r="G95" i="81" s="1"/>
  <c r="E95" i="81"/>
  <c r="J95" i="81" s="1"/>
  <c r="D95" i="81"/>
  <c r="C95" i="81"/>
  <c r="B95" i="81"/>
  <c r="AN94" i="81"/>
  <c r="G94" i="81" s="1"/>
  <c r="E94" i="81"/>
  <c r="J94" i="81" s="1"/>
  <c r="D94" i="81"/>
  <c r="C94" i="81"/>
  <c r="B94" i="81"/>
  <c r="AN93" i="81"/>
  <c r="G93" i="81" s="1"/>
  <c r="E93" i="81"/>
  <c r="J93" i="81" s="1"/>
  <c r="D93" i="81"/>
  <c r="C93" i="81"/>
  <c r="B93" i="81"/>
  <c r="AN92" i="81"/>
  <c r="G92" i="81" s="1"/>
  <c r="E92" i="81"/>
  <c r="J92" i="81" s="1"/>
  <c r="D92" i="81"/>
  <c r="C92" i="81"/>
  <c r="B92" i="81"/>
  <c r="AN91" i="81"/>
  <c r="G91" i="81" s="1"/>
  <c r="E91" i="81"/>
  <c r="J91" i="81" s="1"/>
  <c r="D91" i="81"/>
  <c r="C91" i="81"/>
  <c r="B91" i="81"/>
  <c r="AN90" i="81"/>
  <c r="G90" i="81" s="1"/>
  <c r="E90" i="81"/>
  <c r="J90" i="81" s="1"/>
  <c r="D90" i="81"/>
  <c r="C90" i="81"/>
  <c r="B90" i="81"/>
  <c r="AN89" i="81"/>
  <c r="G89" i="81" s="1"/>
  <c r="E89" i="81"/>
  <c r="J89" i="81" s="1"/>
  <c r="D89" i="81"/>
  <c r="C89" i="81"/>
  <c r="B89" i="81"/>
  <c r="AN88" i="81"/>
  <c r="G88" i="81" s="1"/>
  <c r="E88" i="81"/>
  <c r="J88" i="81" s="1"/>
  <c r="D88" i="81"/>
  <c r="C88" i="81"/>
  <c r="B88" i="81"/>
  <c r="AN87" i="81"/>
  <c r="G87" i="81" s="1"/>
  <c r="E87" i="81"/>
  <c r="J87" i="81" s="1"/>
  <c r="D87" i="81"/>
  <c r="C87" i="81"/>
  <c r="B87" i="81"/>
  <c r="AN86" i="81"/>
  <c r="G86" i="81" s="1"/>
  <c r="E86" i="81"/>
  <c r="J86" i="81" s="1"/>
  <c r="D86" i="81"/>
  <c r="C86" i="81"/>
  <c r="B86" i="81"/>
  <c r="AN85" i="81"/>
  <c r="G85" i="81" s="1"/>
  <c r="E85" i="81"/>
  <c r="J85" i="81" s="1"/>
  <c r="D85" i="81"/>
  <c r="C85" i="81"/>
  <c r="B85" i="81"/>
  <c r="AN84" i="81"/>
  <c r="G84" i="81" s="1"/>
  <c r="E84" i="81"/>
  <c r="J84" i="81" s="1"/>
  <c r="D84" i="81"/>
  <c r="C84" i="81"/>
  <c r="B84" i="81"/>
  <c r="AN83" i="81"/>
  <c r="G83" i="81" s="1"/>
  <c r="E83" i="81"/>
  <c r="J83" i="81" s="1"/>
  <c r="D83" i="81"/>
  <c r="C83" i="81"/>
  <c r="B83" i="81"/>
  <c r="AN82" i="81"/>
  <c r="G82" i="81" s="1"/>
  <c r="E82" i="81"/>
  <c r="J82" i="81" s="1"/>
  <c r="D82" i="81"/>
  <c r="C82" i="81"/>
  <c r="B82" i="81"/>
  <c r="AN81" i="81"/>
  <c r="G81" i="81" s="1"/>
  <c r="E81" i="81"/>
  <c r="J81" i="81" s="1"/>
  <c r="D81" i="81"/>
  <c r="C81" i="81"/>
  <c r="B81" i="81"/>
  <c r="AN80" i="81"/>
  <c r="G80" i="81" s="1"/>
  <c r="E80" i="81"/>
  <c r="J80" i="81" s="1"/>
  <c r="D80" i="81"/>
  <c r="C80" i="81"/>
  <c r="B80" i="81"/>
  <c r="AN79" i="81"/>
  <c r="G79" i="81" s="1"/>
  <c r="E79" i="81"/>
  <c r="J79" i="81" s="1"/>
  <c r="D79" i="81"/>
  <c r="C79" i="81"/>
  <c r="B79" i="81"/>
  <c r="AN78" i="81"/>
  <c r="G78" i="81" s="1"/>
  <c r="E78" i="81"/>
  <c r="J78" i="81" s="1"/>
  <c r="D78" i="81"/>
  <c r="C78" i="81"/>
  <c r="B78" i="81"/>
  <c r="AN77" i="81"/>
  <c r="G77" i="81" s="1"/>
  <c r="E77" i="81"/>
  <c r="J77" i="81" s="1"/>
  <c r="D77" i="81"/>
  <c r="C77" i="81"/>
  <c r="B77" i="81"/>
  <c r="AN76" i="81"/>
  <c r="G76" i="81" s="1"/>
  <c r="E76" i="81"/>
  <c r="J76" i="81" s="1"/>
  <c r="D76" i="81"/>
  <c r="C76" i="81"/>
  <c r="B76" i="81"/>
  <c r="AN75" i="81"/>
  <c r="G75" i="81" s="1"/>
  <c r="E75" i="81"/>
  <c r="J75" i="81" s="1"/>
  <c r="D75" i="81"/>
  <c r="C75" i="81"/>
  <c r="B75" i="81"/>
  <c r="AN74" i="81"/>
  <c r="G74" i="81" s="1"/>
  <c r="E74" i="81"/>
  <c r="J74" i="81" s="1"/>
  <c r="D74" i="81"/>
  <c r="C74" i="81"/>
  <c r="B74" i="81"/>
  <c r="AN73" i="81"/>
  <c r="G73" i="81" s="1"/>
  <c r="E73" i="81"/>
  <c r="J73" i="81" s="1"/>
  <c r="D73" i="81"/>
  <c r="C73" i="81"/>
  <c r="B73" i="81"/>
  <c r="AN72" i="81"/>
  <c r="G72" i="81" s="1"/>
  <c r="E72" i="81"/>
  <c r="J72" i="81" s="1"/>
  <c r="D72" i="81"/>
  <c r="C72" i="81"/>
  <c r="B72" i="81"/>
  <c r="AN71" i="81"/>
  <c r="G71" i="81" s="1"/>
  <c r="E71" i="81"/>
  <c r="J71" i="81" s="1"/>
  <c r="D71" i="81"/>
  <c r="C71" i="81"/>
  <c r="B71" i="81"/>
  <c r="AN70" i="81"/>
  <c r="G70" i="81" s="1"/>
  <c r="E70" i="81"/>
  <c r="J70" i="81" s="1"/>
  <c r="D70" i="81"/>
  <c r="C70" i="81"/>
  <c r="B70" i="81"/>
  <c r="AN69" i="81"/>
  <c r="G69" i="81" s="1"/>
  <c r="E69" i="81"/>
  <c r="J69" i="81" s="1"/>
  <c r="D69" i="81"/>
  <c r="C69" i="81"/>
  <c r="B69" i="81"/>
  <c r="AN68" i="81"/>
  <c r="G68" i="81" s="1"/>
  <c r="E68" i="81"/>
  <c r="J68" i="81" s="1"/>
  <c r="D68" i="81"/>
  <c r="C68" i="81"/>
  <c r="B68" i="81"/>
  <c r="AN67" i="81"/>
  <c r="G67" i="81" s="1"/>
  <c r="E67" i="81"/>
  <c r="J67" i="81" s="1"/>
  <c r="D67" i="81"/>
  <c r="C67" i="81"/>
  <c r="B67" i="81"/>
  <c r="AN66" i="81"/>
  <c r="G66" i="81" s="1"/>
  <c r="E66" i="81"/>
  <c r="J66" i="81" s="1"/>
  <c r="D66" i="81"/>
  <c r="C66" i="81"/>
  <c r="B66" i="81"/>
  <c r="AN65" i="81"/>
  <c r="G65" i="81" s="1"/>
  <c r="E65" i="81"/>
  <c r="J65" i="81" s="1"/>
  <c r="D65" i="81"/>
  <c r="C65" i="81"/>
  <c r="B65" i="81"/>
  <c r="AN64" i="81"/>
  <c r="G64" i="81" s="1"/>
  <c r="E64" i="81"/>
  <c r="J64" i="81" s="1"/>
  <c r="D64" i="81"/>
  <c r="C64" i="81"/>
  <c r="B64" i="81"/>
  <c r="AN63" i="81"/>
  <c r="G63" i="81" s="1"/>
  <c r="E63" i="81"/>
  <c r="J63" i="81" s="1"/>
  <c r="D63" i="81"/>
  <c r="C63" i="81"/>
  <c r="B63" i="81"/>
  <c r="AN62" i="81"/>
  <c r="G62" i="81" s="1"/>
  <c r="E62" i="81"/>
  <c r="J62" i="81" s="1"/>
  <c r="D62" i="81"/>
  <c r="C62" i="81"/>
  <c r="B62" i="81"/>
  <c r="AN61" i="81"/>
  <c r="G61" i="81" s="1"/>
  <c r="E61" i="81"/>
  <c r="J61" i="81" s="1"/>
  <c r="D61" i="81"/>
  <c r="C61" i="81"/>
  <c r="B61" i="81"/>
  <c r="AN60" i="81"/>
  <c r="G60" i="81" s="1"/>
  <c r="E60" i="81"/>
  <c r="J60" i="81" s="1"/>
  <c r="D60" i="81"/>
  <c r="C60" i="81"/>
  <c r="B60" i="81"/>
  <c r="AM104" i="81"/>
  <c r="AO104" i="81" s="1"/>
  <c r="AM103" i="81"/>
  <c r="AO103" i="81" s="1"/>
  <c r="AM102" i="81"/>
  <c r="AM101" i="81"/>
  <c r="AO101" i="81" s="1"/>
  <c r="AM100" i="81"/>
  <c r="AO100" i="81" s="1"/>
  <c r="AM99" i="81"/>
  <c r="AO99" i="81" s="1"/>
  <c r="AM98" i="81"/>
  <c r="AM97" i="81"/>
  <c r="AO97" i="81" s="1"/>
  <c r="AM96" i="81"/>
  <c r="AM95" i="81"/>
  <c r="AM94" i="81"/>
  <c r="AM93" i="81"/>
  <c r="AM92" i="81"/>
  <c r="AM91" i="81"/>
  <c r="AM90" i="81"/>
  <c r="AM89" i="81"/>
  <c r="AM88" i="81"/>
  <c r="AM87" i="81"/>
  <c r="AM86" i="81"/>
  <c r="AM85" i="81"/>
  <c r="AM84" i="81"/>
  <c r="AM83" i="81"/>
  <c r="AM82" i="81"/>
  <c r="AM81" i="81"/>
  <c r="AM80" i="81"/>
  <c r="AM79" i="81"/>
  <c r="AM78" i="81"/>
  <c r="AM77" i="81"/>
  <c r="AM76" i="81"/>
  <c r="AM75" i="81"/>
  <c r="AO75" i="81" s="1"/>
  <c r="AM74" i="81"/>
  <c r="AM73" i="81"/>
  <c r="AM72" i="81"/>
  <c r="AM71" i="81"/>
  <c r="AM70" i="81"/>
  <c r="AM69" i="81"/>
  <c r="AM68" i="81"/>
  <c r="AM67" i="81"/>
  <c r="AM66" i="81"/>
  <c r="AM65" i="81"/>
  <c r="AM64" i="81"/>
  <c r="XEO64" i="81" s="1"/>
  <c r="AM63" i="81"/>
  <c r="XEO63" i="81" s="1"/>
  <c r="AM62" i="81"/>
  <c r="AM61" i="81"/>
  <c r="AM60" i="81"/>
  <c r="AO38" i="103"/>
  <c r="XEQ30" i="104" l="1"/>
  <c r="XES30" i="104"/>
  <c r="AO17" i="103"/>
  <c r="XEQ29" i="104"/>
  <c r="XEP29" i="104"/>
  <c r="XEQ28" i="104"/>
  <c r="XEP28" i="104"/>
  <c r="XEQ24" i="104"/>
  <c r="XES24" i="104"/>
  <c r="XEP28" i="101"/>
  <c r="XER28" i="101"/>
  <c r="AO22" i="102"/>
  <c r="XEP24" i="101"/>
  <c r="XER24" i="101"/>
  <c r="XEP23" i="101"/>
  <c r="XER23" i="101"/>
  <c r="XEP22" i="101"/>
  <c r="XER22" i="101"/>
  <c r="XEP20" i="102"/>
  <c r="XES20" i="102"/>
  <c r="XEO19" i="101"/>
  <c r="XER19" i="101"/>
  <c r="AR24" i="99"/>
  <c r="AM9" i="101"/>
  <c r="AR22" i="99"/>
  <c r="XEO62" i="81"/>
  <c r="XEO12" i="81" s="1"/>
  <c r="AC9" i="106" s="1"/>
  <c r="AR21" i="99"/>
  <c r="N21" i="99"/>
  <c r="N9" i="99"/>
  <c r="N11" i="99"/>
  <c r="N8" i="99"/>
  <c r="N24" i="99"/>
  <c r="N7" i="99"/>
  <c r="N10" i="99"/>
  <c r="N22" i="99"/>
  <c r="N23" i="99"/>
  <c r="N25" i="99"/>
  <c r="H27" i="99"/>
  <c r="H11" i="99"/>
  <c r="H21" i="99"/>
  <c r="H10" i="99"/>
  <c r="H7" i="99"/>
  <c r="H26" i="99"/>
  <c r="H8" i="99"/>
  <c r="H13" i="99"/>
  <c r="H24" i="99"/>
  <c r="H12" i="99"/>
  <c r="H22" i="99"/>
  <c r="H25" i="99"/>
  <c r="H9" i="99"/>
  <c r="H23" i="99"/>
  <c r="V25" i="99"/>
  <c r="AO39" i="104"/>
  <c r="Z32" i="99"/>
  <c r="AA32" i="99"/>
  <c r="Y32" i="99"/>
  <c r="X32" i="99"/>
  <c r="W32" i="99"/>
  <c r="F39" i="99"/>
  <c r="F53" i="99"/>
  <c r="F49" i="99"/>
  <c r="F33" i="99"/>
  <c r="F56" i="99"/>
  <c r="F36" i="99"/>
  <c r="F45" i="99"/>
  <c r="F59" i="99"/>
  <c r="F48" i="99"/>
  <c r="F34" i="99"/>
  <c r="F37" i="99"/>
  <c r="F51" i="99"/>
  <c r="F52" i="99"/>
  <c r="F35" i="99"/>
  <c r="F43" i="99"/>
  <c r="V32" i="99"/>
  <c r="F54" i="99"/>
  <c r="F44" i="99"/>
  <c r="F58" i="99"/>
  <c r="F41" i="99"/>
  <c r="F55" i="99"/>
  <c r="F46" i="99"/>
  <c r="F57" i="99"/>
  <c r="F50" i="99"/>
  <c r="F47" i="99"/>
  <c r="F38" i="99"/>
  <c r="F42" i="99"/>
  <c r="F40" i="99"/>
  <c r="XER39" i="105"/>
  <c r="XES39" i="105"/>
  <c r="XEP23" i="105"/>
  <c r="XES23" i="105"/>
  <c r="XEQ24" i="105"/>
  <c r="XES24" i="105"/>
  <c r="XEQ32" i="105"/>
  <c r="XES32" i="105"/>
  <c r="XER40" i="105"/>
  <c r="XES40" i="105"/>
  <c r="XEQ25" i="105"/>
  <c r="XES25" i="105"/>
  <c r="XEQ33" i="105"/>
  <c r="XES33" i="105"/>
  <c r="XER41" i="105"/>
  <c r="XES41" i="105"/>
  <c r="XEQ31" i="105"/>
  <c r="XES31" i="105"/>
  <c r="XEQ26" i="105"/>
  <c r="XES26" i="105"/>
  <c r="XER34" i="105"/>
  <c r="XES34" i="105"/>
  <c r="XER42" i="105"/>
  <c r="XES42" i="105"/>
  <c r="XEP19" i="105"/>
  <c r="XES19" i="105"/>
  <c r="XEP15" i="105"/>
  <c r="XES15" i="105"/>
  <c r="XEQ27" i="105"/>
  <c r="XES27" i="105"/>
  <c r="XER35" i="105"/>
  <c r="XES35" i="105"/>
  <c r="XEP16" i="105"/>
  <c r="XES16" i="105"/>
  <c r="XER36" i="105"/>
  <c r="XES36" i="105"/>
  <c r="XER44" i="105"/>
  <c r="XES44" i="105"/>
  <c r="XEQ29" i="105"/>
  <c r="XES29" i="105"/>
  <c r="XER37" i="105"/>
  <c r="XES37" i="105"/>
  <c r="XEP18" i="105"/>
  <c r="XES18" i="105"/>
  <c r="XEQ30" i="105"/>
  <c r="XES30" i="105"/>
  <c r="XER38" i="105"/>
  <c r="XES38" i="105"/>
  <c r="XEP20" i="103"/>
  <c r="XES20" i="103"/>
  <c r="XER37" i="103"/>
  <c r="XES37" i="103"/>
  <c r="AO48" i="103"/>
  <c r="XES48" i="103"/>
  <c r="AO52" i="103"/>
  <c r="XES52" i="103"/>
  <c r="AO56" i="103"/>
  <c r="XES56" i="103"/>
  <c r="AO60" i="103"/>
  <c r="XES60" i="103"/>
  <c r="AO64" i="103"/>
  <c r="XES64" i="103"/>
  <c r="AO68" i="103"/>
  <c r="XES68" i="103"/>
  <c r="AO72" i="103"/>
  <c r="XES72" i="103"/>
  <c r="AO76" i="103"/>
  <c r="XES76" i="103"/>
  <c r="XEQ30" i="103"/>
  <c r="XES30" i="103"/>
  <c r="XER38" i="103"/>
  <c r="XES38" i="103"/>
  <c r="XEP14" i="103"/>
  <c r="XES14" i="103"/>
  <c r="XEQ31" i="103"/>
  <c r="XES31" i="103"/>
  <c r="XER39" i="103"/>
  <c r="XES39" i="103"/>
  <c r="AO49" i="103"/>
  <c r="XES49" i="103"/>
  <c r="AO53" i="103"/>
  <c r="XES53" i="103"/>
  <c r="AO57" i="103"/>
  <c r="XES57" i="103"/>
  <c r="AO61" i="103"/>
  <c r="XES61" i="103"/>
  <c r="AO65" i="103"/>
  <c r="XES65" i="103"/>
  <c r="AO69" i="103"/>
  <c r="XES69" i="103"/>
  <c r="AO73" i="103"/>
  <c r="XES73" i="103"/>
  <c r="AO77" i="103"/>
  <c r="XES77" i="103"/>
  <c r="XEP15" i="103"/>
  <c r="XES15" i="103"/>
  <c r="XER32" i="103"/>
  <c r="XES32" i="103"/>
  <c r="XER40" i="103"/>
  <c r="XES40" i="103"/>
  <c r="XER36" i="103"/>
  <c r="XES36" i="103"/>
  <c r="XEP16" i="103"/>
  <c r="XES16" i="103"/>
  <c r="XER33" i="103"/>
  <c r="XES33" i="103"/>
  <c r="AO50" i="103"/>
  <c r="XES50" i="103"/>
  <c r="AO54" i="103"/>
  <c r="XES54" i="103"/>
  <c r="AO58" i="103"/>
  <c r="XES58" i="103"/>
  <c r="AO62" i="103"/>
  <c r="XES62" i="103"/>
  <c r="AO66" i="103"/>
  <c r="XES66" i="103"/>
  <c r="AO70" i="103"/>
  <c r="XES70" i="103"/>
  <c r="AO74" i="103"/>
  <c r="XES74" i="103"/>
  <c r="AO78" i="103"/>
  <c r="XES78" i="103"/>
  <c r="XEQ25" i="103"/>
  <c r="XES25" i="103"/>
  <c r="XER34" i="103"/>
  <c r="XES34" i="103"/>
  <c r="XEP19" i="103"/>
  <c r="XES19" i="103"/>
  <c r="XEP18" i="103"/>
  <c r="XES18" i="103"/>
  <c r="XEQ26" i="103"/>
  <c r="XES26" i="103"/>
  <c r="XER35" i="103"/>
  <c r="XES35" i="103"/>
  <c r="AO51" i="103"/>
  <c r="XES51" i="103"/>
  <c r="AO55" i="103"/>
  <c r="XES55" i="103"/>
  <c r="AO59" i="103"/>
  <c r="XES59" i="103"/>
  <c r="AO63" i="103"/>
  <c r="XES63" i="103"/>
  <c r="AO67" i="103"/>
  <c r="XES67" i="103"/>
  <c r="AO71" i="103"/>
  <c r="XES71" i="103"/>
  <c r="AO75" i="103"/>
  <c r="XES75" i="103"/>
  <c r="AO79" i="103"/>
  <c r="XES79" i="103"/>
  <c r="XEQ24" i="102"/>
  <c r="XEP24" i="102"/>
  <c r="XEQ25" i="102"/>
  <c r="XEP25" i="102"/>
  <c r="XER33" i="102"/>
  <c r="XEP33" i="102"/>
  <c r="AO50" i="102"/>
  <c r="XEP50" i="102"/>
  <c r="AO54" i="102"/>
  <c r="XEP54" i="102"/>
  <c r="AO58" i="102"/>
  <c r="XEP58" i="102"/>
  <c r="AO62" i="102"/>
  <c r="XEP62" i="102"/>
  <c r="AO66" i="102"/>
  <c r="XEP66" i="102"/>
  <c r="AO70" i="102"/>
  <c r="XEP70" i="102"/>
  <c r="AO74" i="102"/>
  <c r="XES74" i="102"/>
  <c r="AO78" i="102"/>
  <c r="XES78" i="102"/>
  <c r="XEQ26" i="102"/>
  <c r="XEP26" i="102"/>
  <c r="XER34" i="102"/>
  <c r="XEP34" i="102"/>
  <c r="XER40" i="102"/>
  <c r="XEP40" i="102"/>
  <c r="XEQ27" i="102"/>
  <c r="XEP27" i="102"/>
  <c r="XER35" i="102"/>
  <c r="XEP35" i="102"/>
  <c r="AO51" i="102"/>
  <c r="XEP51" i="102"/>
  <c r="AO55" i="102"/>
  <c r="XEP55" i="102"/>
  <c r="AO59" i="102"/>
  <c r="XEP59" i="102"/>
  <c r="AO63" i="102"/>
  <c r="XEP63" i="102"/>
  <c r="AO67" i="102"/>
  <c r="XEP67" i="102"/>
  <c r="AO71" i="102"/>
  <c r="XEP71" i="102"/>
  <c r="AO75" i="102"/>
  <c r="XES75" i="102"/>
  <c r="AO79" i="102"/>
  <c r="XES79" i="102"/>
  <c r="XEQ28" i="102"/>
  <c r="XEP28" i="102"/>
  <c r="XER37" i="102"/>
  <c r="XEP37" i="102"/>
  <c r="AO48" i="102"/>
  <c r="XEP48" i="102"/>
  <c r="AO52" i="102"/>
  <c r="XEP52" i="102"/>
  <c r="AO56" i="102"/>
  <c r="XEP56" i="102"/>
  <c r="AO60" i="102"/>
  <c r="XEP60" i="102"/>
  <c r="AO64" i="102"/>
  <c r="XEP64" i="102"/>
  <c r="AO68" i="102"/>
  <c r="XEP68" i="102"/>
  <c r="AO72" i="102"/>
  <c r="XES72" i="102"/>
  <c r="AO76" i="102"/>
  <c r="XES76" i="102"/>
  <c r="XEQ29" i="102"/>
  <c r="XEP29" i="102"/>
  <c r="XEQ22" i="102"/>
  <c r="XEP22" i="102"/>
  <c r="XEQ30" i="102"/>
  <c r="XEP30" i="102"/>
  <c r="XER38" i="102"/>
  <c r="XEP38" i="102"/>
  <c r="XEQ23" i="102"/>
  <c r="XEP23" i="102"/>
  <c r="XER39" i="102"/>
  <c r="XEP39" i="102"/>
  <c r="AO49" i="102"/>
  <c r="XEP49" i="102"/>
  <c r="AO53" i="102"/>
  <c r="XEP53" i="102"/>
  <c r="AO57" i="102"/>
  <c r="XEP57" i="102"/>
  <c r="AO61" i="102"/>
  <c r="XEP61" i="102"/>
  <c r="AO65" i="102"/>
  <c r="XEP65" i="102"/>
  <c r="AO69" i="102"/>
  <c r="XEP69" i="102"/>
  <c r="AO73" i="102"/>
  <c r="XES73" i="102"/>
  <c r="AO77" i="102"/>
  <c r="XES77" i="102"/>
  <c r="XEQ43" i="101"/>
  <c r="XEO43" i="101"/>
  <c r="AO51" i="101"/>
  <c r="XEO51" i="101"/>
  <c r="AO55" i="101"/>
  <c r="XEO55" i="101"/>
  <c r="AO59" i="101"/>
  <c r="XEO59" i="101"/>
  <c r="AO63" i="101"/>
  <c r="XEO63" i="101"/>
  <c r="AO67" i="101"/>
  <c r="XEO67" i="101"/>
  <c r="AO71" i="101"/>
  <c r="XEO71" i="101"/>
  <c r="AO75" i="101"/>
  <c r="XEO75" i="101"/>
  <c r="AO79" i="101"/>
  <c r="XEO79" i="101"/>
  <c r="AO74" i="101"/>
  <c r="XEO74" i="101"/>
  <c r="AO54" i="101"/>
  <c r="XEO54" i="101"/>
  <c r="AO70" i="101"/>
  <c r="XEO70" i="101"/>
  <c r="XEQ44" i="101"/>
  <c r="XEO44" i="101"/>
  <c r="AO48" i="101"/>
  <c r="XEO48" i="101"/>
  <c r="AO52" i="101"/>
  <c r="XEO52" i="101"/>
  <c r="AO56" i="101"/>
  <c r="XEO56" i="101"/>
  <c r="AO60" i="101"/>
  <c r="XEO60" i="101"/>
  <c r="AO64" i="101"/>
  <c r="XEO64" i="101"/>
  <c r="AO68" i="101"/>
  <c r="XEO68" i="101"/>
  <c r="AO72" i="101"/>
  <c r="XEO72" i="101"/>
  <c r="AO76" i="101"/>
  <c r="XEO76" i="101"/>
  <c r="AO66" i="101"/>
  <c r="XEO66" i="101"/>
  <c r="AO58" i="101"/>
  <c r="XEO58" i="101"/>
  <c r="AO78" i="101"/>
  <c r="XEO78" i="101"/>
  <c r="XER45" i="101"/>
  <c r="XEO45" i="101"/>
  <c r="AO49" i="101"/>
  <c r="XEO49" i="101"/>
  <c r="AO53" i="101"/>
  <c r="XEO53" i="101"/>
  <c r="AO57" i="101"/>
  <c r="XEO57" i="101"/>
  <c r="AO61" i="101"/>
  <c r="XEO61" i="101"/>
  <c r="AO65" i="101"/>
  <c r="XEO65" i="101"/>
  <c r="AO69" i="101"/>
  <c r="XEO69" i="101"/>
  <c r="AO73" i="101"/>
  <c r="XEO73" i="101"/>
  <c r="AO77" i="101"/>
  <c r="XEO77" i="101"/>
  <c r="AO50" i="101"/>
  <c r="XEO50" i="101"/>
  <c r="AO62" i="101"/>
  <c r="XEO62" i="101"/>
  <c r="XEQ42" i="101"/>
  <c r="XEO42" i="101"/>
  <c r="XEO18" i="101"/>
  <c r="XEO20" i="101"/>
  <c r="XER20" i="101"/>
  <c r="XEP21" i="101"/>
  <c r="XER21" i="101"/>
  <c r="XEO16" i="101"/>
  <c r="AO40" i="104"/>
  <c r="AO26" i="101"/>
  <c r="XEP14" i="105"/>
  <c r="XEO14" i="101"/>
  <c r="XEP17" i="105"/>
  <c r="XES17" i="105"/>
  <c r="XEP17" i="104"/>
  <c r="XEP12" i="104" s="1"/>
  <c r="AC13" i="106" s="1"/>
  <c r="XES17" i="104"/>
  <c r="XEP17" i="103"/>
  <c r="XES17" i="103"/>
  <c r="XEP17" i="102"/>
  <c r="XES17" i="102"/>
  <c r="XEO17" i="101"/>
  <c r="XER17" i="101"/>
  <c r="AO43" i="104"/>
  <c r="AO41" i="101"/>
  <c r="AO30" i="104"/>
  <c r="AO41" i="104"/>
  <c r="AO19" i="103"/>
  <c r="AO38" i="102"/>
  <c r="AO39" i="105"/>
  <c r="AO44" i="105"/>
  <c r="AO37" i="101"/>
  <c r="AO23" i="105"/>
  <c r="AO31" i="103"/>
  <c r="AO21" i="101"/>
  <c r="AO38" i="105"/>
  <c r="AO26" i="102"/>
  <c r="AO42" i="105"/>
  <c r="AO40" i="105"/>
  <c r="AO18" i="105"/>
  <c r="AO28" i="104"/>
  <c r="AO48" i="105"/>
  <c r="AO15" i="104"/>
  <c r="AO47" i="105"/>
  <c r="XES47" i="105"/>
  <c r="AO43" i="105"/>
  <c r="XER43" i="105"/>
  <c r="AO45" i="105"/>
  <c r="XER45" i="105"/>
  <c r="AO49" i="105"/>
  <c r="XES49" i="105"/>
  <c r="AO46" i="105"/>
  <c r="XER46" i="105"/>
  <c r="XEQ12" i="104"/>
  <c r="AD13" i="106" s="1"/>
  <c r="AO44" i="104"/>
  <c r="XES44" i="104"/>
  <c r="AO45" i="104"/>
  <c r="XES45" i="104"/>
  <c r="AO42" i="104"/>
  <c r="XER42" i="104"/>
  <c r="XER12" i="104" s="1"/>
  <c r="AE13" i="106" s="1"/>
  <c r="AO46" i="104"/>
  <c r="XES46" i="104"/>
  <c r="AO43" i="103"/>
  <c r="XER43" i="103"/>
  <c r="AO47" i="103"/>
  <c r="XES47" i="103"/>
  <c r="AO44" i="103"/>
  <c r="XER44" i="103"/>
  <c r="AO45" i="103"/>
  <c r="XES45" i="103"/>
  <c r="AO41" i="103"/>
  <c r="XER41" i="103"/>
  <c r="AO46" i="103"/>
  <c r="XES46" i="103"/>
  <c r="AO42" i="103"/>
  <c r="XER42" i="103"/>
  <c r="AO43" i="102"/>
  <c r="XER43" i="102"/>
  <c r="AO47" i="102"/>
  <c r="XES47" i="102"/>
  <c r="AO44" i="102"/>
  <c r="XER44" i="102"/>
  <c r="AO45" i="102"/>
  <c r="XES45" i="102"/>
  <c r="AO41" i="102"/>
  <c r="XER41" i="102"/>
  <c r="AO46" i="102"/>
  <c r="XES46" i="102"/>
  <c r="AO18" i="102"/>
  <c r="AO42" i="102"/>
  <c r="XER42" i="102"/>
  <c r="XEQ12" i="101"/>
  <c r="AE10" i="106" s="1"/>
  <c r="AO46" i="101"/>
  <c r="XER46" i="101"/>
  <c r="AO47" i="101"/>
  <c r="XER47" i="101"/>
  <c r="XEP30" i="101"/>
  <c r="AO25" i="103"/>
  <c r="AO31" i="105"/>
  <c r="AO33" i="102"/>
  <c r="AO34" i="101"/>
  <c r="AO34" i="104"/>
  <c r="AO27" i="102"/>
  <c r="AO26" i="103"/>
  <c r="AO18" i="104"/>
  <c r="AO20" i="102"/>
  <c r="AO19" i="105"/>
  <c r="AO18" i="103"/>
  <c r="AO33" i="105"/>
  <c r="AO23" i="102"/>
  <c r="AO32" i="104"/>
  <c r="AO16" i="105"/>
  <c r="AO29" i="104"/>
  <c r="AO14" i="102"/>
  <c r="AO30" i="103"/>
  <c r="AO16" i="104"/>
  <c r="AO17" i="102"/>
  <c r="AO37" i="103"/>
  <c r="AO29" i="102"/>
  <c r="AO36" i="103"/>
  <c r="AO26" i="105"/>
  <c r="AO34" i="105"/>
  <c r="AO30" i="102"/>
  <c r="AO20" i="103"/>
  <c r="AO19" i="104"/>
  <c r="AO27" i="104"/>
  <c r="AO35" i="104"/>
  <c r="AO15" i="105"/>
  <c r="AO27" i="105"/>
  <c r="AO35" i="105"/>
  <c r="AO39" i="102"/>
  <c r="AO20" i="104"/>
  <c r="AO36" i="104"/>
  <c r="AO36" i="105"/>
  <c r="AO24" i="102"/>
  <c r="AO40" i="102"/>
  <c r="AO14" i="103"/>
  <c r="AO37" i="104"/>
  <c r="AO17" i="105"/>
  <c r="AO29" i="105"/>
  <c r="AO37" i="105"/>
  <c r="AO30" i="101"/>
  <c r="AO16" i="102"/>
  <c r="AO25" i="102"/>
  <c r="AO15" i="103"/>
  <c r="AO32" i="103"/>
  <c r="AO39" i="103"/>
  <c r="AO14" i="104"/>
  <c r="AO38" i="104"/>
  <c r="AO30" i="105"/>
  <c r="AO34" i="102"/>
  <c r="AO16" i="103"/>
  <c r="AO33" i="103"/>
  <c r="AO40" i="103"/>
  <c r="AO31" i="104"/>
  <c r="AO23" i="101"/>
  <c r="AO35" i="102"/>
  <c r="AO34" i="103"/>
  <c r="AO24" i="104"/>
  <c r="AO24" i="105"/>
  <c r="AO32" i="105"/>
  <c r="AO19" i="102"/>
  <c r="AO28" i="102"/>
  <c r="AO35" i="103"/>
  <c r="AO17" i="104"/>
  <c r="AO33" i="104"/>
  <c r="AO25" i="105"/>
  <c r="AO41" i="105"/>
  <c r="Y30" i="99"/>
  <c r="Y31" i="99"/>
  <c r="Y26" i="99"/>
  <c r="Y27" i="99"/>
  <c r="Y25" i="99"/>
  <c r="Y28" i="99"/>
  <c r="Y29" i="99"/>
  <c r="AA26" i="99"/>
  <c r="AA27" i="99"/>
  <c r="AA25" i="99"/>
  <c r="AA28" i="99"/>
  <c r="AA29" i="99"/>
  <c r="AA30" i="99"/>
  <c r="AA31" i="99"/>
  <c r="Z31" i="99"/>
  <c r="Z26" i="99"/>
  <c r="Z27" i="99"/>
  <c r="Z25" i="99"/>
  <c r="Z28" i="99"/>
  <c r="Z29" i="99"/>
  <c r="Z30" i="99"/>
  <c r="W28" i="99"/>
  <c r="W29" i="99"/>
  <c r="W25" i="99"/>
  <c r="W30" i="99"/>
  <c r="W31" i="99"/>
  <c r="W26" i="99"/>
  <c r="W27" i="99"/>
  <c r="V28" i="99"/>
  <c r="V30" i="99"/>
  <c r="V29" i="99"/>
  <c r="V31" i="99"/>
  <c r="V26" i="99"/>
  <c r="V27" i="99"/>
  <c r="X28" i="99"/>
  <c r="X27" i="99"/>
  <c r="X29" i="99"/>
  <c r="X30" i="99"/>
  <c r="X31" i="99"/>
  <c r="X25" i="99"/>
  <c r="X26" i="99"/>
  <c r="AO102" i="81"/>
  <c r="AL14" i="99"/>
  <c r="AM13" i="99" s="1"/>
  <c r="AO14" i="105"/>
  <c r="AI14" i="99"/>
  <c r="AJ7" i="99" s="1"/>
  <c r="AM9" i="102"/>
  <c r="AO63" i="81"/>
  <c r="AO67" i="81"/>
  <c r="AO71" i="81"/>
  <c r="AO65" i="81"/>
  <c r="AO68" i="81"/>
  <c r="AO98" i="81"/>
  <c r="AO14" i="101"/>
  <c r="AO35" i="101"/>
  <c r="AO39" i="101"/>
  <c r="AO45" i="101"/>
  <c r="AO42" i="101"/>
  <c r="AO16" i="101"/>
  <c r="AO40" i="101"/>
  <c r="AO43" i="101"/>
  <c r="AO18" i="101"/>
  <c r="AO22" i="101"/>
  <c r="AO27" i="101"/>
  <c r="AO31" i="101"/>
  <c r="AO38" i="101"/>
  <c r="AO32" i="101"/>
  <c r="AO28" i="101"/>
  <c r="AO20" i="101"/>
  <c r="AO24" i="101"/>
  <c r="AO33" i="101"/>
  <c r="AO17" i="101"/>
  <c r="AO44" i="101"/>
  <c r="AO36" i="101"/>
  <c r="AO15" i="101"/>
  <c r="AO29" i="101"/>
  <c r="AO81" i="81"/>
  <c r="AO89" i="81"/>
  <c r="AO72" i="81"/>
  <c r="AO84" i="81"/>
  <c r="AO79" i="81"/>
  <c r="AO61" i="81"/>
  <c r="AO69" i="81"/>
  <c r="AO73" i="81"/>
  <c r="AO85" i="81"/>
  <c r="AO93" i="81"/>
  <c r="AO76" i="81"/>
  <c r="AO80" i="81"/>
  <c r="AO88" i="81"/>
  <c r="AO92" i="81"/>
  <c r="AO74" i="81"/>
  <c r="AO82" i="81"/>
  <c r="AO94" i="81"/>
  <c r="AO96" i="81"/>
  <c r="AO15" i="102"/>
  <c r="AO91" i="81"/>
  <c r="AO90" i="81"/>
  <c r="AO87" i="81"/>
  <c r="AO86" i="81"/>
  <c r="AO83" i="81"/>
  <c r="AO78" i="81"/>
  <c r="AO77" i="81"/>
  <c r="AO70" i="81"/>
  <c r="AO66" i="81"/>
  <c r="AO64" i="81"/>
  <c r="AO62" i="81"/>
  <c r="AO60" i="81"/>
  <c r="AJ22" i="99"/>
  <c r="AJ24" i="99"/>
  <c r="AJ25" i="99"/>
  <c r="AJ27" i="99"/>
  <c r="AJ23" i="99"/>
  <c r="AM26" i="99"/>
  <c r="Q23" i="99" s="1"/>
  <c r="Q10" i="99"/>
  <c r="Q24" i="99"/>
  <c r="AM23" i="99"/>
  <c r="Q21" i="99" s="1"/>
  <c r="AM22" i="99"/>
  <c r="Q25" i="99" s="1"/>
  <c r="AM27" i="99"/>
  <c r="AM25" i="99"/>
  <c r="Q8" i="99" s="1"/>
  <c r="AO19" i="101"/>
  <c r="AM9" i="105"/>
  <c r="C12" i="106" s="1"/>
  <c r="AM9" i="104"/>
  <c r="C11" i="106" s="1"/>
  <c r="AM9" i="103"/>
  <c r="C10" i="106" s="1"/>
  <c r="AO95" i="81"/>
  <c r="AM9" i="81"/>
  <c r="XEQ12" i="103" l="1"/>
  <c r="AD12" i="106" s="1"/>
  <c r="XEQ12" i="105"/>
  <c r="AD14" i="106" s="1"/>
  <c r="XEP12" i="102"/>
  <c r="AC11" i="106" s="1"/>
  <c r="AO9" i="102"/>
  <c r="E9" i="106" s="1"/>
  <c r="M9" i="81"/>
  <c r="XEQ12" i="102"/>
  <c r="AD11" i="106" s="1"/>
  <c r="AT24" i="99"/>
  <c r="AT23" i="99"/>
  <c r="AT22" i="99"/>
  <c r="AT21" i="99"/>
  <c r="XEP12" i="103"/>
  <c r="AC12" i="106" s="1"/>
  <c r="AB32" i="99"/>
  <c r="AC32" i="99" s="1"/>
  <c r="AD32" i="99" s="1"/>
  <c r="C9" i="106"/>
  <c r="C9" i="99"/>
  <c r="XEP12" i="105"/>
  <c r="AC14" i="106" s="1"/>
  <c r="XEP12" i="101"/>
  <c r="AD10" i="106" s="1"/>
  <c r="XEO12" i="101"/>
  <c r="AC10" i="106" s="1"/>
  <c r="C8" i="106"/>
  <c r="C8" i="99"/>
  <c r="N26" i="99"/>
  <c r="O25" i="99" s="1"/>
  <c r="XER12" i="102"/>
  <c r="AE11" i="106" s="1"/>
  <c r="XER12" i="103"/>
  <c r="AE12" i="106" s="1"/>
  <c r="XES12" i="103"/>
  <c r="AF12" i="106" s="1"/>
  <c r="XER12" i="105"/>
  <c r="AE14" i="106" s="1"/>
  <c r="XER12" i="101"/>
  <c r="AF10" i="106" s="1"/>
  <c r="XES12" i="105"/>
  <c r="AF14" i="106" s="1"/>
  <c r="XES12" i="104"/>
  <c r="AF13" i="106" s="1"/>
  <c r="XES12" i="102"/>
  <c r="AF11" i="106" s="1"/>
  <c r="AO9" i="103"/>
  <c r="E10" i="106" s="1"/>
  <c r="AO9" i="104"/>
  <c r="E11" i="106" s="1"/>
  <c r="AO9" i="105"/>
  <c r="E12" i="106" s="1"/>
  <c r="C11" i="99"/>
  <c r="J9" i="101"/>
  <c r="AB29" i="99"/>
  <c r="AC29" i="99" s="1"/>
  <c r="AD29" i="99" s="1"/>
  <c r="AB30" i="99"/>
  <c r="AC30" i="99" s="1"/>
  <c r="AD30" i="99" s="1"/>
  <c r="AB25" i="99"/>
  <c r="AC25" i="99" s="1"/>
  <c r="AD25" i="99" s="1"/>
  <c r="AB31" i="99"/>
  <c r="AC31" i="99" s="1"/>
  <c r="AD31" i="99" s="1"/>
  <c r="AB26" i="99"/>
  <c r="AC26" i="99" s="1"/>
  <c r="AD26" i="99" s="1"/>
  <c r="AB27" i="99"/>
  <c r="AC27" i="99" s="1"/>
  <c r="AD27" i="99" s="1"/>
  <c r="AB28" i="99"/>
  <c r="AC28" i="99" s="1"/>
  <c r="AD28" i="99" s="1"/>
  <c r="J9" i="81"/>
  <c r="C7" i="106"/>
  <c r="J9" i="102"/>
  <c r="H28" i="99"/>
  <c r="H14" i="99"/>
  <c r="I7" i="99" s="1"/>
  <c r="Q9" i="99"/>
  <c r="AO9" i="101"/>
  <c r="J9" i="104"/>
  <c r="Q7" i="99"/>
  <c r="AJ12" i="99"/>
  <c r="Q11" i="99"/>
  <c r="Q22" i="99"/>
  <c r="J9" i="105"/>
  <c r="C12" i="99"/>
  <c r="AM14" i="99"/>
  <c r="AM11" i="99"/>
  <c r="AM8" i="99"/>
  <c r="AM9" i="99"/>
  <c r="AM12" i="99"/>
  <c r="AM7" i="99"/>
  <c r="J7" i="99" s="1"/>
  <c r="AM10" i="99"/>
  <c r="AJ14" i="99"/>
  <c r="AJ13" i="99"/>
  <c r="AJ9" i="99"/>
  <c r="AJ10" i="99"/>
  <c r="AJ11" i="99"/>
  <c r="AJ8" i="99"/>
  <c r="AO9" i="81"/>
  <c r="C10" i="99"/>
  <c r="J9" i="103"/>
  <c r="C7" i="99"/>
  <c r="AR11" i="99" l="1"/>
  <c r="AS9" i="99" s="1"/>
  <c r="AR25" i="99"/>
  <c r="AS22" i="99" s="1"/>
  <c r="AD15" i="106"/>
  <c r="M9" i="106" s="1"/>
  <c r="AC15" i="106"/>
  <c r="M10" i="106" s="1"/>
  <c r="I21" i="99"/>
  <c r="AE15" i="106"/>
  <c r="M11" i="106" s="1"/>
  <c r="AF15" i="106"/>
  <c r="M12" i="106" s="1"/>
  <c r="E11" i="99"/>
  <c r="M9" i="105"/>
  <c r="E10" i="99"/>
  <c r="M9" i="103"/>
  <c r="E12" i="99"/>
  <c r="E9" i="99"/>
  <c r="M9" i="102"/>
  <c r="M9" i="104"/>
  <c r="C13" i="106"/>
  <c r="V21" i="99"/>
  <c r="M9" i="101"/>
  <c r="E8" i="106"/>
  <c r="C13" i="99"/>
  <c r="E7" i="106"/>
  <c r="I22" i="99"/>
  <c r="I26" i="99"/>
  <c r="I24" i="99"/>
  <c r="I27" i="99"/>
  <c r="I25" i="99"/>
  <c r="I23" i="99"/>
  <c r="I10" i="99"/>
  <c r="I13" i="99"/>
  <c r="I8" i="99"/>
  <c r="I9" i="99"/>
  <c r="I11" i="99"/>
  <c r="I12" i="99"/>
  <c r="J11" i="99"/>
  <c r="J25" i="99"/>
  <c r="E8" i="99"/>
  <c r="J10" i="99"/>
  <c r="J24" i="99"/>
  <c r="J9" i="99"/>
  <c r="J23" i="99"/>
  <c r="J21" i="99"/>
  <c r="J22" i="99"/>
  <c r="J8" i="99"/>
  <c r="J13" i="99"/>
  <c r="J27" i="99"/>
  <c r="J12" i="99"/>
  <c r="J26" i="99"/>
  <c r="E7" i="99"/>
  <c r="AS10" i="99" l="1"/>
  <c r="AS7" i="99"/>
  <c r="AS24" i="99"/>
  <c r="AS23" i="99"/>
  <c r="AS21" i="99"/>
  <c r="AS8" i="99"/>
  <c r="L9" i="106"/>
  <c r="K24" i="99"/>
  <c r="K21" i="99"/>
  <c r="L10" i="106"/>
  <c r="M13" i="106"/>
  <c r="L11" i="106"/>
  <c r="L12" i="106"/>
  <c r="K10" i="99"/>
  <c r="K23" i="99"/>
  <c r="K12" i="99"/>
  <c r="K25" i="99"/>
  <c r="K11" i="99"/>
  <c r="K27" i="99"/>
  <c r="K8" i="99"/>
  <c r="K26" i="99"/>
  <c r="K9" i="99"/>
  <c r="K13" i="99"/>
  <c r="K22" i="99"/>
  <c r="E13" i="106"/>
  <c r="K7" i="99"/>
  <c r="I14" i="99"/>
  <c r="E13" i="99"/>
  <c r="N12" i="99"/>
  <c r="AS11" i="99" l="1"/>
  <c r="AS25" i="99"/>
  <c r="O23" i="99"/>
  <c r="R23" i="99" s="1"/>
  <c r="O21" i="99"/>
  <c r="O22" i="99"/>
  <c r="R22" i="99" s="1"/>
  <c r="R25" i="99"/>
  <c r="O24" i="99"/>
  <c r="R24" i="99" s="1"/>
  <c r="O10" i="99"/>
  <c r="R10" i="99" s="1"/>
  <c r="O11" i="99"/>
  <c r="R11" i="99" s="1"/>
  <c r="O7" i="99"/>
  <c r="R7" i="99" s="1"/>
  <c r="O9" i="99"/>
  <c r="R9" i="99" s="1"/>
  <c r="O8" i="99"/>
  <c r="R8" i="99" s="1"/>
  <c r="R21" i="99" l="1"/>
  <c r="O26" i="99"/>
  <c r="O12" i="99"/>
  <c r="I28" i="99"/>
</calcChain>
</file>

<file path=xl/comments1.xml><?xml version="1.0" encoding="utf-8"?>
<comments xmlns="http://schemas.openxmlformats.org/spreadsheetml/2006/main">
  <authors>
    <author>Un usuario de Microsoft Office satisfecho</author>
  </authors>
  <commentList>
    <comment ref="D5" authorId="0" shapeId="0">
      <text>
        <r>
          <rPr>
            <sz val="8"/>
            <color indexed="81"/>
            <rFont val="Tahoma"/>
            <family val="2"/>
          </rPr>
          <t>NOMBRE DEL CLIENTE</t>
        </r>
      </text>
    </comment>
  </commentList>
</comments>
</file>

<file path=xl/comments2.xml><?xml version="1.0" encoding="utf-8"?>
<comments xmlns="http://schemas.openxmlformats.org/spreadsheetml/2006/main">
  <authors>
    <author>Un usuario de Microsoft Office satisfecho</author>
  </authors>
  <commentList>
    <comment ref="D5" authorId="0" shapeId="0">
      <text>
        <r>
          <rPr>
            <sz val="8"/>
            <color indexed="81"/>
            <rFont val="Tahoma"/>
            <family val="2"/>
          </rPr>
          <t>NOMBRE DEL CLIENTE</t>
        </r>
      </text>
    </comment>
  </commentList>
</comments>
</file>

<file path=xl/comments3.xml><?xml version="1.0" encoding="utf-8"?>
<comments xmlns="http://schemas.openxmlformats.org/spreadsheetml/2006/main">
  <authors>
    <author>Un usuario de Microsoft Office satisfecho</author>
  </authors>
  <commentList>
    <comment ref="D5" authorId="0" shapeId="0">
      <text>
        <r>
          <rPr>
            <sz val="8"/>
            <color indexed="81"/>
            <rFont val="Tahoma"/>
            <family val="2"/>
          </rPr>
          <t>NOMBRE DEL CLIENTE</t>
        </r>
      </text>
    </comment>
  </commentList>
</comments>
</file>

<file path=xl/comments4.xml><?xml version="1.0" encoding="utf-8"?>
<comments xmlns="http://schemas.openxmlformats.org/spreadsheetml/2006/main">
  <authors>
    <author>Un usuario de Microsoft Office satisfecho</author>
  </authors>
  <commentList>
    <comment ref="D5" authorId="0" shapeId="0">
      <text>
        <r>
          <rPr>
            <sz val="8"/>
            <color indexed="81"/>
            <rFont val="Tahoma"/>
            <family val="2"/>
          </rPr>
          <t>NOMBRE DEL CLIENTE</t>
        </r>
      </text>
    </comment>
  </commentList>
</comments>
</file>

<file path=xl/comments5.xml><?xml version="1.0" encoding="utf-8"?>
<comments xmlns="http://schemas.openxmlformats.org/spreadsheetml/2006/main">
  <authors>
    <author>Un usuario de Microsoft Office satisfecho</author>
  </authors>
  <commentList>
    <comment ref="D5" authorId="0" shapeId="0">
      <text>
        <r>
          <rPr>
            <sz val="8"/>
            <color indexed="81"/>
            <rFont val="Tahoma"/>
            <family val="2"/>
          </rPr>
          <t>NOMBRE DEL CLIENTE</t>
        </r>
      </text>
    </comment>
  </commentList>
</comments>
</file>

<file path=xl/comments6.xml><?xml version="1.0" encoding="utf-8"?>
<comments xmlns="http://schemas.openxmlformats.org/spreadsheetml/2006/main">
  <authors>
    <author>Un usuario de Microsoft Office satisfecho</author>
  </authors>
  <commentList>
    <comment ref="D5" authorId="0" shapeId="0">
      <text>
        <r>
          <rPr>
            <sz val="8"/>
            <color indexed="81"/>
            <rFont val="Tahoma"/>
            <family val="2"/>
          </rPr>
          <t>NOMBRE DEL CLIENTE</t>
        </r>
      </text>
    </comment>
  </commentList>
</comments>
</file>

<file path=xl/sharedStrings.xml><?xml version="1.0" encoding="utf-8"?>
<sst xmlns="http://schemas.openxmlformats.org/spreadsheetml/2006/main" count="6358" uniqueCount="2383">
  <si>
    <t>BLANCO / ROSA</t>
  </si>
  <si>
    <t>BLANCO / AZUL</t>
  </si>
  <si>
    <t>ZPR</t>
  </si>
  <si>
    <t>0</t>
  </si>
  <si>
    <t>Razon Social</t>
  </si>
  <si>
    <t>Precio</t>
  </si>
  <si>
    <t>NRO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</si>
  <si>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</si>
  <si>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</si>
  <si>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</si>
  <si>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</si>
  <si>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</si>
  <si>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</si>
  <si>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</si>
  <si>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</si>
  <si>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</si>
  <si>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</si>
  <si>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</si>
  <si>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</si>
  <si>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</si>
  <si>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</si>
  <si>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</si>
  <si>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</si>
  <si>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</si>
  <si>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</si>
  <si>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</si>
  <si>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</si>
  <si>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</si>
  <si>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</si>
  <si>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</si>
  <si>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</si>
  <si>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</si>
  <si>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</si>
  <si>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</si>
  <si>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CANT</t>
  </si>
  <si>
    <t>$</t>
  </si>
  <si>
    <t>Lista</t>
  </si>
  <si>
    <t>ARTICULO</t>
  </si>
  <si>
    <t>TOTAL</t>
  </si>
  <si>
    <t>MODELO</t>
  </si>
  <si>
    <t>COLOR</t>
  </si>
  <si>
    <t>CURVA</t>
  </si>
  <si>
    <t>NEGRO</t>
  </si>
  <si>
    <t>BLANCO</t>
  </si>
  <si>
    <t>AZUL INSIGNIA</t>
  </si>
  <si>
    <t>BLANCO / AZUL / ROJO</t>
  </si>
  <si>
    <t>NEGRO / GRIS / NARANJA</t>
  </si>
  <si>
    <t>X FORCER KIDS (CF)</t>
  </si>
  <si>
    <t>NOVA LOW +</t>
  </si>
  <si>
    <t>PROFESIONAL +</t>
  </si>
  <si>
    <t>BLANCO / ROSA II</t>
  </si>
  <si>
    <t>MES</t>
  </si>
  <si>
    <t>Pares</t>
  </si>
  <si>
    <t>N° Cliente</t>
  </si>
  <si>
    <t xml:space="preserve"> Clase </t>
  </si>
  <si>
    <t>TOTALES</t>
  </si>
  <si>
    <t>DISPONIBILIDAD</t>
  </si>
  <si>
    <t>NC</t>
  </si>
  <si>
    <t>LANZ</t>
  </si>
  <si>
    <t>CALZADOS LOS GALLEGOS SRL</t>
  </si>
  <si>
    <t>CASA FERRACIOLI S.A.</t>
  </si>
  <si>
    <t>CASA SAENZ SRL</t>
  </si>
  <si>
    <t>ALPHA S.R.L.</t>
  </si>
  <si>
    <t>PERFORMANCE SA</t>
  </si>
  <si>
    <t>CUCCHIARELLI RICARDO</t>
  </si>
  <si>
    <t>MAYTE SA.</t>
  </si>
  <si>
    <t>CENTRO CAL S.A.</t>
  </si>
  <si>
    <t>ORTEGA MIRTA SUSANA</t>
  </si>
  <si>
    <t>TESI S.A.</t>
  </si>
  <si>
    <t>VILLANOVA HOGAR SA</t>
  </si>
  <si>
    <t>BOREAN EDUARDO</t>
  </si>
  <si>
    <t>CASA 2000 S.A.</t>
  </si>
  <si>
    <t>VAZQUEZ  S.R.L</t>
  </si>
  <si>
    <t>MABEL SALINAS S.A</t>
  </si>
  <si>
    <t>SUPER TIENDAS LOS VASCOS S.R.L.</t>
  </si>
  <si>
    <t>OROZCO LUCIA CELIA</t>
  </si>
  <si>
    <t>CALZADOS 10 PUNTOS SRL</t>
  </si>
  <si>
    <t>YAMBET SRL</t>
  </si>
  <si>
    <t>CASA VALLARI S C C</t>
  </si>
  <si>
    <t>BUFE JORGE</t>
  </si>
  <si>
    <t>CAVER SA</t>
  </si>
  <si>
    <t>GARCIA SPORT SRL</t>
  </si>
  <si>
    <t>ROSSETTI CARLOS A</t>
  </si>
  <si>
    <t>JIMENEZ ANTONIO ALEJANDRO</t>
  </si>
  <si>
    <t>DISTRIBUIDORA CAREGLIO  HNOS SRL</t>
  </si>
  <si>
    <t>PALLARO RUBEN EDGAR</t>
  </si>
  <si>
    <t>ADOLFO ZAKIAN S.A.</t>
  </si>
  <si>
    <t>PELLEGRINO SA</t>
  </si>
  <si>
    <t>OLIDEN MARTA DOLORES</t>
  </si>
  <si>
    <t>AIMETTA SANDRA VICENTE</t>
  </si>
  <si>
    <t>MERSAN SRL</t>
  </si>
  <si>
    <t>PAVON LUIS DANIEL</t>
  </si>
  <si>
    <t>HANDICAP S.A</t>
  </si>
  <si>
    <t>ROSSPORT S.A</t>
  </si>
  <si>
    <t>SAN MARTIN SPORT SA</t>
  </si>
  <si>
    <t>UGARTE Y CIA S.R.L.</t>
  </si>
  <si>
    <t>ROSSO DEPORTES SA</t>
  </si>
  <si>
    <t>SINGH ANSELMO SRL</t>
  </si>
  <si>
    <t>GARCIA PACO S.A.</t>
  </si>
  <si>
    <t>ANAUATI JORGE A Y CIA</t>
  </si>
  <si>
    <t>FARES W. DAGUM Y CIA</t>
  </si>
  <si>
    <t>ANTONIO LUQUIN SACIFI</t>
  </si>
  <si>
    <t>MARCANTONIO DEP SRL</t>
  </si>
  <si>
    <t>DIEN S.C.</t>
  </si>
  <si>
    <t>KAVAK DEPORTES S.R.L.</t>
  </si>
  <si>
    <t>D ALESSANDRO PAULO JAVIER</t>
  </si>
  <si>
    <t>JORGE L. SCHEJ  Y  NADIA SCHEJ S.H.</t>
  </si>
  <si>
    <t>RICKY SPORT S.R.L.</t>
  </si>
  <si>
    <t>MARATHON SRL</t>
  </si>
  <si>
    <t>BRIAN SINGH</t>
  </si>
  <si>
    <t>MC CENTER TUCUMAN S.R.L.</t>
  </si>
  <si>
    <t>DAP S.A.</t>
  </si>
  <si>
    <t>TERRA ROQUE O.</t>
  </si>
  <si>
    <t>KANTCHEFF HNOS SCC</t>
  </si>
  <si>
    <t>LONGHI MARCELO HORACIO</t>
  </si>
  <si>
    <t>TOLOMEI MARCELO DANIEL</t>
  </si>
  <si>
    <t>DAVID COMIZZO DEP S C</t>
  </si>
  <si>
    <t>BALLARA FEDERICO GABRIEL</t>
  </si>
  <si>
    <t>SELA SA</t>
  </si>
  <si>
    <t>MARTI JUAN MARTIN</t>
  </si>
  <si>
    <t>NOVELLO JORGE ANTONIO</t>
  </si>
  <si>
    <t>CEIJAS MIRTHA HAIDEE</t>
  </si>
  <si>
    <t>KADIMA SA</t>
  </si>
  <si>
    <t>CIVA SA</t>
  </si>
  <si>
    <t>OSOL S.R.L.</t>
  </si>
  <si>
    <t>RADER ORLANDO</t>
  </si>
  <si>
    <t>OSOPPO S.A</t>
  </si>
  <si>
    <t>POTOSKI MARCELO JAVIER</t>
  </si>
  <si>
    <t>BISORDI KREMAR SRL</t>
  </si>
  <si>
    <t>SPORT CENTER</t>
  </si>
  <si>
    <t>LOS PIRINEOS S.R.L.</t>
  </si>
  <si>
    <t>GRAELLS NELSON S.A</t>
  </si>
  <si>
    <t>BULDRA ENRIQUE RODOLFO</t>
  </si>
  <si>
    <t>DEPOR JEAN SA</t>
  </si>
  <si>
    <t>CRISOL DEPORTES DE GOTUSSO</t>
  </si>
  <si>
    <t>CENTRO DEPORTES SRL</t>
  </si>
  <si>
    <t>R A PERUGGINO S. A</t>
  </si>
  <si>
    <t>CEPEDA JUAN CARLOS</t>
  </si>
  <si>
    <t>SIAN SA</t>
  </si>
  <si>
    <t>PEREZ VICTORIA</t>
  </si>
  <si>
    <t>INDIGO VT. SA</t>
  </si>
  <si>
    <t>VON MUHLINEN SANTIAGO</t>
  </si>
  <si>
    <t>RANZANI A.J.C Y FOSSATTI C.A</t>
  </si>
  <si>
    <t>GIROLAMI EDUARDO S. Y  GUSTAVO M.</t>
  </si>
  <si>
    <t>GIROLAMI DEPORTES SRL</t>
  </si>
  <si>
    <t>ESSENTIAL SA</t>
  </si>
  <si>
    <t>AMI MUSIC S.A.</t>
  </si>
  <si>
    <t>TOP SPORT SA</t>
  </si>
  <si>
    <t>ISRAEL FELER SA.</t>
  </si>
  <si>
    <t>WILD SPORT S.A</t>
  </si>
  <si>
    <t>CAMARIÑAS S.A.</t>
  </si>
  <si>
    <t>VIMIANZO S.A</t>
  </si>
  <si>
    <t>ANNEX S.A</t>
  </si>
  <si>
    <t>FALABELLA SA</t>
  </si>
  <si>
    <t>OK SPORT S.R.L.</t>
  </si>
  <si>
    <t>SPORTS FAMILY S.A.</t>
  </si>
  <si>
    <t>LA CELADA S.A.</t>
  </si>
  <si>
    <t>COPPEL S.A</t>
  </si>
  <si>
    <t>NS3 INTERNET S.A</t>
  </si>
  <si>
    <t>MDQ LE SPORTS S.A.</t>
  </si>
  <si>
    <t>DABRA SA</t>
  </si>
  <si>
    <t>CARJUL SA</t>
  </si>
  <si>
    <t>TOYOS CASIMIRO FELIX E HIJOS SA</t>
  </si>
  <si>
    <t>SPORT´S LIFE SA</t>
  </si>
  <si>
    <t>ROSSI DEPORTES S.A</t>
  </si>
  <si>
    <t>STADIO UNO SA</t>
  </si>
  <si>
    <t>ERREA GRACIELA EMILSE</t>
  </si>
  <si>
    <t>ALVAREZ JORGE LUIS Y</t>
  </si>
  <si>
    <t>WINOGRAD DEPORTES SA</t>
  </si>
  <si>
    <t>ELMEAUDY SAMUEL ARMANDO y</t>
  </si>
  <si>
    <t>MORO RITA DELIA DE</t>
  </si>
  <si>
    <t>RICAGNO FABIAN EDGARDO</t>
  </si>
  <si>
    <t>BALORIANI HECTOR PEDRO</t>
  </si>
  <si>
    <t>BELLI OSVALDO HECTOR</t>
  </si>
  <si>
    <t>BARTOLOMEO Y APREDA SRL</t>
  </si>
  <si>
    <t>AMORIN GUSTAVO JOSE</t>
  </si>
  <si>
    <t>FIORELLA DEPORTES S.R.L.</t>
  </si>
  <si>
    <t>JANRO S.A.</t>
  </si>
  <si>
    <t>MARQUEZ MONICA</t>
  </si>
  <si>
    <t>MOIONI MARIANO</t>
  </si>
  <si>
    <t>SPORTISSIMO SRL</t>
  </si>
  <si>
    <t>MUÑOZ MARIA  BEATRIZ</t>
  </si>
  <si>
    <t>FERNANDEZ LAGES AGUSTIN</t>
  </si>
  <si>
    <t>CARO MARTINEZ LUIS</t>
  </si>
  <si>
    <t>DI GIACOMO MARIA INES DI GIACOMO</t>
  </si>
  <si>
    <t>JUAN FRANCO OLIVIERI E HIJOS SRL</t>
  </si>
  <si>
    <t>COPES SPORT SRL</t>
  </si>
  <si>
    <t>ARNEODO G.- ANGRISANI A S.R.L</t>
  </si>
  <si>
    <t>CASA MARIANA SRL</t>
  </si>
  <si>
    <t>BAREMBERG R D</t>
  </si>
  <si>
    <t>GUTRAICH SCA</t>
  </si>
  <si>
    <t>AMESTOY SANTIAGO</t>
  </si>
  <si>
    <t>BARRIO SPORT</t>
  </si>
  <si>
    <t>ESPA&amp;A DEPORTES S.R.L.</t>
  </si>
  <si>
    <t>HUMBERTO N LINARDELLI</t>
  </si>
  <si>
    <t>CASA PEPE SRL</t>
  </si>
  <si>
    <t>FILEPPO OSCAR Y OTROS</t>
  </si>
  <si>
    <t>BOTTA MIGUEL ANGEL R.</t>
  </si>
  <si>
    <t>RIVERO JULIO ROBERTO</t>
  </si>
  <si>
    <t>MAZZONI OSCAR N</t>
  </si>
  <si>
    <t>CASTELLANO OSCAR VICENTE</t>
  </si>
  <si>
    <t>MINNI GONZALEZ SOCIEDAD DE HECHO</t>
  </si>
  <si>
    <t>TESSER EDUARDO MANUEL</t>
  </si>
  <si>
    <t>RAZMILIC PATRICIA</t>
  </si>
  <si>
    <t>MANILA SRL</t>
  </si>
  <si>
    <t>TOTAL SPORT SRL</t>
  </si>
  <si>
    <t>TSONEKA S.R.L</t>
  </si>
  <si>
    <t>ROTT RAQUEL SUSANA</t>
  </si>
  <si>
    <t>OMAR SPORT S.R.L</t>
  </si>
  <si>
    <t>DORA MATILDE PUGLIESE</t>
  </si>
  <si>
    <t>POPPER S.A</t>
  </si>
  <si>
    <t>NUÑEZ CARLOS SEBASTIAN</t>
  </si>
  <si>
    <t>BRIOSSO DIEGO MIGUEL</t>
  </si>
  <si>
    <t>ARMANDO DEP DE BUSSI ARMANDO</t>
  </si>
  <si>
    <t>CUÑER RODOLFO R.</t>
  </si>
  <si>
    <t>COLTELLI MARTHA SUSANA</t>
  </si>
  <si>
    <t>ZOPPO ANGEL</t>
  </si>
  <si>
    <t>ELENA VINITZKY DE FERNANDEZ</t>
  </si>
  <si>
    <t>ARCURI FRANCISCA MASI</t>
  </si>
  <si>
    <t>CLASS DEPORTES S.R.L.</t>
  </si>
  <si>
    <t>ENRIQUE FERNANDO RENE</t>
  </si>
  <si>
    <t>VICTOR VOROBEY</t>
  </si>
  <si>
    <t>GIMENEZ JUAN CARLOS</t>
  </si>
  <si>
    <t>CORREA ANDREA F</t>
  </si>
  <si>
    <t>HISSURIBEHERE MARÍA A. CATALINA</t>
  </si>
  <si>
    <t>BRIOSSO NORBERTO FABIO</t>
  </si>
  <si>
    <t>CRASSI SRL</t>
  </si>
  <si>
    <t>RUBEN ERNESTO CIOLFI</t>
  </si>
  <si>
    <t>GARIGLIO ROBERTO RICARDO</t>
  </si>
  <si>
    <t>BERENGUER HERMANOS S.H.</t>
  </si>
  <si>
    <t>FOSCO GASTON, FOSCO ESTEBAN</t>
  </si>
  <si>
    <t>BARBETTA GRACIELA LILIANA</t>
  </si>
  <si>
    <t>ALL SPORT  SRL</t>
  </si>
  <si>
    <t>INDUMAX S.R.L</t>
  </si>
  <si>
    <t>KOVALSKY JULIO</t>
  </si>
  <si>
    <t>BIGI JUAN B.J.</t>
  </si>
  <si>
    <t>GIUGGIA A DI BERT G Y PARSI J</t>
  </si>
  <si>
    <t>BEZMALINOVIC JUAN JESUS</t>
  </si>
  <si>
    <t>VALERA SANDRA PATRICIA</t>
  </si>
  <si>
    <t>RODRIGUEZ FERNANDO M.</t>
  </si>
  <si>
    <t>RIESE FELIX RAÚL</t>
  </si>
  <si>
    <t>REALICO S.A.</t>
  </si>
  <si>
    <t>ZAPATA TOMAS RICARDO</t>
  </si>
  <si>
    <t>FERREYRA HORACIO VALENTIN</t>
  </si>
  <si>
    <t>CENTRO DEL DEPORTE SRL</t>
  </si>
  <si>
    <t>FISCH ROLON EMILIO ROBERTO</t>
  </si>
  <si>
    <t>GASPAR NADIR ADAIME</t>
  </si>
  <si>
    <t>BFOOT S.R.L</t>
  </si>
  <si>
    <t>BRAÑAS H</t>
  </si>
  <si>
    <t>RINALDI DE MICHELI MARIA</t>
  </si>
  <si>
    <t>BERNALLA RUBEN</t>
  </si>
  <si>
    <t>ARAMBLAS SRL</t>
  </si>
  <si>
    <t>MOLINELLI EDUARDO DANIEL</t>
  </si>
  <si>
    <t>RYMA S.A.</t>
  </si>
  <si>
    <t>AMALFI MARTIN HORACIO</t>
  </si>
  <si>
    <t>PEREYRA RICARDO ALBERTO</t>
  </si>
  <si>
    <t>BOLDRINI EDUARDO FERNANDEZ</t>
  </si>
  <si>
    <t>IRIGOYEN MARISA ELIZABET</t>
  </si>
  <si>
    <t>PARETO MARIA ROSA</t>
  </si>
  <si>
    <t>TANONI GABRIEL</t>
  </si>
  <si>
    <t>ALTAPARRO LUCAS MANUEL</t>
  </si>
  <si>
    <t>PALUZZI MARCELO</t>
  </si>
  <si>
    <t>VALSECCHI JUAN CRUZ</t>
  </si>
  <si>
    <t>URBANO SUR SA</t>
  </si>
  <si>
    <t>GALVANO LAURA VALERIA</t>
  </si>
  <si>
    <t>SLICE DEPORTES SH</t>
  </si>
  <si>
    <t>BOLOGNA GUSTAVO ADRIAN</t>
  </si>
  <si>
    <t>EYHERABIDE EDGARDO DANIEL</t>
  </si>
  <si>
    <t>FREILE ANDRES</t>
  </si>
  <si>
    <t>E. FAJARDO E HIJOS S.A.</t>
  </si>
  <si>
    <t>LA COMPAÑIA SA</t>
  </si>
  <si>
    <t>LA MADRILEÑA S.A.</t>
  </si>
  <si>
    <t>SPORTMANN SRL</t>
  </si>
  <si>
    <t>GEVIRTZMAN IGNACIO, LANNI CORINA</t>
  </si>
  <si>
    <t>MATEU SPORTS SCA</t>
  </si>
  <si>
    <t>LA MASCOTA SA</t>
  </si>
  <si>
    <t>CULPI MARIA LUISA</t>
  </si>
  <si>
    <t>CAPACCIONI ROBERTO</t>
  </si>
  <si>
    <t>GONZALEZ CARLOS ENRIQUE</t>
  </si>
  <si>
    <t>ZAMPAGLIONE JUAN C</t>
  </si>
  <si>
    <t>FERNANDEZ PEREZ LUIS</t>
  </si>
  <si>
    <t>TROPHY SPORT DE TEMOINKO ENRIQUE</t>
  </si>
  <si>
    <t>MARIO DANA SRL</t>
  </si>
  <si>
    <t>ROCA MARCELO ARIEL</t>
  </si>
  <si>
    <t>DEPORTES PRETI S.A.</t>
  </si>
  <si>
    <t>TANONI GUILLERMO CARLOS</t>
  </si>
  <si>
    <t>DEPORTES EL OBRERO SRL</t>
  </si>
  <si>
    <t>LOMERIDE S.A.</t>
  </si>
  <si>
    <t>RETRIVI RUBEN ALBERTO</t>
  </si>
  <si>
    <t>E.Z.LIFE SA</t>
  </si>
  <si>
    <t>FERREIRA SPORT SA</t>
  </si>
  <si>
    <t>MARJUSVALE S.A.</t>
  </si>
  <si>
    <t>GRUPO FERREIRA S.A.</t>
  </si>
  <si>
    <t>CINCO CABEZAS S.A</t>
  </si>
  <si>
    <t>BEST S.A</t>
  </si>
  <si>
    <t>ZAMPAGLIONE EZEQUIEL</t>
  </si>
  <si>
    <t>MACLAMON SRL</t>
  </si>
  <si>
    <t>SHARAZAD SRL</t>
  </si>
  <si>
    <t>CLERICO SRL</t>
  </si>
  <si>
    <t>CARAMELLINO GUSTAVO</t>
  </si>
  <si>
    <t>JOSE MASLUB S.R.L.</t>
  </si>
  <si>
    <t>RECICLADO S.A.</t>
  </si>
  <si>
    <t>ALMECIJA HECTOR</t>
  </si>
  <si>
    <t>WENGIER EDUARDO</t>
  </si>
  <si>
    <t>HIJOS DE JESUS BERBEL SH</t>
  </si>
  <si>
    <t>BASSI EDUARDO</t>
  </si>
  <si>
    <t>DARZE GABRIEL GUSTAVO</t>
  </si>
  <si>
    <t>CERVATO DE PASQUALI EMERITA</t>
  </si>
  <si>
    <t>GIARDINA MARTA ALICIA</t>
  </si>
  <si>
    <t>ROMANO CARLOS ARMANDO</t>
  </si>
  <si>
    <t>NACACH SION ANDRES</t>
  </si>
  <si>
    <t>MUSCI GABRIELA VERONICA</t>
  </si>
  <si>
    <t>BARBIERI MARTHA MARIA</t>
  </si>
  <si>
    <t>ALFONSO ROBERTO EDUARDO</t>
  </si>
  <si>
    <t>MARTINEZ ORLANDO JOSE</t>
  </si>
  <si>
    <t>LIVELLARA ARIEL GUSTAVO</t>
  </si>
  <si>
    <t>INDURI SA</t>
  </si>
  <si>
    <t>SORIANO GUILLERMO</t>
  </si>
  <si>
    <t>SATURNINO CABEZON SAICIF</t>
  </si>
  <si>
    <t>URBIZU CLAUDIA VIVIANA</t>
  </si>
  <si>
    <t>DALMARAN SA</t>
  </si>
  <si>
    <t>DIAZ ALEJANDRO JOSE</t>
  </si>
  <si>
    <t>JUAN JOSE BLANCO</t>
  </si>
  <si>
    <t>CENTRO  DEPORTES S.R.L</t>
  </si>
  <si>
    <t>CIMBA SA</t>
  </si>
  <si>
    <t>CALZADOS Y DEPORTES</t>
  </si>
  <si>
    <t>M Y S SRL</t>
  </si>
  <si>
    <t>PAPALEO NICOLAS</t>
  </si>
  <si>
    <t>HACHUMIAN J Y TEODOR</t>
  </si>
  <si>
    <t>UNGARETTI AJ Y SIG. A.A.</t>
  </si>
  <si>
    <t>GARCIA RAUL A.</t>
  </si>
  <si>
    <t>ABC DEPORTES S.A.</t>
  </si>
  <si>
    <t>MAGAZINE SPORT S.A.</t>
  </si>
  <si>
    <t>SAGATELIAN EDUARDO MIGUEL</t>
  </si>
  <si>
    <t>NIEVE SOL SA</t>
  </si>
  <si>
    <t>RIO SKY SA</t>
  </si>
  <si>
    <t>DE LUCA DAMIAN HECTOR</t>
  </si>
  <si>
    <t>MALDJIAN ALEJANDRO</t>
  </si>
  <si>
    <t>ALONSO NIEVES Y DE LUCA SILVINA</t>
  </si>
  <si>
    <t>GARCIA MARIELA</t>
  </si>
  <si>
    <t>DESOALMA S.A</t>
  </si>
  <si>
    <t>TDA SPORTS SRL</t>
  </si>
  <si>
    <t>RODRIGUEZ JORGE EDUARDO</t>
  </si>
  <si>
    <t>GARCIA MARIA HAYDEE</t>
  </si>
  <si>
    <t>VITALI SRL</t>
  </si>
  <si>
    <t>PICONE DAMIAN</t>
  </si>
  <si>
    <t>MAGNANO OMAR YVAN</t>
  </si>
  <si>
    <t>BECHARA JUAN CARLOS</t>
  </si>
  <si>
    <t>MALBERTI LUIS ALBERTO</t>
  </si>
  <si>
    <t>OROPEZA ELVIRA</t>
  </si>
  <si>
    <t>RUESCA DARIO FABIAN</t>
  </si>
  <si>
    <t>LOPEZ SUSANA GUADALUPE</t>
  </si>
  <si>
    <t>GROSS GLADYS DEL CARMEN</t>
  </si>
  <si>
    <t>PEREZ JAVIER FERNANDO</t>
  </si>
  <si>
    <t>GONZALEZ NOBS CINTIA PAOLA</t>
  </si>
  <si>
    <t>BERRINO NANCI CRISTINA</t>
  </si>
  <si>
    <t>FUNES MARIA, FARA LUIS, SH</t>
  </si>
  <si>
    <t>PAMPA SRL</t>
  </si>
  <si>
    <t>ERPEN OSCAR ALBERTO</t>
  </si>
  <si>
    <t>ALESANCO HERMANOS SA</t>
  </si>
  <si>
    <t>MORGADO FERNANDO ABEL</t>
  </si>
  <si>
    <t>JOSE LILIANA ELSA Y DELIA</t>
  </si>
  <si>
    <t>BERTOLINI MARIO JAVIER</t>
  </si>
  <si>
    <t>MINNUCCI ROBERTO D</t>
  </si>
  <si>
    <t>QUIROGA FRANCISCO ABEL</t>
  </si>
  <si>
    <t>PRIANO MARIA ISABEL</t>
  </si>
  <si>
    <t>SISTI ELINA</t>
  </si>
  <si>
    <t>PROCOPIO MARTIN GUSTAVO</t>
  </si>
  <si>
    <t>LOHIGORRY NICOLAS</t>
  </si>
  <si>
    <t>PERFA GROUP S.A.</t>
  </si>
  <si>
    <t>CASA SILVIA S.A</t>
  </si>
  <si>
    <t>NACCARATO OMAR NESTOR</t>
  </si>
  <si>
    <t>BISCHOF ANTONIO ALBERTO</t>
  </si>
  <si>
    <t>TALLES</t>
  </si>
  <si>
    <t>35 AL 40</t>
  </si>
  <si>
    <t>35 AL 46</t>
  </si>
  <si>
    <t>35 AL 45</t>
  </si>
  <si>
    <t>35 AL 44</t>
  </si>
  <si>
    <t>TIE BREAK III</t>
  </si>
  <si>
    <t>BLANCO / GRIS</t>
  </si>
  <si>
    <t>PVP</t>
  </si>
  <si>
    <t>DINOSAURIO S.A.</t>
  </si>
  <si>
    <t>CRISTOBAL COLON S.R.L.</t>
  </si>
  <si>
    <t>EL CORTIJANO S.A.</t>
  </si>
  <si>
    <t>DEPORTES ANTONIO BLANCO SA</t>
  </si>
  <si>
    <t>NICO DEPORTES S.R.L.</t>
  </si>
  <si>
    <t>TANONI GASTON</t>
  </si>
  <si>
    <t>FOLINI DANIEL MAURO</t>
  </si>
  <si>
    <t>FRABIDEL GROUP S.A</t>
  </si>
  <si>
    <t>TIENDA BUZALI SRL</t>
  </si>
  <si>
    <t>VILLALBA TERESITA RAMONA</t>
  </si>
  <si>
    <t>PINDAL SA</t>
  </si>
  <si>
    <t>CAVALLERO RUBEN OSCAR</t>
  </si>
  <si>
    <t>HARRIS IGNACIO ANDRES</t>
  </si>
  <si>
    <t>PODVERSICH MIGUEL Y ADELQUIS SH</t>
  </si>
  <si>
    <t>DELSUR DEPORTES</t>
  </si>
  <si>
    <t>FIVE SPORT SRL</t>
  </si>
  <si>
    <t>PUEBLO S.A</t>
  </si>
  <si>
    <t>ZARCAL S.A</t>
  </si>
  <si>
    <t>KREPIDOI S.A.</t>
  </si>
  <si>
    <t>A PLENO SOL</t>
  </si>
  <si>
    <t>ZOUTIN SRL</t>
  </si>
  <si>
    <t>ZAMPAGLIONE SH</t>
  </si>
  <si>
    <t>FACTORY SPORT SA</t>
  </si>
  <si>
    <t>CAMPUZANO HELEN DE LOS ANGELES</t>
  </si>
  <si>
    <t>COULLERY JAVIER</t>
  </si>
  <si>
    <t>COSANELLI ANIBAL SANTOS</t>
  </si>
  <si>
    <t>CABRAL JOSE ANTONIO</t>
  </si>
  <si>
    <t>MASBEL SRL</t>
  </si>
  <si>
    <t>ZONA DEPORTIVA S.R.L</t>
  </si>
  <si>
    <t>EL PUCARA SRL</t>
  </si>
  <si>
    <t>LANGSAM ENRIQUE BERNARDO</t>
  </si>
  <si>
    <t>PINCU SRL</t>
  </si>
  <si>
    <t>OSCAR BARBIERI S.A.</t>
  </si>
  <si>
    <t>PERLO ANALIA CARINA</t>
  </si>
  <si>
    <t>MUNI DEPOT S.R.L.</t>
  </si>
  <si>
    <t>ARIMA SPORT A.S.</t>
  </si>
  <si>
    <t>SAAD GISELA LORENA</t>
  </si>
  <si>
    <t>FRESCO FERNANDO GABRIEL</t>
  </si>
  <si>
    <t>CELIND DEPORTES S.R.L.</t>
  </si>
  <si>
    <t>IBARGUENGOITIA PABLO ANTONIO</t>
  </si>
  <si>
    <t>MANTOVANI CRISTIAN OSMAR</t>
  </si>
  <si>
    <t>RAUL ANTONIO RODRIGUEZ Y MAXIMILIAN</t>
  </si>
  <si>
    <t>MARTINEZ ROMAN PABLO ALBERTO</t>
  </si>
  <si>
    <t>GOMEZ AGUSTIN MANUEL</t>
  </si>
  <si>
    <t>HELSYS S.A.</t>
  </si>
  <si>
    <t>TOP 11 SPORTS S.R.L.</t>
  </si>
  <si>
    <t>INDUMENTARIA DEPORTIVA GEMA SA</t>
  </si>
  <si>
    <t>CASTRO GERMAN ALBERTO</t>
  </si>
  <si>
    <t>RUDIMY S.A.</t>
  </si>
  <si>
    <t>MIGUEL SAHADE E HIJOS S.A.</t>
  </si>
  <si>
    <t>CHIAUZZI MUÑIZ LISANDRO</t>
  </si>
  <si>
    <t>COMERCIAL FLORIDA S.R.L. EN FORMACI</t>
  </si>
  <si>
    <t>HACHE CUATRO SOCIEDAD RESPONSABILID</t>
  </si>
  <si>
    <t>DE LUCA PABLO VICENTE</t>
  </si>
  <si>
    <t>YUMA SOCIEDAD ANONIMA</t>
  </si>
  <si>
    <t>NUEVAS MUEBLERIAS AVENIDA S.A.</t>
  </si>
  <si>
    <t>GENERO</t>
  </si>
  <si>
    <t>P. LISTA</t>
  </si>
  <si>
    <t>MES LANZ</t>
  </si>
  <si>
    <t>MEDIDAS</t>
  </si>
  <si>
    <t>GEN</t>
  </si>
  <si>
    <t>CATEGORIA</t>
  </si>
  <si>
    <t>LINEA</t>
  </si>
  <si>
    <t>TENIS</t>
  </si>
  <si>
    <t>RUNNING</t>
  </si>
  <si>
    <t>FAST</t>
  </si>
  <si>
    <t>TRAINING</t>
  </si>
  <si>
    <t>FUTBOL</t>
  </si>
  <si>
    <t>F4F</t>
  </si>
  <si>
    <t>OUTDOOR</t>
  </si>
  <si>
    <t>CASUAL</t>
  </si>
  <si>
    <t>MAMBA</t>
  </si>
  <si>
    <t>KIDS</t>
  </si>
  <si>
    <t>BEBE</t>
  </si>
  <si>
    <t>BLANCO / ROSA / GRIS</t>
  </si>
  <si>
    <t>HOMBRE</t>
  </si>
  <si>
    <t>MUJER</t>
  </si>
  <si>
    <t>UNISEX</t>
  </si>
  <si>
    <t>Fact ($)</t>
  </si>
  <si>
    <t>Categoría</t>
  </si>
  <si>
    <t>Género</t>
  </si>
  <si>
    <t>Total general</t>
  </si>
  <si>
    <t>Total</t>
  </si>
  <si>
    <t>Ideal</t>
  </si>
  <si>
    <t>Pared</t>
  </si>
  <si>
    <t>pp</t>
  </si>
  <si>
    <t>Var</t>
  </si>
  <si>
    <t>BRAND DEPOT S.A</t>
  </si>
  <si>
    <t>CASTRO RAUL GUILLERMO</t>
  </si>
  <si>
    <t>ESTEBAN SANGIULIANO SA</t>
  </si>
  <si>
    <t>TANTERA ADEMAR Y PABLO</t>
  </si>
  <si>
    <t>TREPAR SRL</t>
  </si>
  <si>
    <t>VISION 101 SA</t>
  </si>
  <si>
    <t>L.M.C.A. SOCIEDAD COLECTIVA</t>
  </si>
  <si>
    <t>GRUPO GAMES S.R.L.</t>
  </si>
  <si>
    <t>AGUIRRE CARINA LUCIANA</t>
  </si>
  <si>
    <t>FORTALEZA EXTREMA S.A.</t>
  </si>
  <si>
    <t>DEPONORTE S.A.</t>
  </si>
  <si>
    <t>BUFE GABRIEL CESAR</t>
  </si>
  <si>
    <t>MALEJUAN S.A.</t>
  </si>
  <si>
    <t>UGARTEMENDIA ESTELA MARIS</t>
  </si>
  <si>
    <t>TASSONE SA</t>
  </si>
  <si>
    <t>ORLANDO JOSE RICARDO Y ORLANDO GUST</t>
  </si>
  <si>
    <t>SIEMPRE ES HOY SRL</t>
  </si>
  <si>
    <t>GRUPO D SRL</t>
  </si>
  <si>
    <t>SCALZO OSVALDO NESTOR</t>
  </si>
  <si>
    <t>REBALDERIA ALFREDO OMAR</t>
  </si>
  <si>
    <t>ZANARKAND S.R.L.</t>
  </si>
  <si>
    <t>4 TRECE</t>
  </si>
  <si>
    <t>DUILIO DEL GRECCO E HIJOS SRL</t>
  </si>
  <si>
    <t>CHALPA</t>
  </si>
  <si>
    <t>GONDOR II</t>
  </si>
  <si>
    <t>T.350 MESH</t>
  </si>
  <si>
    <t>SQUAT</t>
  </si>
  <si>
    <t>SAN CIRO V TF</t>
  </si>
  <si>
    <t>SAN CIRO V KIDS</t>
  </si>
  <si>
    <t>BLANCO / MARINO</t>
  </si>
  <si>
    <t>NEGRO / BLANCO</t>
  </si>
  <si>
    <t>Unisex</t>
  </si>
  <si>
    <t>Mujer</t>
  </si>
  <si>
    <t>Hombre</t>
  </si>
  <si>
    <t>Kids</t>
  </si>
  <si>
    <t>ANDRES FREILE S.A.</t>
  </si>
  <si>
    <t>DE GRUTTOLA J.D.,DE GRUTTOLA D.</t>
  </si>
  <si>
    <t>CREACIONES IDEAL S.A.S.</t>
  </si>
  <si>
    <t>ILMA S.A.</t>
  </si>
  <si>
    <t>ROD II</t>
  </si>
  <si>
    <t>SAN CIRO V FG</t>
  </si>
  <si>
    <t>SAN CIRO V IN</t>
  </si>
  <si>
    <t>EVER KIDS</t>
  </si>
  <si>
    <t>NEGRO MONOCROMO</t>
  </si>
  <si>
    <t>NEGRO/BLANCO</t>
  </si>
  <si>
    <t>BLANCO/MARINO ENSIGN</t>
  </si>
  <si>
    <t>NEGRO/ORQUIDEA DUSKY</t>
  </si>
  <si>
    <t>BASKET</t>
  </si>
  <si>
    <t>ALVARRACIN MARCOS FERNANDO</t>
  </si>
  <si>
    <t>Cant Art</t>
  </si>
  <si>
    <t>BLANCO / NEGRO</t>
  </si>
  <si>
    <t>STRONG PACE III</t>
  </si>
  <si>
    <t>X FORCER III</t>
  </si>
  <si>
    <t>GAME OVER III</t>
  </si>
  <si>
    <t>LAMBI KIDS</t>
  </si>
  <si>
    <t>NEGRO/LIMA SPRING</t>
  </si>
  <si>
    <t>CONT</t>
  </si>
  <si>
    <t>Bebe</t>
  </si>
  <si>
    <t>Casual</t>
  </si>
  <si>
    <t>Running Retro</t>
  </si>
  <si>
    <t>Tenis Retro</t>
  </si>
  <si>
    <t>Casual Deportivo</t>
  </si>
  <si>
    <t>Ugly</t>
  </si>
  <si>
    <t>AV</t>
  </si>
  <si>
    <t>AV - Clásicos</t>
  </si>
  <si>
    <t>Running</t>
  </si>
  <si>
    <t>Performance</t>
  </si>
  <si>
    <t>Training</t>
  </si>
  <si>
    <t>Tenis</t>
  </si>
  <si>
    <t>Action</t>
  </si>
  <si>
    <t>Off Court</t>
  </si>
  <si>
    <t>Futbol</t>
  </si>
  <si>
    <t>Silos</t>
  </si>
  <si>
    <t>Outdoor</t>
  </si>
  <si>
    <t>Basket</t>
  </si>
  <si>
    <t>ENERO</t>
  </si>
  <si>
    <t>FEBRERO</t>
  </si>
  <si>
    <t>MARZO</t>
  </si>
  <si>
    <t>ABRIL</t>
  </si>
  <si>
    <t>MAYO</t>
  </si>
  <si>
    <t>JUNIO</t>
  </si>
  <si>
    <t>ENE</t>
  </si>
  <si>
    <t>MAR</t>
  </si>
  <si>
    <t>ABR</t>
  </si>
  <si>
    <t>MAY</t>
  </si>
  <si>
    <t>JUN</t>
  </si>
  <si>
    <t>FEB</t>
  </si>
  <si>
    <t>RESUMEN</t>
  </si>
  <si>
    <t>MESES</t>
  </si>
  <si>
    <t>TERRE</t>
  </si>
  <si>
    <t>WIND IV</t>
  </si>
  <si>
    <t>LISS</t>
  </si>
  <si>
    <t>CORE</t>
  </si>
  <si>
    <t>TIE BREAK II KIDS</t>
  </si>
  <si>
    <t>SAN CIRO V FG KIDS</t>
  </si>
  <si>
    <t>GONDOR III KIDS</t>
  </si>
  <si>
    <t>BLANCO/ GRIS LUNAR</t>
  </si>
  <si>
    <t>NEGRO/ GRIS LUNAR</t>
  </si>
  <si>
    <t xml:space="preserve">BLANCO / NEGRO </t>
  </si>
  <si>
    <t>FIRST LABEL SRL</t>
  </si>
  <si>
    <t>GOMEZ MIGUEL ANGEL</t>
  </si>
  <si>
    <t>GLAM SPORT GROUP S.A.</t>
  </si>
  <si>
    <t>RODRIGUEZ DIEGO RAFAEL</t>
  </si>
  <si>
    <t>GONZALEZ MARTIN GASTON</t>
  </si>
  <si>
    <t>QUIDEL E HIJOS SRL</t>
  </si>
  <si>
    <t>SURCALA SRL</t>
  </si>
  <si>
    <t>NISANTASI SRL</t>
  </si>
  <si>
    <t>FELIPILLO S.A.</t>
  </si>
  <si>
    <t>VISCONTI DAMIAN MARCELO</t>
  </si>
  <si>
    <t>PUGA MARTINA</t>
  </si>
  <si>
    <t>CAPECE SILVIA JOSEFINA</t>
  </si>
  <si>
    <t>25 AL 34</t>
  </si>
  <si>
    <t>27 AL 34</t>
  </si>
  <si>
    <t>20 AL 24</t>
  </si>
  <si>
    <t>CANT. MODELOS FOCO</t>
  </si>
  <si>
    <t>MODELOS FOCO</t>
  </si>
  <si>
    <t>Compro</t>
  </si>
  <si>
    <t>SI/NO</t>
  </si>
  <si>
    <t>Modelos</t>
  </si>
  <si>
    <t>SPLIT</t>
  </si>
  <si>
    <t>RACK</t>
  </si>
  <si>
    <t>T.350 MESH KIDS</t>
  </si>
  <si>
    <t>ZURICH III KIDS</t>
  </si>
  <si>
    <t>ROD II KIDS</t>
  </si>
  <si>
    <t>BLANCO/ GRIS/ NEGRO</t>
  </si>
  <si>
    <t>BLANCO / AZUL / CORAL FIERY</t>
  </si>
  <si>
    <t>BANGLE</t>
  </si>
  <si>
    <t>TYLER II</t>
  </si>
  <si>
    <t>SQUAT II</t>
  </si>
  <si>
    <t>GROVE</t>
  </si>
  <si>
    <t>FLIGHT</t>
  </si>
  <si>
    <t>EVER 2.0 KIDS</t>
  </si>
  <si>
    <t>TYLER II KIDS</t>
  </si>
  <si>
    <t>ZURICH III BEBE</t>
  </si>
  <si>
    <t>NEGRO/GRIS</t>
  </si>
  <si>
    <t>NEGRO/GRIS MAGNET</t>
  </si>
  <si>
    <t>BEIGE HUMMUS/NEGRO</t>
  </si>
  <si>
    <t>OLIVA NIGHT</t>
  </si>
  <si>
    <t>BLANCO / FUCSIA</t>
  </si>
  <si>
    <t>PEACH SHELL</t>
  </si>
  <si>
    <t>MIX CALZADO</t>
  </si>
  <si>
    <t>Share Mix Vol</t>
  </si>
  <si>
    <t>Desvío</t>
  </si>
  <si>
    <t>Adulto</t>
  </si>
  <si>
    <t>Running/Training</t>
  </si>
  <si>
    <t>*Multideporte</t>
  </si>
  <si>
    <t>*Incluye  Fútbol (10%), Tenis (11%), Outdoor(4%), Basquet (3%)</t>
  </si>
  <si>
    <t>+/- 3%</t>
  </si>
  <si>
    <t>MIX CALZ</t>
  </si>
  <si>
    <t>RUN/TRA</t>
  </si>
  <si>
    <t>MULTI</t>
  </si>
  <si>
    <t>%</t>
  </si>
  <si>
    <t>COMPRA</t>
  </si>
  <si>
    <t>UN</t>
  </si>
  <si>
    <t>Simulador</t>
  </si>
  <si>
    <t>Poner unidades a comprar</t>
  </si>
  <si>
    <t>OCTUBRE</t>
  </si>
  <si>
    <t>JULIO</t>
  </si>
  <si>
    <t>SEPTIEMBRE</t>
  </si>
  <si>
    <t>GRIS MAGNET/ROSA POT</t>
  </si>
  <si>
    <t>AGOSTO</t>
  </si>
  <si>
    <t>DRIVE 2</t>
  </si>
  <si>
    <t>NEGRO/GRIS VANE</t>
  </si>
  <si>
    <t>BLANCO/NEGRO</t>
  </si>
  <si>
    <t>NEGRO/DORADO</t>
  </si>
  <si>
    <t>ARAKA MID</t>
  </si>
  <si>
    <t>ARAKA LOW</t>
  </si>
  <si>
    <t>TERRANO II</t>
  </si>
  <si>
    <t>SQUAT II KIDS</t>
  </si>
  <si>
    <t>GRIS MICRO / CRUDO WOLF / NEGRO</t>
  </si>
  <si>
    <t>X FORCER KIDS VELCRO</t>
  </si>
  <si>
    <t>GRAF KIDS</t>
  </si>
  <si>
    <t>AKRON 2MIL KIDS</t>
  </si>
  <si>
    <t>NOVIEMBRE</t>
  </si>
  <si>
    <t>DICIEMBRE</t>
  </si>
  <si>
    <t>ESSENTIAL S.A.</t>
  </si>
  <si>
    <t>DIALOG S.A.</t>
  </si>
  <si>
    <t>DIGNANI GUIDO</t>
  </si>
  <si>
    <t>CARLOS ROSSETTI S.A.</t>
  </si>
  <si>
    <t>PEREIRA SACO JOSE</t>
  </si>
  <si>
    <t>RAMOS M.E.BECHARA DE</t>
  </si>
  <si>
    <t>L.F.TIENDA &amp; DEPORTES S.A.</t>
  </si>
  <si>
    <t>D.M. SPORTS S.R.L.</t>
  </si>
  <si>
    <t>MARQUES DOS SANTOS OSCAR HUMBERTO</t>
  </si>
  <si>
    <t>CALSUR S.R.L.</t>
  </si>
  <si>
    <t>VALARINO VIVIANA</t>
  </si>
  <si>
    <t>MOCA S.R.L.</t>
  </si>
  <si>
    <t>TREKSPORT S. R. L.</t>
  </si>
  <si>
    <t>KALALEJA S.R.L.</t>
  </si>
  <si>
    <t>AGGERO S.A.S.</t>
  </si>
  <si>
    <t>REVOLVER SRL</t>
  </si>
  <si>
    <t>LIMITE DEPORTES S.R.L.</t>
  </si>
  <si>
    <t>MARCANTONI FERNANDO ADRIAN</t>
  </si>
  <si>
    <t>KZS S.A.S.</t>
  </si>
  <si>
    <t>MILCIEN S.A.</t>
  </si>
  <si>
    <t>IGARRETA JOSE LUIS</t>
  </si>
  <si>
    <t>M DEPORTES Y CALZADOS S.A.S.U.</t>
  </si>
  <si>
    <t>ARDION S.A.</t>
  </si>
  <si>
    <t>ARIAS OSVALDO ALEJANDRO</t>
  </si>
  <si>
    <t>ORELLANA BERTA.</t>
  </si>
  <si>
    <t>HERRERA ARTERO CRISTIAN RAFAEL</t>
  </si>
  <si>
    <t>LUSOF SRL</t>
  </si>
  <si>
    <t>LANZAMIENTO</t>
  </si>
  <si>
    <t>GRIS CHIP/LILA LAV</t>
  </si>
  <si>
    <t>NEGRO/VIOLETA IMPERIAL</t>
  </si>
  <si>
    <t>RUNNING+TRAINING</t>
  </si>
  <si>
    <t>MULTIDEPORTE</t>
  </si>
  <si>
    <t>CUARTOS</t>
  </si>
  <si>
    <t>NORMA NOEMÍ PEÑA</t>
  </si>
  <si>
    <t>MAYTE URBAN S. A.</t>
  </si>
  <si>
    <t>HUCULAK LORENA TAMARA</t>
  </si>
  <si>
    <t>ALTA MONTAÑA SRL</t>
  </si>
  <si>
    <t>FAST 2.0</t>
  </si>
  <si>
    <t>WIND 5</t>
  </si>
  <si>
    <t>STANCE 3</t>
  </si>
  <si>
    <t>FIRST WAVE</t>
  </si>
  <si>
    <t>GROVE HIGH</t>
  </si>
  <si>
    <t>AKRON 2MIL</t>
  </si>
  <si>
    <t>ROCKET</t>
  </si>
  <si>
    <t>VIGO</t>
  </si>
  <si>
    <t>CAMPAZ</t>
  </si>
  <si>
    <t>QUEBEC</t>
  </si>
  <si>
    <t>SENDAI</t>
  </si>
  <si>
    <t>SAN CIRO V TF KIDS</t>
  </si>
  <si>
    <t>ITEN KIDS</t>
  </si>
  <si>
    <t>BABY X FORCER VELCRO</t>
  </si>
  <si>
    <t>KORS KIDS</t>
  </si>
  <si>
    <t>TERRE MID KIDS</t>
  </si>
  <si>
    <t>NOVA LOW KIDS</t>
  </si>
  <si>
    <t>VIGO KIDS</t>
  </si>
  <si>
    <t>NEGRO/GRIS MAGNET/BLANCO</t>
  </si>
  <si>
    <t>NEGRO/GRIS SKY</t>
  </si>
  <si>
    <t>BLANCO/ROSA</t>
  </si>
  <si>
    <t>BCO/GRIS/AZUL</t>
  </si>
  <si>
    <t>NEGRO/GRIS/NARANJA</t>
  </si>
  <si>
    <t>BCO/AZUL/ROJO</t>
  </si>
  <si>
    <t>BLANCO/AZUL</t>
  </si>
  <si>
    <t>BLANCO/AZUL/PLATA</t>
  </si>
  <si>
    <t>BLANCO/GRIS/NEGRO</t>
  </si>
  <si>
    <t xml:space="preserve">NEGRO </t>
  </si>
  <si>
    <t>PLATEADO</t>
  </si>
  <si>
    <t>BEIGE BIRCH</t>
  </si>
  <si>
    <t>MORN/ETHEREA</t>
  </si>
  <si>
    <t>GRIS MAGNET/NEGRO/ROSA PEAC</t>
  </si>
  <si>
    <t>LILAC SNOW / VIOLETA BOR</t>
  </si>
  <si>
    <t>NEGRO / VERDE WAVE</t>
  </si>
  <si>
    <t xml:space="preserve">GRIS MICRO / BEIGE BIRCH </t>
  </si>
  <si>
    <t>NEGRO / GRIS MICRO / GRIS PLATA</t>
  </si>
  <si>
    <t>34 AL 46</t>
  </si>
  <si>
    <t>Indoor</t>
  </si>
  <si>
    <t>Skateboarding</t>
  </si>
  <si>
    <t>Running+Training</t>
  </si>
  <si>
    <t>Multideporte</t>
  </si>
  <si>
    <t>Gen. Unif</t>
  </si>
  <si>
    <t>Modelo</t>
  </si>
  <si>
    <t>VOL</t>
  </si>
  <si>
    <t>FOCO</t>
  </si>
  <si>
    <t>SPORTIVE SAS</t>
  </si>
  <si>
    <t>STELLA MARIS GIARDINI</t>
  </si>
  <si>
    <t>RA87 S.R.L.</t>
  </si>
  <si>
    <t>BRATZ CARLOS ALBERTO</t>
  </si>
  <si>
    <t>NEBULA</t>
  </si>
  <si>
    <t>GRIS MAGNET/GRIS SKY/VERDE GECKO</t>
  </si>
  <si>
    <t>NEGRO/BEIGE ALESAN/NARANJA DUSTY</t>
  </si>
  <si>
    <t>CELESTE STONE/LIMA ACID/BEIGE CLOUD</t>
  </si>
  <si>
    <t>ROSA MORN/ROSA PERS/NEGRO</t>
  </si>
  <si>
    <t>AZUL PAG/BLANCO</t>
  </si>
  <si>
    <t>NEGRO/CORAL FIERY/GRIS MAGNET</t>
  </si>
  <si>
    <t>BLANCO/AZUL CUR/NEGRO</t>
  </si>
  <si>
    <t>ROSA CHALK/ROSA ICING/NEGRO</t>
  </si>
  <si>
    <t>CRUDO TOFU/NEGRO</t>
  </si>
  <si>
    <t>HERA</t>
  </si>
  <si>
    <t>BEIGE BIRCH/CORAL FIERY</t>
  </si>
  <si>
    <t>LILA ORCHID/VIOLETA CHINE</t>
  </si>
  <si>
    <t>ROSA HUSH/ROSA SHAPE</t>
  </si>
  <si>
    <t>AZUL TEAL/NARANJA TIUM</t>
  </si>
  <si>
    <t>CORE MESH</t>
  </si>
  <si>
    <t>GRIS MOSS/GRIS PLUM</t>
  </si>
  <si>
    <t>GRIS GATE/ROSA HEAV</t>
  </si>
  <si>
    <t>ROSA HUSH/GRAPE SHAPE</t>
  </si>
  <si>
    <t>AZUL LEGION/AZUL CUR/VERDE CASTLE</t>
  </si>
  <si>
    <t>BLANCO/LADRILLO</t>
  </si>
  <si>
    <t>KAISER 4 FG</t>
  </si>
  <si>
    <t>VERDE KTOO/AZUL DEP/LIMA ACID</t>
  </si>
  <si>
    <t>AMARILLO TONIC/NEGRO</t>
  </si>
  <si>
    <t>KAISER 4 TF</t>
  </si>
  <si>
    <t>GRIS FLINT/GRIS LUGA/GRIS ANTA</t>
  </si>
  <si>
    <t>NEGRO/HUESO LILY/CARAMEL</t>
  </si>
  <si>
    <t>ROJO PUREE/LIMA ACID/NEGRO</t>
  </si>
  <si>
    <t>BEIGE TOFU/ROJO EARTH</t>
  </si>
  <si>
    <t>GRIS ROUS/GRIS ANTAR</t>
  </si>
  <si>
    <t>GRIS CITY/BEIGE BUFF</t>
  </si>
  <si>
    <t>NEGRO/CARAMELO</t>
  </si>
  <si>
    <t>GRIS ANTAR/PLATEADO CLARO</t>
  </si>
  <si>
    <t>VALLARTA</t>
  </si>
  <si>
    <t>BLANCO/GRIS CHIP/PLATA</t>
  </si>
  <si>
    <t>GRIS ANTAR/NEGRO/PLATA</t>
  </si>
  <si>
    <t>OLIVA SAGE/GRIS CITY/GRIS PEARL</t>
  </si>
  <si>
    <t>VANTE</t>
  </si>
  <si>
    <t>NEGRO/BEIGE BIRCH</t>
  </si>
  <si>
    <t>AZUL TITAN/BEIGE BIRCH</t>
  </si>
  <si>
    <t>VERDE LAUREL/BEIGE BIRCH</t>
  </si>
  <si>
    <t>BEIGE BIRCH/NEGRO/AMARILLO ORO</t>
  </si>
  <si>
    <t>T-850</t>
  </si>
  <si>
    <t>AZUL HORIZON/AZUL INGLÉS/GRIS ANTAR</t>
  </si>
  <si>
    <t>SOFTRUN 026</t>
  </si>
  <si>
    <t>GRIS LUNAR/PLATA/GRIS CITY</t>
  </si>
  <si>
    <t>CRUDO TOFU/GRIS CITY/NEGRO</t>
  </si>
  <si>
    <t>CRUDO TOFU/ROJO EARTH</t>
  </si>
  <si>
    <t>T-450 CS</t>
  </si>
  <si>
    <t>BEIGE CAP</t>
  </si>
  <si>
    <t>NEGRO/GRIS FORM</t>
  </si>
  <si>
    <t>BEIGE TOFU/PETROLEO DEEP</t>
  </si>
  <si>
    <t>BLANCO/ROSA LIGHT</t>
  </si>
  <si>
    <t>TERRE PRINT PLATAFORMA 2</t>
  </si>
  <si>
    <t>BEIGE CAP/BLANCO/CARAMELO</t>
  </si>
  <si>
    <t>CAPITÁN TT</t>
  </si>
  <si>
    <t>SEGOVIA</t>
  </si>
  <si>
    <t>GRIS CITY/GRIS MAGNET/NARANJA JAFFA</t>
  </si>
  <si>
    <t>OLIVA OSCURO/OLIVA MOSS</t>
  </si>
  <si>
    <t>MONCLOVA</t>
  </si>
  <si>
    <t>GRIS ROUS/GRIS CITY/PETROLEO DEEP</t>
  </si>
  <si>
    <t xml:space="preserve">GRIS ANTAR / GRIS CITY </t>
  </si>
  <si>
    <t>GRIS LUNAR / ROSA SUGAR / AMARILLO DROP</t>
  </si>
  <si>
    <t>BLANCO / AZUL CUR / NEGRO</t>
  </si>
  <si>
    <t>ROSA SALT / ROSA LIGHT / NEGRO</t>
  </si>
  <si>
    <t>WIND IV MESH KIDS</t>
  </si>
  <si>
    <t xml:space="preserve">GRIS / NEGRO </t>
  </si>
  <si>
    <t xml:space="preserve">ROSA / NEGRO </t>
  </si>
  <si>
    <t>STINGRAY III MACH 1 KIDS TF</t>
  </si>
  <si>
    <t>CELESTE BACH / NEGRO / CORAL FIERY</t>
  </si>
  <si>
    <t>VERDE HAR / VIOLETA ROYAL</t>
  </si>
  <si>
    <t>ROSA FAIT / ROSA CAMELLIA / NEGRO</t>
  </si>
  <si>
    <t>HALLPA TREK KIDS</t>
  </si>
  <si>
    <t>GRIS CITY / NEGRO / GRIS ANTAR</t>
  </si>
  <si>
    <t>AZUL RIBB / AZUL IMPERIAL / NEGRO</t>
  </si>
  <si>
    <t>NEGRO /GRIS CITY / VERDE EMER</t>
  </si>
  <si>
    <t>ROSA SALT / ROSA NOPSIS / GRIS CITY</t>
  </si>
  <si>
    <t>MONCLOVA KIDS</t>
  </si>
  <si>
    <t>BEIGE BRULEE / PETROLEO DEEP</t>
  </si>
  <si>
    <t>BLANCO / ROSA SALT / NEGRO</t>
  </si>
  <si>
    <t>T450 CS KIDS</t>
  </si>
  <si>
    <t>NEGRO / GRIS CITY</t>
  </si>
  <si>
    <t>BLANCO / GRIS CITY</t>
  </si>
  <si>
    <t>PROF. NIÑOS</t>
  </si>
  <si>
    <t>VIGO BEBE</t>
  </si>
  <si>
    <t>PROF. BEBE</t>
  </si>
  <si>
    <t>BORDO WINE, FUCSIA DIVA</t>
  </si>
  <si>
    <t>CALZADO - Resumen Enero / Junio 2026</t>
  </si>
  <si>
    <t>NOTA DE PEDIDO - 1° SEMESTRE 2026 (Enero - Junio)</t>
  </si>
  <si>
    <t>FASKET</t>
  </si>
  <si>
    <t>GRIS WILLOW/VERDE PATINA</t>
  </si>
  <si>
    <t>COURTKING</t>
  </si>
  <si>
    <t>BLANCO/NEGRO/AZUL LAPIS</t>
  </si>
  <si>
    <t>ASPHALT 2</t>
  </si>
  <si>
    <t>GRIS LUNAR/AMARILLO SAFE</t>
  </si>
  <si>
    <t>ROSA GRAY/AMARILLO RUTA</t>
  </si>
  <si>
    <t>AZUL LAPIS/NEGRO/BLANCO</t>
  </si>
  <si>
    <t>NATURAL CAP/CRUDO TOFU/ROJO SWEET</t>
  </si>
  <si>
    <t>GRIS LUNAR/ROJO SWEET/NEGRO</t>
  </si>
  <si>
    <t>KALYAN</t>
  </si>
  <si>
    <t>GRIS CITY/AMARILLO SAFE</t>
  </si>
  <si>
    <t>VIOLETA HUCKLE/ROSA GRAY</t>
  </si>
  <si>
    <t>NEGRO/FUCSIA DIVA</t>
  </si>
  <si>
    <t>ROSA DAMSON/VIOLETA HUCKLE/BEIGE ANTIQUE</t>
  </si>
  <si>
    <t>BLANCO/MARINO NAVAL/AZUL LAPIS</t>
  </si>
  <si>
    <t>ROSA STOOL/VIOLETA HUCKLE</t>
  </si>
  <si>
    <t>AZUL POND/CELESTE SKY/DIVA PINK</t>
  </si>
  <si>
    <t>GRIS BAR/BEIGE RUT/VERDE LIGHT</t>
  </si>
  <si>
    <t>STRONG PACE 4</t>
  </si>
  <si>
    <t>GRIS LUNAR/VERDE MEDI</t>
  </si>
  <si>
    <t>GRIS PE/ROSA PEONY</t>
  </si>
  <si>
    <t>STRONG PACE 4 CS</t>
  </si>
  <si>
    <t>NEGRO/GRIS CITY/BLANCO</t>
  </si>
  <si>
    <t>AZUL OCEANA/NEGRO/BLANCO</t>
  </si>
  <si>
    <t>GRIS CITY/GRIS PE/FUCSIA DIVA</t>
  </si>
  <si>
    <t>GUREUM</t>
  </si>
  <si>
    <t>NEGRO/GRIS CITY</t>
  </si>
  <si>
    <t>AZUL WAND/AZUL INDIGO</t>
  </si>
  <si>
    <t>SUPERSHOT</t>
  </si>
  <si>
    <t>AZUL INDIGO/AZUL WAND/ROJO CORAL</t>
  </si>
  <si>
    <t>ROJO CORAL/SALMON</t>
  </si>
  <si>
    <t>POACH</t>
  </si>
  <si>
    <t>BLANCO/VERDE MEDI</t>
  </si>
  <si>
    <t>BLANCO/NATURAL CAP/ROSA GRAY</t>
  </si>
  <si>
    <t>OUTFLEX</t>
  </si>
  <si>
    <t>BORDO FIG/AZUL FUSION/GRIS MAGNET</t>
  </si>
  <si>
    <t>CRUDO TOFU/BEIGE OYSTER/SALMON</t>
  </si>
  <si>
    <t>TARSH</t>
  </si>
  <si>
    <t>GRIS CITY/NEGRO/BEIGE ANTIQUE</t>
  </si>
  <si>
    <t>SMOKE GRAY/PAGEANT BLUE/DAFFODIL</t>
  </si>
  <si>
    <t>ALBA</t>
  </si>
  <si>
    <t>ROSA TAUPE/NATURAL CAP</t>
  </si>
  <si>
    <t>BLANCO/DORADO</t>
  </si>
  <si>
    <t>BLANCO/GRIS LUNAR/VERDE MEDI</t>
  </si>
  <si>
    <t>CRUDO TOFU/ROSA STOOL</t>
  </si>
  <si>
    <t>Básquet Retro</t>
  </si>
  <si>
    <t>UMPIRE</t>
  </si>
  <si>
    <t>GRIS CITY/GRIS PE</t>
  </si>
  <si>
    <t>BURGOS TG</t>
  </si>
  <si>
    <t>GRAFITO/NATURAL CAP</t>
  </si>
  <si>
    <t>FEINT</t>
  </si>
  <si>
    <t>CRUDO TOFU/GRIS CITY</t>
  </si>
  <si>
    <t>BLANCO/GRIS LUNAR/NEGRO</t>
  </si>
  <si>
    <t>Running Retro + Sportstyle</t>
  </si>
  <si>
    <t>SENY</t>
  </si>
  <si>
    <t>GRIS CITY/GRIS LUNAR/GRIS PE</t>
  </si>
  <si>
    <t>35 al 46</t>
  </si>
  <si>
    <t>NATURAL CAP/MARRON CURRY</t>
  </si>
  <si>
    <t>ROSA BROWN/NATURAL CAP</t>
  </si>
  <si>
    <t>35 al 40</t>
  </si>
  <si>
    <t>GRIS LUNAR/GRIS CITY/GRIS PE</t>
  </si>
  <si>
    <t>NATURAL CAP/ROSA TAUPE/VIOLETA HUCKLE</t>
  </si>
  <si>
    <t>LEROI</t>
  </si>
  <si>
    <t>NEGRO/CRUDO TOFU</t>
  </si>
  <si>
    <t>MARRÓN PECAN/NATURAL CAP</t>
  </si>
  <si>
    <t>BLANCO/BLANCO ONIX/PLATA</t>
  </si>
  <si>
    <t>T-450 Tafeta</t>
  </si>
  <si>
    <t>AZUL OCEANA/GRIS LUNAR</t>
  </si>
  <si>
    <t>GRIS MAGNET/GRIS ROUS/ROSA NOPSIS</t>
  </si>
  <si>
    <t>Fútbol Retro</t>
  </si>
  <si>
    <t>MAP KIDS</t>
  </si>
  <si>
    <t>25 AL 37</t>
  </si>
  <si>
    <t>BLANCO / MARINO NAVAL</t>
  </si>
  <si>
    <t xml:space="preserve">BLANCO / ROSA SACHET </t>
  </si>
  <si>
    <t>ROSA GRAY / ROSA STOOL</t>
  </si>
  <si>
    <t>BLANCO/MARINO</t>
  </si>
  <si>
    <t>BLANCO/FUCSIA</t>
  </si>
  <si>
    <t>ANGLE KIDS</t>
  </si>
  <si>
    <t>AZUL WAND / GRIS TURB</t>
  </si>
  <si>
    <t>ROSA SHAW / ROJO SWEET</t>
  </si>
  <si>
    <t>T450 MESH KIDS</t>
  </si>
  <si>
    <t>AZUL TITAN / CRUDO TOFU</t>
  </si>
  <si>
    <t>ROSA SHADOW / GRIS CITY</t>
  </si>
  <si>
    <t>VERDE INGLES / CRUDO TOFU</t>
  </si>
  <si>
    <t>ASTON KIDS</t>
  </si>
  <si>
    <t>AZUL WAND / GRIS TURB / CRUDO TOFU</t>
  </si>
  <si>
    <t>LILA GRAY / LILA STOOL / CRUDO TOFU</t>
  </si>
  <si>
    <t>BLANCO / ROSA PEONY / VERDE MILK</t>
  </si>
  <si>
    <t>QUARTER CS KIDS</t>
  </si>
  <si>
    <t>27 AL 37</t>
  </si>
  <si>
    <t>BLANCO / ROSA STOOL</t>
  </si>
  <si>
    <t>SEGOVIA KIDS</t>
  </si>
  <si>
    <t>BLANCO/ MARINO</t>
  </si>
  <si>
    <t>CRUDO TOFU / ROSA SHAW / GLITTER</t>
  </si>
  <si>
    <t>POLARIS KIDS</t>
  </si>
  <si>
    <t>NEGRO / CARAMELO</t>
  </si>
  <si>
    <t>BLANCO / GRIS / CARAMELO</t>
  </si>
  <si>
    <t>MEN´S  S. A.</t>
  </si>
  <si>
    <t>AMERICAN SOUTH S.A.</t>
  </si>
  <si>
    <t>GENERICO- E- COMMERCE</t>
  </si>
  <si>
    <t>GENERICO</t>
  </si>
  <si>
    <t>MONTI ALBERTO</t>
  </si>
  <si>
    <t>CALZADOS LOS GALLEGOS S.A.</t>
  </si>
  <si>
    <t>CALZADOS LOS GALLEGOS   SRL</t>
  </si>
  <si>
    <t>ALVAREZ JORGE LUIS Y    ALVAREZ NOR</t>
  </si>
  <si>
    <t>BENITEZ JOSE MARIA E HIJOS S.A.</t>
  </si>
  <si>
    <t>BENITEZ JOSE MARIA SH</t>
  </si>
  <si>
    <t>SALUM P CLAUDIA ARDUH DE</t>
  </si>
  <si>
    <t>SALUM P CLAUDIO</t>
  </si>
  <si>
    <t>LOS PIRINEOS SRL</t>
  </si>
  <si>
    <t>ALPALINE S.A. - (MZA)</t>
  </si>
  <si>
    <t>TOPPER IMAGEN - MENDOZA</t>
  </si>
  <si>
    <t>ALPALINE S.A. (DISCONTINUOS  CUD)</t>
  </si>
  <si>
    <t>ALPALINE S.A. (AV. SANTA FE)</t>
  </si>
  <si>
    <t>ALPALINE S.A. - (DEP.CENTRAL)</t>
  </si>
  <si>
    <t>ALPALINE SA.</t>
  </si>
  <si>
    <t>TOPPER SA.</t>
  </si>
  <si>
    <t>TOPPER S.A.</t>
  </si>
  <si>
    <t>TOPPER S.A. (MERCADO LIBRE)</t>
  </si>
  <si>
    <t>TOPPER S.A. (Outlet Godoy Cruz)</t>
  </si>
  <si>
    <t>TOPPER S.A. (Moreno)</t>
  </si>
  <si>
    <t>TOPPER S.A. (Outlet San Luis)</t>
  </si>
  <si>
    <t>TOPPER S.A. (Villa Mercedes)</t>
  </si>
  <si>
    <t>TOPPER S.A. (Outlet Lomas)</t>
  </si>
  <si>
    <t>TOPPER S.A. (R001 e-Comm)</t>
  </si>
  <si>
    <t>TOPPER S.A. (Outlet La Plata)</t>
  </si>
  <si>
    <t>TOPPER S.A. (Outlet Barracas)</t>
  </si>
  <si>
    <t>TOPPER S.A. (Outlet Catamarca)</t>
  </si>
  <si>
    <t>TOPPER S.A. (Outlet Sta. Rosa)</t>
  </si>
  <si>
    <t>TOPPER S.A. (Outlet F.Varela)</t>
  </si>
  <si>
    <t>TOPPER S.A. (Outlet Moron)</t>
  </si>
  <si>
    <t>TOPPER S.A.  (O. Cruce Varela)</t>
  </si>
  <si>
    <t>TOPPER S.A. (Outlet M.Grande)</t>
  </si>
  <si>
    <t>TOPPER S.A.  (Topper Cordoba)</t>
  </si>
  <si>
    <t>TOPPER S.A. (Topper Rosario)</t>
  </si>
  <si>
    <t>TOPPER S.A. (Topper Jujuy)</t>
  </si>
  <si>
    <t>TOPPER S.A. (Outlet Tucuman)</t>
  </si>
  <si>
    <t>TOPPER S.A. (Topper San Luis)</t>
  </si>
  <si>
    <t>TOPPER S.A. (Eventos)</t>
  </si>
  <si>
    <t>TOPPER S.A.  (Topper Mendoza)</t>
  </si>
  <si>
    <t>TOPPER S.A.  EVENTOS</t>
  </si>
  <si>
    <t>TOPPER S.A.  (Topper Unicenter)</t>
  </si>
  <si>
    <t>TOPPER S.A. (Topper Abasto)</t>
  </si>
  <si>
    <t>TOPPER S.A. (Deposito R000)</t>
  </si>
  <si>
    <t>TOPPER S.A. (e-commerce)</t>
  </si>
  <si>
    <t>TOPPER S.A. (Topper Flores)</t>
  </si>
  <si>
    <t>TOPPER S.A. (Outlet Bariloche)</t>
  </si>
  <si>
    <t>TOPPER S.A. CUD</t>
  </si>
  <si>
    <t>TOPPER S.A. (Topper Salta)</t>
  </si>
  <si>
    <t>LIBERTAD S.A</t>
  </si>
  <si>
    <t>LIBERTAD SA</t>
  </si>
  <si>
    <t>FALABELLA SA -  CD</t>
  </si>
  <si>
    <t>FALABELLA  - CD - DVD</t>
  </si>
  <si>
    <t>FALABELLA SA - (UNICENTER)</t>
  </si>
  <si>
    <t>FALABELLA SA - CORDOBA</t>
  </si>
  <si>
    <t>FALABELLA SA - (ROSARIO)</t>
  </si>
  <si>
    <t>FALABELLA SA - SAN JUAN</t>
  </si>
  <si>
    <t>FALABELLA SA -  MENDOZA</t>
  </si>
  <si>
    <t>FALABELLA - FLORIDA Y PERÓN</t>
  </si>
  <si>
    <t>FALABELLA- FLORIDA 18</t>
  </si>
  <si>
    <t>FALABELLA - FLORIDA 3</t>
  </si>
  <si>
    <t>FALABELLA-  AVELLANEDA</t>
  </si>
  <si>
    <t>FALABELLA- DOT - SAAVEDRA</t>
  </si>
  <si>
    <t>FALABELLA- (TORTUGAS -TOM)</t>
  </si>
  <si>
    <t>FALABELLA- FOTOS</t>
  </si>
  <si>
    <t>FALABELLA - CD - 9921</t>
  </si>
  <si>
    <t>WALL MART ARG SA</t>
  </si>
  <si>
    <t>STADIUM S.A.C.I.</t>
  </si>
  <si>
    <t>GOYENECHE PYLINSKI SRL</t>
  </si>
  <si>
    <t>DeporJean Suc201 San Martín 2344</t>
  </si>
  <si>
    <t>DeporJean Suc202 Mendoza 2694</t>
  </si>
  <si>
    <t>DeporJean Suc204 Outl Salta 3001</t>
  </si>
  <si>
    <t>DeporJean Suc205 San Martín 770</t>
  </si>
  <si>
    <t>DeporJean Suc206 San Martin 2401</t>
  </si>
  <si>
    <t>DeporJean Suc207 Castellanos 1497</t>
  </si>
  <si>
    <t>DeporJean Suc208 General Paz 5401</t>
  </si>
  <si>
    <t>DeporJean Suc209 Shopp La Ribera</t>
  </si>
  <si>
    <t>DeporJean Suc210 Aristóbulo 6599</t>
  </si>
  <si>
    <t>DeporJean Suc211 San Martín 2441</t>
  </si>
  <si>
    <t>DeporJean Suc212 San Martin 1020</t>
  </si>
  <si>
    <t>DeporJean Suc214 Blas Parera 7100</t>
  </si>
  <si>
    <t>DeporJean Suc215 Av. Santa Fe 301</t>
  </si>
  <si>
    <t>DeporJean Suc218 7 de marzo 1640</t>
  </si>
  <si>
    <t>DeporJean Suc219 San Martín 857</t>
  </si>
  <si>
    <t>DeporJean Suc223 Mitre 52</t>
  </si>
  <si>
    <t>DeporJean Suc224 25 de mayo 1003</t>
  </si>
  <si>
    <t>DeporJean Suc225 A. del valle 8397</t>
  </si>
  <si>
    <t>DeporJean Suc228 Almafuerte 1597</t>
  </si>
  <si>
    <t>DeporJean Suc230 25 de mayo 2072</t>
  </si>
  <si>
    <t>DeporJean Suc231 9 de julio 946</t>
  </si>
  <si>
    <t>DeporJean Suc232 Habegger 681</t>
  </si>
  <si>
    <t>DeporJean Suc233 Alem 64</t>
  </si>
  <si>
    <t>DeporJean Suc234 Merlassino 639</t>
  </si>
  <si>
    <t>DeporJean Suc235 Buenos Aires 591</t>
  </si>
  <si>
    <t>DeporJean Suc236 San Nicolas 6922</t>
  </si>
  <si>
    <t>DeporJean Suc237 San Nicolas 772</t>
  </si>
  <si>
    <t>DeporJean Suc238 San Nicolas 422</t>
  </si>
  <si>
    <t>DeporJean Suc240 Shopping Parana</t>
  </si>
  <si>
    <t>DeporJean Suc250 Deposito Bis</t>
  </si>
  <si>
    <t>DeporJean Suc299 E-Commerce</t>
  </si>
  <si>
    <t>CARJUL S.A. - RESERVA</t>
  </si>
  <si>
    <t>CARJUL S.A- RESERVA WEB</t>
  </si>
  <si>
    <t>B2 - MEGA FLORES</t>
  </si>
  <si>
    <t>BA- FACTORY BARRACAS</t>
  </si>
  <si>
    <t>BN- POLVORINES III</t>
  </si>
  <si>
    <t>CR- CASTELAR II</t>
  </si>
  <si>
    <t>DS - SOLEIL I</t>
  </si>
  <si>
    <t>GE - FACTORY ADROGUE</t>
  </si>
  <si>
    <t>L3- LINIERS III</t>
  </si>
  <si>
    <t>LI- LINIERS II</t>
  </si>
  <si>
    <t>LO- FACTORY BANFIELD</t>
  </si>
  <si>
    <t>MO- MORENO FACTORY</t>
  </si>
  <si>
    <t>MR- VILLA TESEI FACTORY</t>
  </si>
  <si>
    <t>Q5- QUILMES W MART</t>
  </si>
  <si>
    <t>V2- FACTORY VIRREYES</t>
  </si>
  <si>
    <t>VE- FACTORY AVELLANEDA</t>
  </si>
  <si>
    <t>W2- GRAN BOURG II</t>
  </si>
  <si>
    <t>C4 - CABILDO</t>
  </si>
  <si>
    <t>FELER SUC.1 EL PORVENIR</t>
  </si>
  <si>
    <t>FELER SUC. 2 LAS TOSCAS</t>
  </si>
  <si>
    <t>FELER SUC. 3 SOLAR</t>
  </si>
  <si>
    <t>FELER SUC. 4 SHOP.SAN JUSTO I</t>
  </si>
  <si>
    <t>FELER SUC. 6 LAFERRERE</t>
  </si>
  <si>
    <t>FELER SUC. 8 DEVOTO SHOP. I</t>
  </si>
  <si>
    <t>FELER SUC. 9 MORON II</t>
  </si>
  <si>
    <t>FELER SUC. 16 OUTLET</t>
  </si>
  <si>
    <t>FELER SUC. 17 PALMAS DEL PILAR</t>
  </si>
  <si>
    <t>FELER SUC. 21 DEVOTO II</t>
  </si>
  <si>
    <t>FELER SUC. 22 TORTUGAS OPEN MALL</t>
  </si>
  <si>
    <t>FELER SUC. 24 QUILMES II</t>
  </si>
  <si>
    <t>FELER SUC. 25 LANUS</t>
  </si>
  <si>
    <t>FELER SUC. 26 VILLA URQUIZA</t>
  </si>
  <si>
    <t>FELER SUC. 27 CANNING LOCAL</t>
  </si>
  <si>
    <t>FELER SUC. 28 MORON LOCAL</t>
  </si>
  <si>
    <t>FELER SUC. 29 MORENO</t>
  </si>
  <si>
    <t>FELER SUC. 30 OUTLET ARIETA</t>
  </si>
  <si>
    <t>FELER SUC. 31 FLORLEDEN SAN JUSTO</t>
  </si>
  <si>
    <t>FELER SUC. 33 FLORES</t>
  </si>
  <si>
    <t>FELER SUC. 35 EZEIZA</t>
  </si>
  <si>
    <t>FELER SUC. 40 DEPOSITO WEB</t>
  </si>
  <si>
    <t>FELER SUC. 48 WEB</t>
  </si>
  <si>
    <t>FELER SUC. 0 SPORTLINE DEPOSITO</t>
  </si>
  <si>
    <t>SPORT´S LIFE SA - RESERVA</t>
  </si>
  <si>
    <t>B1- MEGA VARELA II</t>
  </si>
  <si>
    <t>B7-MEGA JC PAZ 3</t>
  </si>
  <si>
    <t>B9- MEGA LINIERS</t>
  </si>
  <si>
    <t>BT- MEGA GRAL PAZ</t>
  </si>
  <si>
    <t>BU- BOULOGNE</t>
  </si>
  <si>
    <t>BW- MEGA LUJAN</t>
  </si>
  <si>
    <t>BZ- MEGA PACHECO</t>
  </si>
  <si>
    <t>C3- CANNING III</t>
  </si>
  <si>
    <t>D5- O.K</t>
  </si>
  <si>
    <t>D7- POLVORINES</t>
  </si>
  <si>
    <t>DA- MICHEY</t>
  </si>
  <si>
    <t>DC- CRUCE</t>
  </si>
  <si>
    <t>DJ- MEGA J C PAZ</t>
  </si>
  <si>
    <t>DV- VARELA I</t>
  </si>
  <si>
    <t>F2- MEGASPORTS</t>
  </si>
  <si>
    <t>G2- CONSTITUCION</t>
  </si>
  <si>
    <t>GR- GRAL RODRIGUEZ</t>
  </si>
  <si>
    <t>LN- LA NORIA</t>
  </si>
  <si>
    <t>LV- LINIERS VELEZ</t>
  </si>
  <si>
    <t>LZ- SHOP LACROZE</t>
  </si>
  <si>
    <t>M5- SAN MIGUEL</t>
  </si>
  <si>
    <t>MG- MONTE GRANDE</t>
  </si>
  <si>
    <t>N2- SARANDI MEGA</t>
  </si>
  <si>
    <t>ND-SARANDI FACTORY</t>
  </si>
  <si>
    <t>ON- ONCE</t>
  </si>
  <si>
    <t>P1- PANAMERICANA</t>
  </si>
  <si>
    <t>P2- CONSTITUCION II</t>
  </si>
  <si>
    <t>P4- BELLA VISTA</t>
  </si>
  <si>
    <t>Q4- QUILMES FACTORY</t>
  </si>
  <si>
    <t>Q6- QUILMES CENTRO</t>
  </si>
  <si>
    <t>TB- LA TABLADA 1</t>
  </si>
  <si>
    <t>TL- TABLADA II</t>
  </si>
  <si>
    <t>TT-FACTORY BOULOGNE</t>
  </si>
  <si>
    <t>VB- MEGA BALLESTER</t>
  </si>
  <si>
    <t>BF- FLORES FACTORY</t>
  </si>
  <si>
    <t>C5 - INGENIERO MASCHWITZ</t>
  </si>
  <si>
    <t>MILILLO EDUARDO</t>
  </si>
  <si>
    <t>BRITOS MATIAS</t>
  </si>
  <si>
    <t>ALPARGATAS S.A.I.C.</t>
  </si>
  <si>
    <t>TEXTIL CATAMARCA S.A.</t>
  </si>
  <si>
    <t>CLUB ATLETICO VELEZ SARFIELD ASOC.</t>
  </si>
  <si>
    <t>C.A. VELEZ SARFIELD -Carlos García</t>
  </si>
  <si>
    <t>DIALOG  S.A.</t>
  </si>
  <si>
    <t>DIALOG SA.</t>
  </si>
  <si>
    <t>ARMANDO DEPORTES SRL</t>
  </si>
  <si>
    <t>AURELIUS - MATEU SPORTS</t>
  </si>
  <si>
    <t>MATEU - 02-MATEU KIDS</t>
  </si>
  <si>
    <t>MATEU - 03-OUTLET CALLE 55</t>
  </si>
  <si>
    <t>MATEU- 04-AURELIUS CALLE 12</t>
  </si>
  <si>
    <t>MATEU -05-DEPÓSITO</t>
  </si>
  <si>
    <t>MATEU - 06-CITY BELL</t>
  </si>
  <si>
    <t>MATEU - 07-AURELIUS CALLE 10</t>
  </si>
  <si>
    <t>MATEU - 08-CALLE 47</t>
  </si>
  <si>
    <t>MATEU - 10-DIAGONAL 80</t>
  </si>
  <si>
    <t>MATEU - 11-ENSENADA</t>
  </si>
  <si>
    <t>MATEU - 12-CALLE 12</t>
  </si>
  <si>
    <t>MATEU - 13-LOS HORNOS</t>
  </si>
  <si>
    <t>MATEU - 14-OUTLET GONNET</t>
  </si>
  <si>
    <t>MATEU - 16-BERISSO</t>
  </si>
  <si>
    <t>MATEU - 17-AURELIUS CITY BELL</t>
  </si>
  <si>
    <t>MATEU - 18-AURELIUS CALLE 5</t>
  </si>
  <si>
    <t>MATEU - 19-CALLE 49</t>
  </si>
  <si>
    <t>MATEU - 20-OUTLET AV. 44</t>
  </si>
  <si>
    <t>MATEU - 99-ECOMMERCE</t>
  </si>
  <si>
    <t>MATEU - 01-PLAZA ITALIA</t>
  </si>
  <si>
    <t>CASA FERRACIOLI-1-PERTICONE (WALLMA</t>
  </si>
  <si>
    <t>CASA FERRACIOLI- 2 -BME. MITRE</t>
  </si>
  <si>
    <t>CASA FERRACIOLI-3-SHOPPING LA ANÓNI</t>
  </si>
  <si>
    <t>CASA FERRACIOLI-4-JUAN JULIAN LASTR</t>
  </si>
  <si>
    <t>CASA FERRACIOLI- 5 -RÍO NEGRO</t>
  </si>
  <si>
    <t>CASA FERRACIOLI-6-NQ SHOPPING DEL O</t>
  </si>
  <si>
    <t>CASA FERRACIOLI - 7 - ALCORTA 56</t>
  </si>
  <si>
    <t>CUÑER RODOLFO R</t>
  </si>
  <si>
    <t>ELMEAUDY SAMUEL ARMANDO Y</t>
  </si>
  <si>
    <t>MORO DEPORTES</t>
  </si>
  <si>
    <t>SUC. DE TRUCHET OSVALDO RAMON</t>
  </si>
  <si>
    <t>TRUCHET BEATRIZ Y O</t>
  </si>
  <si>
    <t>M  y  S  SRL</t>
  </si>
  <si>
    <t>UGHES S.R.L</t>
  </si>
  <si>
    <t>UGHES DEPORTES</t>
  </si>
  <si>
    <t>SUCESION DE CULPI MARIA LUISA</t>
  </si>
  <si>
    <t>CASA SAENZ S.R.L.</t>
  </si>
  <si>
    <t>GONA JOSE</t>
  </si>
  <si>
    <t>BALDELOMAR ROBERTO N.</t>
  </si>
  <si>
    <t>HIJOS DE JESUS BERBEL  S.H.</t>
  </si>
  <si>
    <t>GRAELLS NELSON ANTONIO</t>
  </si>
  <si>
    <t>GRAELLS NELSON S.A - DIGITAL</t>
  </si>
  <si>
    <t>CASA JUAÑUK SA</t>
  </si>
  <si>
    <t>BLOISE GENARO Y BLOISE ANGEL</t>
  </si>
  <si>
    <t>SOLO DEPORTES- BLOISE</t>
  </si>
  <si>
    <t>SOLO URBANO- BLOISE</t>
  </si>
  <si>
    <t>LOCALES FOCO- BLOISE</t>
  </si>
  <si>
    <t>LARROCA ESTER AMELIA</t>
  </si>
  <si>
    <t>SUC. 1 -SPORTSMAN</t>
  </si>
  <si>
    <t>SUC. 2 SPORTING MZA PZA SHOPP</t>
  </si>
  <si>
    <t>SUC 3 - SPORTSMAN BDA. R.SALÍ</t>
  </si>
  <si>
    <t>SUC. 8 - SPORTING JUJUY</t>
  </si>
  <si>
    <t>SUC. 9 SPORTING TERMINAL MENDOZA</t>
  </si>
  <si>
    <t>SUC. 10 - SPORTING SANTIAGO</t>
  </si>
  <si>
    <t>LQ - Suc. 11 - WOKER - TUCUMAN</t>
  </si>
  <si>
    <t>SUC. 12 SPORTSMAN MONTEROS</t>
  </si>
  <si>
    <t>SUC. 13 SPORTING CONCEPCION</t>
  </si>
  <si>
    <t>SUC. 14 SPORTSMAN AGUILARES</t>
  </si>
  <si>
    <t>SUC. 15 - SPORTSMAN ALBERDI</t>
  </si>
  <si>
    <t>SUC.16 - SPORTSMAN TAFI VIEJO</t>
  </si>
  <si>
    <t>SUC. 17- SPORTING 8</t>
  </si>
  <si>
    <t>LQ - Suc. 18 - WOKER - TUCUMAN</t>
  </si>
  <si>
    <t>LQ - Suc. 19 - WOKER - SALTA</t>
  </si>
  <si>
    <t>LQ - Suc. 20 - WOKER - LA RIOJA</t>
  </si>
  <si>
    <t>SUC.21- SPORTSMAN YERBA BUENA</t>
  </si>
  <si>
    <t>SUC. 22 - MAYORISTA</t>
  </si>
  <si>
    <t>SUC. 23 - SPORTING TERMINAL TUCUMAN</t>
  </si>
  <si>
    <t>SUC. 24 KEBIEN SGO</t>
  </si>
  <si>
    <t>LQ - Suc. 25 - WOKER - CATAMARCA</t>
  </si>
  <si>
    <t>SUC. 26 SPORTSMAN SGO</t>
  </si>
  <si>
    <t>SUC. 28 - SPORTING MZA. CENTRO</t>
  </si>
  <si>
    <t>SUC.29 - SPORTING S.RAFAEL - MZA.</t>
  </si>
  <si>
    <t>SUC. 30- SPORTING SAN LUIS</t>
  </si>
  <si>
    <t>SUC. 31  SPORTING PORTAL TUC</t>
  </si>
  <si>
    <t>SUC. 32 - SPORTING S.MARTÍN - MZA.</t>
  </si>
  <si>
    <t>SUC.34 -SPORTING LA RIOJA</t>
  </si>
  <si>
    <t>SUC. 36 SPORTSMAN CONCEPCION</t>
  </si>
  <si>
    <t>SUC. 37 - SPORTING SALTA 2</t>
  </si>
  <si>
    <t>SUC. 38 SPORTING PORTAL SALTA</t>
  </si>
  <si>
    <t>SUC. 39 SPORTSMAN METAN</t>
  </si>
  <si>
    <t>SUC. 40 S. SOLAR DEL CERRO SPORTING</t>
  </si>
  <si>
    <t>SUC. 41 SPORTING DIAGONAL TAFI</t>
  </si>
  <si>
    <t>SUC. 43 SPORTING PORTAL SGO</t>
  </si>
  <si>
    <t>SUC. 44 - SPORTING SAN PEDRO JUJUY</t>
  </si>
  <si>
    <t>SUC. 45 - SPORTING WEB</t>
  </si>
  <si>
    <t>SUC.48 SPORTING 9</t>
  </si>
  <si>
    <t>SUC.49 - SPORTING CATAMARCA</t>
  </si>
  <si>
    <t>SUC. 51 SPORTING LIBERTAD SALTA</t>
  </si>
  <si>
    <t>SUC. 55 SPORTING LIBERTAD SAN JUAN</t>
  </si>
  <si>
    <t>LQ - Suc. 54 - WOKER - MORÓN</t>
  </si>
  <si>
    <t>SUC. 55 SPORTING LIBERTAD</t>
  </si>
  <si>
    <t>SUC. 56 - SPORTING SGO. DEL ESTERO</t>
  </si>
  <si>
    <t>SUC. 57 SPORTING PALMARES MZA</t>
  </si>
  <si>
    <t>LQ - Suc. 58 - WOKER - TUCUMAN</t>
  </si>
  <si>
    <t>LQ - Suc. 59 - WOKER - JUJUY</t>
  </si>
  <si>
    <t>SUC.61- SPORTING CORRIENTES</t>
  </si>
  <si>
    <t>LQ - Suc. 62 - WOKER - CHACO</t>
  </si>
  <si>
    <t>SUC. 42 SPORTING OUTLET</t>
  </si>
  <si>
    <t>LQ - Suc. 64 - WOKER - MENDOZA</t>
  </si>
  <si>
    <t>SUC. 85  - SPORTING  - SAN JUAN</t>
  </si>
  <si>
    <t>SUC. 86 - SPORTING  - SAN JUAN</t>
  </si>
  <si>
    <t>SUC. 99 - CD</t>
  </si>
  <si>
    <t>SUC. 100 DEPÓSITO WEB - BS. AS.</t>
  </si>
  <si>
    <t>SUC.101- JFS ANTONIO LUQUIN</t>
  </si>
  <si>
    <t>SUC.102- JFS ANTONIO LUQUIN</t>
  </si>
  <si>
    <t>SUC.103- JFS ANTONIO LUQUIN</t>
  </si>
  <si>
    <t>SUC.104- JFS ANTONIO LUQUIN</t>
  </si>
  <si>
    <t>SUC.105- JFS ANTONIO LUQUIN</t>
  </si>
  <si>
    <t>SUC.106- JFS ANTONIO LUQUIN</t>
  </si>
  <si>
    <t>SUC.107- JFS ANTONIO LUQUIN</t>
  </si>
  <si>
    <t>SUC.108- JFS ANTONIO LUQUIN</t>
  </si>
  <si>
    <t>SUC.109- JFS ANTONIO LUQUIN</t>
  </si>
  <si>
    <t>SUC.110- JFS ANTONIO LUQUIN</t>
  </si>
  <si>
    <t>SUC.111- JFS ANTONIO LUQUIN</t>
  </si>
  <si>
    <t>SUC.112- JFS ANTONIO LUQUIN</t>
  </si>
  <si>
    <t>SUC. 45 DEPÓSITO WEB - BS. AS.</t>
  </si>
  <si>
    <t>SUC. 52 ANTONIO LUQUIN SACIFI</t>
  </si>
  <si>
    <t>IRIT DEPORTES S.A</t>
  </si>
  <si>
    <t>GAME SRL</t>
  </si>
  <si>
    <t>NICOLI WALTER</t>
  </si>
  <si>
    <t>MARIVANKIN BENJAMIN</t>
  </si>
  <si>
    <t>FOSCO HORACIO ALBERTO</t>
  </si>
  <si>
    <t>ESPA#A DEPORTES S R L</t>
  </si>
  <si>
    <t>HEYD RENE ANTONIO</t>
  </si>
  <si>
    <t>1 - KANTCHEFF DEPORTES - Guemes</t>
  </si>
  <si>
    <t>2 - KANTCHEFF  DEPORTES - Moreno</t>
  </si>
  <si>
    <t>TURYCAMP</t>
  </si>
  <si>
    <t>CAVER - 5</t>
  </si>
  <si>
    <t>CAVER - 8</t>
  </si>
  <si>
    <t>AZANZA M ELENA</t>
  </si>
  <si>
    <t>ORIOLO ELIO MIGUEL</t>
  </si>
  <si>
    <t>RAMOS M. E. BECHARA DE</t>
  </si>
  <si>
    <t>HACHUMIAN J Y TEODORO</t>
  </si>
  <si>
    <t>ELENA VINITZKY DE       FERNANDEZ</t>
  </si>
  <si>
    <t>GORGO NORA GRACIELA</t>
  </si>
  <si>
    <t>ZAMPIGLIONE JUAN C</t>
  </si>
  <si>
    <t>AZARIU JORGE Y AZARIU JORGE EDUARDO</t>
  </si>
  <si>
    <t>AZARIU JORGE Y AZARIU   JORGE EDUAR</t>
  </si>
  <si>
    <t>BARBETTA NELIDA T.</t>
  </si>
  <si>
    <t>DI GIACOMO MARIO</t>
  </si>
  <si>
    <t>D'GIACOMO</t>
  </si>
  <si>
    <t>MC CENTER TUCUMAN SRL.</t>
  </si>
  <si>
    <t>TROPHY SPORT DE         TEMOIKO ENR</t>
  </si>
  <si>
    <t>E.FAJARDO E HIJOS S.A.</t>
  </si>
  <si>
    <t>DABRA RESERVA</t>
  </si>
  <si>
    <t>053- DABRA SA (UNICENTER II)</t>
  </si>
  <si>
    <t>49 -DABRA SA   AVELLANEDA</t>
  </si>
  <si>
    <t>121 -DABRA SA   (SHOPPING ABASTO)</t>
  </si>
  <si>
    <t>58- DABRA SA   ( PLAZA OESTE)</t>
  </si>
  <si>
    <t>23 -DABRA SA   MORENO II</t>
  </si>
  <si>
    <t>57 -DABRA SA  (JOSE C PAZ II)</t>
  </si>
  <si>
    <t>56 -DABRA SA  (JOSE C. PAZ I)</t>
  </si>
  <si>
    <t>51 - DABRA SA ( SAN MIGUEL II)</t>
  </si>
  <si>
    <t>35 -DABRA SA  ( MERLO II)</t>
  </si>
  <si>
    <t>125 - DABRA - PARQUE BROWN</t>
  </si>
  <si>
    <t>190 -STOCK CENTER-  SHOPPING SOLEIL</t>
  </si>
  <si>
    <t>102 -DABRA SA  (FLORIDA II)</t>
  </si>
  <si>
    <t>20- DABRA SA  POMPEYA II</t>
  </si>
  <si>
    <t>65 -DABRA SA (QUILMES FACTORY)</t>
  </si>
  <si>
    <t>84 - DABRA SA   (POLVORINES)</t>
  </si>
  <si>
    <t>28 - DABRA SA  (SAN MARTIN)</t>
  </si>
  <si>
    <t>43 - DABRA SA  ( SAN MIGUEL I)</t>
  </si>
  <si>
    <t>54 - DABRA SA ( BERAZATEGUI)</t>
  </si>
  <si>
    <t>63 - DABRA SA  ( GRAND BOURG)</t>
  </si>
  <si>
    <t>83 - DABRA SA  ( SOLANO IV)</t>
  </si>
  <si>
    <t>17 - DABRA SA  (SOLANO I)</t>
  </si>
  <si>
    <t>15 - DABRA SA  ( LINIERS I)</t>
  </si>
  <si>
    <t>101 - DABRA SA  ( LAFERRERE)</t>
  </si>
  <si>
    <t>3 - DABRA SA (SAN ISIDRO I)</t>
  </si>
  <si>
    <t>5 - DABRA SA (HURLINGHAM)</t>
  </si>
  <si>
    <t>11 - DABRA SA (MORON I)</t>
  </si>
  <si>
    <t>36- DABRA SA (FLORES)</t>
  </si>
  <si>
    <t>52 - DABRA SA (LOMAS II)</t>
  </si>
  <si>
    <t>64 -DABRA SA (QUILMES III)</t>
  </si>
  <si>
    <t>69 -DABRA SA (SAN FERNANADO)</t>
  </si>
  <si>
    <t>77 - DABRA SA (LANUS II)</t>
  </si>
  <si>
    <t>79 - DABRA SA (AUCHAN)</t>
  </si>
  <si>
    <t>111 - DABRA SA (SAN FERNANDO II)</t>
  </si>
  <si>
    <t>142 -DABRA SA (FLORENCIO VARELA)</t>
  </si>
  <si>
    <t>144 - DABRA SA (CASEROS)</t>
  </si>
  <si>
    <t>148 - DABRA SA (SAN MARTIN)</t>
  </si>
  <si>
    <t>147- DEXTER PILAR</t>
  </si>
  <si>
    <t>157 - DABRA SA- JUMBO - SAN MARTIN</t>
  </si>
  <si>
    <t>141 - DABRA S.A ( ESCOBAR)</t>
  </si>
  <si>
    <t>09 - DABRA SA ( QUILMES)</t>
  </si>
  <si>
    <t>154 -DABRA SA -PALERMO</t>
  </si>
  <si>
    <t>165 - DABRA SA  (BELGRANO ex C&amp;A)</t>
  </si>
  <si>
    <t>166 -DABRA SA ( DEXTER ROSARIO)</t>
  </si>
  <si>
    <t>170 - DEXTER CABALLITO (DABRA S.A)</t>
  </si>
  <si>
    <t>76 - DEXTER - 76 - CORNER</t>
  </si>
  <si>
    <t>78 - DEXTER - - SAN MARTIN</t>
  </si>
  <si>
    <t>80 -DEXTER - CAMPANA</t>
  </si>
  <si>
    <t>82 - DEXTER- - ZARATE</t>
  </si>
  <si>
    <t>91 -DEXTER- JUNIN</t>
  </si>
  <si>
    <t>92 - DEXTER -- TANDIL</t>
  </si>
  <si>
    <t>97 - DEXTER - - ALTO NOA SHOPPING</t>
  </si>
  <si>
    <t>114 -STOCK CENTER-SANTA FE II</t>
  </si>
  <si>
    <t>116 -DEXTER  - SAN NICOLAS</t>
  </si>
  <si>
    <t>120 -DEXTER - CATAMARCA</t>
  </si>
  <si>
    <t>123 -DEXTER -- CÓRDOBA RUTA 20</t>
  </si>
  <si>
    <t>124 -DEXTER  - CORDOBA - OLMOS</t>
  </si>
  <si>
    <t>126 -DEXTER -SALTA II -PEATONAL</t>
  </si>
  <si>
    <t>127 -DEXTER -- ALTO ROSARIO SHOPPIN</t>
  </si>
  <si>
    <t>128 -DEXTER-- PORTAL LOS ANDES-JUMB</t>
  </si>
  <si>
    <t>129 - DEXTER-- SAN LUIS</t>
  </si>
  <si>
    <t>132 -DEXTER --MENDOZA- PLAZA SHOPPI</t>
  </si>
  <si>
    <t>133 - DEXTER -- NEUQUEN</t>
  </si>
  <si>
    <t>134 -STOCK CENTER-NEUQUEN II-PORTAL</t>
  </si>
  <si>
    <t>135 -STOCK CENTER-STOCK ALTO NOA</t>
  </si>
  <si>
    <t>139 -DEXTER -- SALTA III</t>
  </si>
  <si>
    <t>143 -DEXTER -- PORTAL TUCUMAN</t>
  </si>
  <si>
    <t>145 - DEXTER -  MENDOZA</t>
  </si>
  <si>
    <t>146 -DEXTER -  LA RIOJA</t>
  </si>
  <si>
    <t>152 - DEXTER-- PORTAL ROSARIO- SHOP</t>
  </si>
  <si>
    <t>158 -DEXTER-  LA RIOJA CENTRO</t>
  </si>
  <si>
    <t>159-DEXTER- SAN JUAN CENTRO</t>
  </si>
  <si>
    <t>160 - DEXTER - TRELEW</t>
  </si>
  <si>
    <t>172 - DEXTER - SAN JUAN CENTRO</t>
  </si>
  <si>
    <t>173 - DEXTER - TUCUMÁN  PEATONAL</t>
  </si>
  <si>
    <t>189 -DEXTER-  ROSARIO II</t>
  </si>
  <si>
    <t>186 -STOCK CENTER-- PANAMERICANA</t>
  </si>
  <si>
    <t>196- DEXTER PACHECO</t>
  </si>
  <si>
    <t>169- DABRA- PILAR</t>
  </si>
  <si>
    <t>206- DABRA -MENDOZA</t>
  </si>
  <si>
    <t>207- DEXTER- SAN LUIS</t>
  </si>
  <si>
    <t>208- STOCK CENTER PANAMERICANA</t>
  </si>
  <si>
    <t>209- STOCK CENTER GAONA II</t>
  </si>
  <si>
    <t>212 -DEXTER - CATAMARCA</t>
  </si>
  <si>
    <t>213 - DABRA DX CONGRESO</t>
  </si>
  <si>
    <t>216- DABRA SA (DEXTER QUILMES)</t>
  </si>
  <si>
    <t>217- DABRA SA (DEXTER BAHIA BLANCA)</t>
  </si>
  <si>
    <t>220-DABRA CORRIENTES</t>
  </si>
  <si>
    <t>221- DABRA MORON</t>
  </si>
  <si>
    <t>156 - ABASTO DABRA S.A. (STOCK CENT</t>
  </si>
  <si>
    <t>161 -EX-AUCHAN  DABRA S. A(STOCK CE</t>
  </si>
  <si>
    <t>167 -LOMAS - PELLEG -  90 - DABRA</t>
  </si>
  <si>
    <t>168 - STOCK CENTER -ALTO AVELLANEDA</t>
  </si>
  <si>
    <t>171 - STOCK CENTER - SAN MIGUEL</t>
  </si>
  <si>
    <t>176 - STOCK CENTER GRAL PAZ</t>
  </si>
  <si>
    <t>177 - STOCK CENTER SAN JUSTO</t>
  </si>
  <si>
    <t>180 - STOCK POMPEYA</t>
  </si>
  <si>
    <t>181 - STOCK LINIERS</t>
  </si>
  <si>
    <t>163 -STOCK INTEGRAL LOMAS</t>
  </si>
  <si>
    <t>182 -STOCK CORDOBA</t>
  </si>
  <si>
    <t>183 - STOCK FLOYCO</t>
  </si>
  <si>
    <t>184 -STOCK JURAMENTO</t>
  </si>
  <si>
    <t>185 - STOCK CENTER (PQUE BROWN)</t>
  </si>
  <si>
    <t>187 - DABRA S.A (STOCK CENTER LOMAS</t>
  </si>
  <si>
    <t>188 - DABRA S.A (STOCK CENTER QUILM</t>
  </si>
  <si>
    <t>14 - DABRA DEXTER SOLEIL</t>
  </si>
  <si>
    <t>191 - DABRA S.M de TUCUMAN</t>
  </si>
  <si>
    <t>178 - DABRA PARANÁ - ENTRE RIOS</t>
  </si>
  <si>
    <t>192 - DABRA STOCK CENTER SAN MARTIN</t>
  </si>
  <si>
    <t>193 - DABRA SALTA V</t>
  </si>
  <si>
    <t>194 - STOCK CENTER - CALCHAQUI</t>
  </si>
  <si>
    <t>195- STOCK CENTER - GAONA</t>
  </si>
  <si>
    <t>198 - DEXTER SHOP ( DABRA S.A)</t>
  </si>
  <si>
    <t>202 - STOCK PILAR</t>
  </si>
  <si>
    <t>203 - STOCK CORDOBA COLON</t>
  </si>
  <si>
    <t>204 - STOCK TERRAZAS SAN MIGUEL</t>
  </si>
  <si>
    <t>205 - DEXTER ALTO NEUQUEN IRSA</t>
  </si>
  <si>
    <t>DABRA SA - DEPOSITO CENTRAL</t>
  </si>
  <si>
    <t>DABRA SA - E - COMMERCE</t>
  </si>
  <si>
    <t>PERFORMANCE S.A.</t>
  </si>
  <si>
    <t>UNGARETTI S.A.</t>
  </si>
  <si>
    <t>UNGARETTI AJ Y SIG. A.</t>
  </si>
  <si>
    <t>R A PERUGGINO SA</t>
  </si>
  <si>
    <t>BRU BORG SRL</t>
  </si>
  <si>
    <t>X01-BAHIA BLANCA</t>
  </si>
  <si>
    <t>X03-JUNIN</t>
  </si>
  <si>
    <t>A04 SAN MARTIN</t>
  </si>
  <si>
    <t>A05 - GUALEGUAYCHU</t>
  </si>
  <si>
    <t>A06 - PERGAMINO</t>
  </si>
  <si>
    <t>A07 - CONCORDIA</t>
  </si>
  <si>
    <t>A08 - TORTUGUITAS</t>
  </si>
  <si>
    <t>A09 - MAQ. SAVIO</t>
  </si>
  <si>
    <t>A11 - MAQ. SAVIO</t>
  </si>
  <si>
    <t>A12 - GRAND BOURG</t>
  </si>
  <si>
    <t>A14 - CAMPANA</t>
  </si>
  <si>
    <t>A16 - SAN FERNANDO</t>
  </si>
  <si>
    <t>A19 - VILLA MERCEDES</t>
  </si>
  <si>
    <t>A20 - SANTA FE</t>
  </si>
  <si>
    <t>A24 - BENAVIDEZ</t>
  </si>
  <si>
    <t>A25 - ALBERTI</t>
  </si>
  <si>
    <t>A26 - MENDOZA</t>
  </si>
  <si>
    <t>A27 - MENDOZA</t>
  </si>
  <si>
    <t>A31 LA PAMPA (SANTA ROSA)</t>
  </si>
  <si>
    <t>A32- VIEDMA</t>
  </si>
  <si>
    <t>A33 - WILLIAM  MORRIS</t>
  </si>
  <si>
    <t>A34 - JUNIN</t>
  </si>
  <si>
    <t>A36 - GARIN</t>
  </si>
  <si>
    <t>A38 - VILLA MERCEDES</t>
  </si>
  <si>
    <t>AN1 JOSE C. PAZ</t>
  </si>
  <si>
    <t>G02-GRID - VENTA ONLINE</t>
  </si>
  <si>
    <t>G04-CONSTITUYENTES</t>
  </si>
  <si>
    <t>G05-TERRAZAS SAN MIGUEL</t>
  </si>
  <si>
    <t>G06-SAN JUSTO</t>
  </si>
  <si>
    <t>G07-TORTUGAS OPEN MALL</t>
  </si>
  <si>
    <t>G08-MORON</t>
  </si>
  <si>
    <t>G10-PERGAMINO</t>
  </si>
  <si>
    <t>G11-CHACO</t>
  </si>
  <si>
    <t>G13-MENDOZA PLAZA</t>
  </si>
  <si>
    <t>G14-TRELEW</t>
  </si>
  <si>
    <t>G15-SAN MIGUEL</t>
  </si>
  <si>
    <t>G16-UNICENTER</t>
  </si>
  <si>
    <t>G17-CORDOBA</t>
  </si>
  <si>
    <t>G18-ABASTO</t>
  </si>
  <si>
    <t>G19-DOT</t>
  </si>
  <si>
    <t>G20-NEUQUEN</t>
  </si>
  <si>
    <t>G21-PLAZA OESTE</t>
  </si>
  <si>
    <t>G22-SALTA</t>
  </si>
  <si>
    <t>G23-JOSE C. PAZ</t>
  </si>
  <si>
    <t>G24-NEUQUEN</t>
  </si>
  <si>
    <t>G25-ALTO AVELLANEDA</t>
  </si>
  <si>
    <t>G26-PORTAL LOMAS</t>
  </si>
  <si>
    <t>G27 TUCUMAN</t>
  </si>
  <si>
    <t>G28 MENDOZA PORTAL LOS ANDES</t>
  </si>
  <si>
    <t>G29 SAN LUIS</t>
  </si>
  <si>
    <t>G30 BAHIA BLANCA</t>
  </si>
  <si>
    <t>M01-MARTINEZ</t>
  </si>
  <si>
    <t>M03-SAN JUSTO</t>
  </si>
  <si>
    <t>M04-PLAZA OESTE</t>
  </si>
  <si>
    <t>S01 -JOSE  C. PAZ</t>
  </si>
  <si>
    <t>S05-SAN MIGUEL</t>
  </si>
  <si>
    <t>S07 PILAR</t>
  </si>
  <si>
    <t>S08-CHIVILCOY</t>
  </si>
  <si>
    <t>S09-CONCEPCION DEL URUGUAY</t>
  </si>
  <si>
    <t>S11-SAN MIGUEL</t>
  </si>
  <si>
    <t>S12-PILAR</t>
  </si>
  <si>
    <t>S13-DERQUI</t>
  </si>
  <si>
    <t>S14-ZARATE</t>
  </si>
  <si>
    <t>S15-PACHECO</t>
  </si>
  <si>
    <t>S16-CRUCE CASTELAR</t>
  </si>
  <si>
    <t>S19-AZUL</t>
  </si>
  <si>
    <t>S20-OLAVARRIA</t>
  </si>
  <si>
    <t>S21-TANDIL</t>
  </si>
  <si>
    <t>S22-TANDIL</t>
  </si>
  <si>
    <t>S24-NECOCHEA</t>
  </si>
  <si>
    <t>S26-CONCEPCION DEL URUGUAY</t>
  </si>
  <si>
    <t>S27-PILAR</t>
  </si>
  <si>
    <t>S28-MARTINEZ</t>
  </si>
  <si>
    <t>S29-ESCOBAR</t>
  </si>
  <si>
    <t>S31-BALCARCE</t>
  </si>
  <si>
    <t>S32-SAN LUIS</t>
  </si>
  <si>
    <t>S33-VIRREYES</t>
  </si>
  <si>
    <t>S34-MALVINAS ARGENTINAS</t>
  </si>
  <si>
    <t>S35-GRAND BOURG</t>
  </si>
  <si>
    <t>S37-GRAND BOURG</t>
  </si>
  <si>
    <t>S41-LA RIOJA</t>
  </si>
  <si>
    <t>S42-ZARATE</t>
  </si>
  <si>
    <t>S44-CONSTITUYENTES</t>
  </si>
  <si>
    <t>S45 - SHOPPING SAN JUSTO</t>
  </si>
  <si>
    <t>S46 - DASH  UNICENTER</t>
  </si>
  <si>
    <t>S47 - DASH SAN LUIS SHOPPING</t>
  </si>
  <si>
    <t>S48 - DASH AVELLANEDA</t>
  </si>
  <si>
    <t>S49 - DASH TOM</t>
  </si>
  <si>
    <t>S50 - SAN JUSTO</t>
  </si>
  <si>
    <t>CARJUL S.A</t>
  </si>
  <si>
    <t>1 - PATAS DEPORTES - Buenos Aires</t>
  </si>
  <si>
    <t>2 - PATAS DEPORTES - Jose E Gomez 7</t>
  </si>
  <si>
    <t>BOTTA MIGUEL ANGEL</t>
  </si>
  <si>
    <t>AMAIKA - GARCIA SPORT SRL</t>
  </si>
  <si>
    <t>ARAMBLAS SA.</t>
  </si>
  <si>
    <t>BOIERO DEPORTES S.R.L.</t>
  </si>
  <si>
    <t>ELCIO F BOIERO E HIJO</t>
  </si>
  <si>
    <t>JIMENEZ ANTONIO A</t>
  </si>
  <si>
    <t>A04 -SAN MARTIN</t>
  </si>
  <si>
    <t>DIST. CAREGLIO  HNOS SRL -FRONTERA</t>
  </si>
  <si>
    <t>MELLUSO SANTO</t>
  </si>
  <si>
    <t>GARCIA RAUL A</t>
  </si>
  <si>
    <t>RODRIGUEZ FERNANDO M</t>
  </si>
  <si>
    <t>UGARTE Y CIA  SRL</t>
  </si>
  <si>
    <t>UGARTE Y CIA SRL.</t>
  </si>
  <si>
    <t>KILROY - UGARTE Y CIA  SRL</t>
  </si>
  <si>
    <t>KILROY - VELEZ SARSFIELD- UGARTE  Y</t>
  </si>
  <si>
    <t>DEPORTES ANTONIO BLANCO S.A.</t>
  </si>
  <si>
    <t>D ANTONIO BLANCO OUTLET CAP10 HIPER</t>
  </si>
  <si>
    <t>D ANTONIO BLANCO IMAGEN CAP01 24SEP</t>
  </si>
  <si>
    <t>D ANTONIO BLANCO IMAGEN CAP02 CORD</t>
  </si>
  <si>
    <t>D ANTONIO BLANCO IMAGEN CAP03 25MAY</t>
  </si>
  <si>
    <t>D ANTONIO BLANCO IMAGEN CAP01 HIPER</t>
  </si>
  <si>
    <t>D ANTONIO BLANCO IMAGEN CAP15 MAIPU</t>
  </si>
  <si>
    <t>D ANTONIO BLANCO IMAGEN CAP06 ROC M</t>
  </si>
  <si>
    <t>D ANTONIO BLANCO OUTLET CAP07 ROC O</t>
  </si>
  <si>
    <t>D ANTONIO BLANCO OUTLET CAP09 AVSAR</t>
  </si>
  <si>
    <t>D ANTONIO BLANCO IMAGEN CON01 S MAR</t>
  </si>
  <si>
    <t>D ANTONIO BLANCO IMAGEN CON02 S MAR</t>
  </si>
  <si>
    <t>D ANTONIO BLANCO OUTLET CON03 ITALI</t>
  </si>
  <si>
    <t>D ANTONIO BLANCO IMAGEN MON01 COLON</t>
  </si>
  <si>
    <t>D ANTONIO BLANCO IMAGEN AGU01 ALBER</t>
  </si>
  <si>
    <t>D ANTONIO BLANCO IMAGEN YEB01 GP MA</t>
  </si>
  <si>
    <t>D ANTONIO BLANCO IMAGEN TAF01 ALEM</t>
  </si>
  <si>
    <t>D ANTONIO BLANCO CENTRAL DEPOSITO</t>
  </si>
  <si>
    <t>D ANTONIO BLANCO WEB CAP11 ONLINE</t>
  </si>
  <si>
    <t>D ANTONIO BLANCO MODA CAP01 PORTA</t>
  </si>
  <si>
    <t>D ANTONIO BLANCO MODA CAP02 HIPER</t>
  </si>
  <si>
    <t>D ANTONIO BLANCO OUTLET CAP03 HIPER</t>
  </si>
  <si>
    <t>D ANTONIO BLANCO IMAGEN CAP04 HIPER</t>
  </si>
  <si>
    <t>D ANTONIO BLANCO IMAGEN CAP05 FLORI</t>
  </si>
  <si>
    <t>D ANTONIO BLANCO IMAGEN TAR01 GUEME</t>
  </si>
  <si>
    <t>D ANTONIO BLANCO OUTLET TAR02 CORN</t>
  </si>
  <si>
    <t>D ANTONIO BLANCO IMAGEN MET01 9DEJ</t>
  </si>
  <si>
    <t>D ANTONIO BLANCO IMAGEN VG01 S MART</t>
  </si>
  <si>
    <t>D ANTONIO BLANCO IMAGEN LED01 BELGR</t>
  </si>
  <si>
    <t>D ANTONIO BLANCO OUTLET CAP02 S LUI</t>
  </si>
  <si>
    <t>D ANTONIO BLANCO IMAGEN CAP03 SAN L</t>
  </si>
  <si>
    <t>D ANTONIO BLANCO IMAGEN CAP04 PERON</t>
  </si>
  <si>
    <t>D ANTONIO BLANCO IMAGEN CAP05 MENDO</t>
  </si>
  <si>
    <t>D ANTONIO BLANCO IMAGEN CAP06 PORTA</t>
  </si>
  <si>
    <t>D ANTONIO BLANCO OUTLET PIL01 PASEO</t>
  </si>
  <si>
    <t>101- OK SPORT S.R.L</t>
  </si>
  <si>
    <t>102- OK SPORT S.R.L</t>
  </si>
  <si>
    <t>103- OK SPORT S.R.L</t>
  </si>
  <si>
    <t>104- OK SPORT S.R.L</t>
  </si>
  <si>
    <t>105- OK SPORT S.R.L</t>
  </si>
  <si>
    <t>106- OK SPORT S.R.L</t>
  </si>
  <si>
    <t>107 - OK SPORT S.R.L</t>
  </si>
  <si>
    <t>108 - OK SPORT S.R.L</t>
  </si>
  <si>
    <t>109 - OK SPORT S.R.L</t>
  </si>
  <si>
    <t>110 - OK SPORT S.R.L</t>
  </si>
  <si>
    <t>111 - OK SPORT S.R.L</t>
  </si>
  <si>
    <t>112 - OK SPORT S.R.L</t>
  </si>
  <si>
    <t>113 - OK SPORT S.R.L</t>
  </si>
  <si>
    <t>114 - OK SPORT S.R.L</t>
  </si>
  <si>
    <t>OK SPORT - RAMIRO SOTO</t>
  </si>
  <si>
    <t>116 - OK SPORT S.R.L</t>
  </si>
  <si>
    <t>117 - OK SPORT S.R.L</t>
  </si>
  <si>
    <t>118 - OK SPORT S.R.L</t>
  </si>
  <si>
    <t>119 - OK SPORT S.R.L</t>
  </si>
  <si>
    <t>120 - OK SPORT S.R.L</t>
  </si>
  <si>
    <t>121 - OK SPORT S.R.L</t>
  </si>
  <si>
    <t>122 - OK SPORT S.R.L</t>
  </si>
  <si>
    <t>123 - OK SPORT S.R.L</t>
  </si>
  <si>
    <t>124 - OK SPORT S.R.L</t>
  </si>
  <si>
    <t>125 - OK SPORT S.R.L</t>
  </si>
  <si>
    <t>126 - OK SPORT S.R.L</t>
  </si>
  <si>
    <t>127 - OK SPORT S.R.L.</t>
  </si>
  <si>
    <t>128 - OK SPORT S.R.L.</t>
  </si>
  <si>
    <t>129 - OK SPORT S.R.L.</t>
  </si>
  <si>
    <t>130 - OK SPORT S.R.L.</t>
  </si>
  <si>
    <t>131 - OK SPORT S.R.L.</t>
  </si>
  <si>
    <t>132 - OK SPORT S.R.L.</t>
  </si>
  <si>
    <t>133 - OK SPORT S.R.L.</t>
  </si>
  <si>
    <t>134 - OK SPORT S.R.L.</t>
  </si>
  <si>
    <t>135 - OK SPORT S.R.L.</t>
  </si>
  <si>
    <t>1 - NICO DEPORTES - 25 De Mayo</t>
  </si>
  <si>
    <t>2 - NICO DEPORTES - Illia 162</t>
  </si>
  <si>
    <t>3 - NICO DEPORTES - Illia Y Frondiz</t>
  </si>
  <si>
    <t>4 - NICO DEPORTES - Peron</t>
  </si>
  <si>
    <t>5 - NICO DEPORTES - Rivadavia</t>
  </si>
  <si>
    <t>SUCESION DE NOVELLO JORGE ANTONIO</t>
  </si>
  <si>
    <t>ADOLFO ZAKIAN S.A. DEPOSITO</t>
  </si>
  <si>
    <t>ZAKIAN-LOC. 1- CENTRO</t>
  </si>
  <si>
    <t>ZAKIAN-LOC. 3- VILLA CABRERA</t>
  </si>
  <si>
    <t>ZAKIAN-LOC. 5- DINOSAURIO MALL R 20</t>
  </si>
  <si>
    <t>ZAKIAN-LOC. 6- N CENTRO SHOPPING</t>
  </si>
  <si>
    <t>ZAKIAN-LOC. 8- PASEO DEL JOCKEY</t>
  </si>
  <si>
    <t>ZAKIAN-LOC. 9- HIP LIBERTAD R DEL B</t>
  </si>
  <si>
    <t>ZAKIAN-LOC. 10- DINOSAURIO MALL ALT</t>
  </si>
  <si>
    <t>ZAKIAN-LOC. 11- HIPER LIBERTAD R 9</t>
  </si>
  <si>
    <t>ZAKIAN-LOC. 12- DISCO</t>
  </si>
  <si>
    <t>ZAKIAN-LOC. 14- CENTRO</t>
  </si>
  <si>
    <t>ZAKIAN-LOC. 19- PATIO OLMOS</t>
  </si>
  <si>
    <t>ZAKIAN-LOC. 20- O´HIGGINS MALL</t>
  </si>
  <si>
    <t>ZAKIAN-LOC. 21- CARLOS PAZ</t>
  </si>
  <si>
    <t>ZAKIAN-LOC. 30- COLON</t>
  </si>
  <si>
    <t>RIESE FELIX RAUL</t>
  </si>
  <si>
    <t>BUNDES S.R.L.</t>
  </si>
  <si>
    <t>LA MADRILEÑA 201 QNM TRELEW</t>
  </si>
  <si>
    <t>LA MADRILEÑA 202 QNM VIEDMA</t>
  </si>
  <si>
    <t>LA MADRILEÑA 203 QNM CDRO</t>
  </si>
  <si>
    <t>LA MADRILEÑA 204 QNM RAWSON</t>
  </si>
  <si>
    <t>LA MADRILEÑA 205 QNM SHOPPING</t>
  </si>
  <si>
    <t>LA MADRILEÑA 206 QNM CALETA</t>
  </si>
  <si>
    <t>LA MADRILEÑA 207 QNM ESQUEL</t>
  </si>
  <si>
    <t>LA MADRILEÑA 208 QNM PUERTO</t>
  </si>
  <si>
    <t>LA MADRILEÑA 209 QNM POLONIA</t>
  </si>
  <si>
    <t>LA MADRILEÑA 351 QNM TIENDA ONLINE</t>
  </si>
  <si>
    <t>LA MADRILEÑA 352 ELOY TIENDA ONLINE</t>
  </si>
  <si>
    <t>LA MADRILEÑA 401 ELOY CR</t>
  </si>
  <si>
    <t>LA MADRILEÑA 402 ELOY TW</t>
  </si>
  <si>
    <t>LA MADRILEÑA 403 ELOY ESQUEL</t>
  </si>
  <si>
    <t>SAGATELIÁN EDUARDO MIGUEL</t>
  </si>
  <si>
    <t>SPORTS FAMILY S.A. (DEP.CENTRAL)</t>
  </si>
  <si>
    <t>SPORTS FAMILY S.A. LOCAL 27</t>
  </si>
  <si>
    <t>SPORTS FAMILY S.A. LOCAL 42</t>
  </si>
  <si>
    <t>SPORTS FAMILY S.A. LOCAL 30</t>
  </si>
  <si>
    <t>SPORTS FAMILY S.A. LOCAL 9</t>
  </si>
  <si>
    <t>SPORTS FAMILY S.A. LOCAL 19</t>
  </si>
  <si>
    <t>SPORTS FAMILY S.A. LOCAL 3</t>
  </si>
  <si>
    <t>SPORTS FAMILY S.A. LOCAL 6</t>
  </si>
  <si>
    <t>SPORTS FAMILY S.A. LOCAL 51</t>
  </si>
  <si>
    <t>SPORTS FAMILY S.A. LOCAL 47</t>
  </si>
  <si>
    <t>SPORTS FAMILY S.A. LOCAL 36</t>
  </si>
  <si>
    <t>SPORTS FAMILY S.A. LOCAL 34</t>
  </si>
  <si>
    <t>SPORTS FAMILY S.A. LOCAL 99</t>
  </si>
  <si>
    <t>SPORTS FAMILY S.A. LOCAL 29</t>
  </si>
  <si>
    <t>SPORTS FAMILY S.A. LOCAL 39</t>
  </si>
  <si>
    <t>SPORTS FAMILY S.A. - MELI</t>
  </si>
  <si>
    <t>SPORTS FAMILY S.A. LOC.53</t>
  </si>
  <si>
    <t>1 - PUNTO DEPORTIVO - Av Ferre - Ca</t>
  </si>
  <si>
    <t>2 - PUNTO DEPORTIVO - Av Lavalle -</t>
  </si>
  <si>
    <t>TESI S.A. SUC. 3 SAN JUAN</t>
  </si>
  <si>
    <t>TESI S.A. SUC. 5 MENDOZA</t>
  </si>
  <si>
    <t>TESI S.A. SUC. 6 MENDOZA</t>
  </si>
  <si>
    <t>TESI S.A. SUC. 8 MENDOZA</t>
  </si>
  <si>
    <t>TESI S.A. SUC. 9 MENDOZA</t>
  </si>
  <si>
    <t>TESI S.A. SUC. 10 SAN LUIS</t>
  </si>
  <si>
    <t>TESI S.A. SUC. 11 SAN JUAN</t>
  </si>
  <si>
    <t>TESI S.A. SUC. 12 CATAMARCA</t>
  </si>
  <si>
    <t>TESI S.A. SUC. 17 MENDOZA</t>
  </si>
  <si>
    <t>TESI S.A. SUC. 18 STG. DEL ESTERO</t>
  </si>
  <si>
    <t>TESI S.A. SUC. 19 SAN LUIS</t>
  </si>
  <si>
    <t>TESI S.A. SUC. 20 SAN JUAN</t>
  </si>
  <si>
    <t>TESI S.A. SUC. 22 SAN LUIS</t>
  </si>
  <si>
    <t>TESI S.A. SUC. 23 SAN LUIS</t>
  </si>
  <si>
    <t>TESI S.A. SUC. 24 SAN JUAN</t>
  </si>
  <si>
    <t>TESI S.A. SUC. 25 SAN JUAN</t>
  </si>
  <si>
    <t>TESI S.A. SUC. 27 MENDOZA</t>
  </si>
  <si>
    <t>TESI S.A. SUC. 83 MELI</t>
  </si>
  <si>
    <t>TESI S.A. SUC. DEP.STOCK PULMON</t>
  </si>
  <si>
    <t>TESI S.A. SUC. DEPOSITO WEB</t>
  </si>
  <si>
    <t>TESI S.A. SUC. E- COMMERCE</t>
  </si>
  <si>
    <t>TESI S.A. SUC. DEPOSITO CENTRAL</t>
  </si>
  <si>
    <t>BIANCHINI SOSA ENRIQUE F.</t>
  </si>
  <si>
    <t>D'ALESSANDRO PAULO JAVIER</t>
  </si>
  <si>
    <t>JORGE L. SCHEJ Y NADIA SCHEJ S.H.</t>
  </si>
  <si>
    <t>CASA DEL PUEBLO</t>
  </si>
  <si>
    <t>TOYOS CASIMIRO Y OTROS SH</t>
  </si>
  <si>
    <t>1 - AUTHOGAR - Alberti</t>
  </si>
  <si>
    <t>2 - AUTHOGAR - Colon</t>
  </si>
  <si>
    <t>3 - AUTHOGAR - Estrada</t>
  </si>
  <si>
    <t>4 - AUTHOGAR - J.B.Justo</t>
  </si>
  <si>
    <t>5 - AUTHOGAR - Luro 5801</t>
  </si>
  <si>
    <t>6 - AUTHOGAR - Peralta Ramos</t>
  </si>
  <si>
    <t>MARIVANKIN LEONARDO MIGUEL</t>
  </si>
  <si>
    <t>Marivankin Leonardo Miguel</t>
  </si>
  <si>
    <t>PERALTA MARIA</t>
  </si>
  <si>
    <t>TOP SPORT S.A.</t>
  </si>
  <si>
    <t>TOP SPORT SA - MELI</t>
  </si>
  <si>
    <t>TOP SPORT SA -  WEB</t>
  </si>
  <si>
    <t>TOP SPORT - TOP12</t>
  </si>
  <si>
    <t>TOP SPORT - SEVEN15</t>
  </si>
  <si>
    <t>TOP SPORT - TOP16</t>
  </si>
  <si>
    <t>TOP SPORT - SEVEN17</t>
  </si>
  <si>
    <t>TOP SPORT - TOP18</t>
  </si>
  <si>
    <t>TOP SPORT - SEVEN19</t>
  </si>
  <si>
    <t>TOP SPORT - TOP21</t>
  </si>
  <si>
    <t>TOP SPORT - SEVEN23</t>
  </si>
  <si>
    <t>TOP SPORT - SEVEN25</t>
  </si>
  <si>
    <t>TOP SPORT - SEVEN26</t>
  </si>
  <si>
    <t>TOP SPORT - SEVEN30</t>
  </si>
  <si>
    <t>TOP SPORT - SEVEN33</t>
  </si>
  <si>
    <t>TOP SPORT - SEVEN45</t>
  </si>
  <si>
    <t>TOP SPORT - SEVEN50</t>
  </si>
  <si>
    <t>TOP SPORT - SEVEN68</t>
  </si>
  <si>
    <t>TOP SPORT - SEVEN69</t>
  </si>
  <si>
    <t>TOP SPORT - SEVEN71</t>
  </si>
  <si>
    <t>TOP SPORT - SVONLINE- E-COMMERCE</t>
  </si>
  <si>
    <t>TOP SPORT SA. (RESERVA)</t>
  </si>
  <si>
    <t>KARIAS SA.</t>
  </si>
  <si>
    <t>KARIAS SA</t>
  </si>
  <si>
    <t>KARIAS SA.  (CABILDO)</t>
  </si>
  <si>
    <t>KARIAS SA.  (FLOYCO)</t>
  </si>
  <si>
    <t>KARIAS SA.   (GRAL  PAZ)</t>
  </si>
  <si>
    <t>KARIAS SA.  (MARTINEZ)</t>
  </si>
  <si>
    <t>KARIAS SA.  (SAN JUSTO)</t>
  </si>
  <si>
    <t>KARIAS SA.  (BOULEVARD)</t>
  </si>
  <si>
    <t>KARIAS SA.  (LOMAS  2)</t>
  </si>
  <si>
    <t>KARIAS SA.   (ALTO AVELLANEDA)</t>
  </si>
  <si>
    <t>KARIAS SA. (ALTO PALERMO)</t>
  </si>
  <si>
    <t>KARIAS SA. (PASEO ALCORTA)</t>
  </si>
  <si>
    <t>KARIAS SA. (PATIO BULLRICH)</t>
  </si>
  <si>
    <t>KARIAS SA.  (POMPEYA)</t>
  </si>
  <si>
    <t>KARIAS SA.  (SANTA  FE)</t>
  </si>
  <si>
    <t>KARIAS SA.  (LINIERS)</t>
  </si>
  <si>
    <t>KARIAS SA.  (SOLEIL)</t>
  </si>
  <si>
    <t>KARIAS SA. (MONTE GRANDE)</t>
  </si>
  <si>
    <t>TANONI GASTON SA.</t>
  </si>
  <si>
    <t>ISRAEL FELER</t>
  </si>
  <si>
    <t>KADIMA - CORRIENTES</t>
  </si>
  <si>
    <t>ROBERTO NOSEDA SRL</t>
  </si>
  <si>
    <t>ROBERTO NOSEDA</t>
  </si>
  <si>
    <t>NIEVE SOL SA.</t>
  </si>
  <si>
    <t>RIO SKY SA.</t>
  </si>
  <si>
    <t>DEPORTES EL OBRERO SRL.</t>
  </si>
  <si>
    <t>PEREZ  VICTORIA</t>
  </si>
  <si>
    <t>TAMANGOS SPORT SRL</t>
  </si>
  <si>
    <t>DADO BAJA -  CIVA SA</t>
  </si>
  <si>
    <t>CIVA SA - GOYA - CORRIENTES</t>
  </si>
  <si>
    <t>CIVA SA  -  ( Deposito central )</t>
  </si>
  <si>
    <t>CIVA SA - RECONQUISTA - STA. FE</t>
  </si>
  <si>
    <t>CIVA SA - RESISTENCIA - CHACO</t>
  </si>
  <si>
    <t>CIVA SA - FORMOSA</t>
  </si>
  <si>
    <t>1 - FULL RAM SPORT - Guemes</t>
  </si>
  <si>
    <t>2 - FULL RAM SPORT - Junin</t>
  </si>
  <si>
    <t>3 - FULL RAM SPORT - Peron</t>
  </si>
  <si>
    <t>4 - FULL RAM SPORT - Rivadavia 754</t>
  </si>
  <si>
    <t>5 - FULL RAM SPORT - Rivadavia 775</t>
  </si>
  <si>
    <t>MARATHON  SRL.</t>
  </si>
  <si>
    <t>MARATHON OUTLET CAP10 HIPER ACC</t>
  </si>
  <si>
    <t>MARATHON IMAGEN CAP01 24 DE SEPT</t>
  </si>
  <si>
    <t>MARATHON IMAGEN CAP02 CORD Y JUNIN</t>
  </si>
  <si>
    <t>MARATHON IMAGEN CAP03 25 DE MAYO</t>
  </si>
  <si>
    <t>MARATHON IMAGEN CAP04 HIPER ACC MAX</t>
  </si>
  <si>
    <t>MARATHON IMAGEN CAP15 MAIPU 241</t>
  </si>
  <si>
    <t>MARATHON IMAGEN CAP06 ROC MAX</t>
  </si>
  <si>
    <t>MARATHON OUTLET CAP07 ROC OUT</t>
  </si>
  <si>
    <t>MARATHON OUTLET CAP09 AV SAR 278</t>
  </si>
  <si>
    <t>MARATHON IMAGEN CON01 S MARTIN</t>
  </si>
  <si>
    <t>MARATHON IMAGEN CON02 S MARTIN 1399</t>
  </si>
  <si>
    <t>MARATHON OUTLET CON03 ITALIA 1298</t>
  </si>
  <si>
    <t>MARATHON IMAGEN MON01 COLON 180</t>
  </si>
  <si>
    <t>MARATHON IMAGEN AGU01 ALBERDI 952</t>
  </si>
  <si>
    <t>MARATHON IMAGEN YEB01 GP MAX</t>
  </si>
  <si>
    <t>MARATHON IMAGEN TAF01 AV ALEM 279</t>
  </si>
  <si>
    <t>MARATHON CENTRAL DEPOSITO</t>
  </si>
  <si>
    <t>MARATHON WEB CAP11 VENTA ONLINE</t>
  </si>
  <si>
    <t>MARATHON MODA CAP01 PORTAL CM</t>
  </si>
  <si>
    <t>MARATHON MODA CAP02 HIPER SAL CM</t>
  </si>
  <si>
    <t>MARATHON OUTLET CAP03 HIPER SAL</t>
  </si>
  <si>
    <t>MARATHON IMAGEN CAP04 HIPER SAL MAX</t>
  </si>
  <si>
    <t>MARATHON IMAGEN CAP05 FLORIDA 121</t>
  </si>
  <si>
    <t>MARATHON IMAGEN TAR01 GUEMES 467</t>
  </si>
  <si>
    <t>MARATHON OUTLET TAR02 CORN 469</t>
  </si>
  <si>
    <t>MARATHON IMAGEN MET01 9 DE JULIO</t>
  </si>
  <si>
    <t>MARATHON IMAGEN VG01 AV S MARTIN</t>
  </si>
  <si>
    <t>MARATHON IMAGEN LED01 BELGRANO 390</t>
  </si>
  <si>
    <t>MARATHON IMAGEN CAP01 HIPER ROS MAX</t>
  </si>
  <si>
    <t>MARATHON OUTLET CAP02 S LUIS 1330</t>
  </si>
  <si>
    <t>MARATHON IMAGEN CAP03 SAN LUIS 1261</t>
  </si>
  <si>
    <t>MARATHON IMAGEN CAP04 PTE PERON</t>
  </si>
  <si>
    <t>MARATHON IMAGEN CAP05 MENDOZA 3848</t>
  </si>
  <si>
    <t>MARATHON IMAGEN CAP06 PORTAL</t>
  </si>
  <si>
    <t>MARATHON OUTLET PIL01 PASEO CHAMPA</t>
  </si>
  <si>
    <t>MARATHON IMAGEN CAP01 HIPER C</t>
  </si>
  <si>
    <t>ZETA 4 SA</t>
  </si>
  <si>
    <t>MEANA IVANA ALEJANDRA</t>
  </si>
  <si>
    <t>GRAVANO SANDRA NOEMI</t>
  </si>
  <si>
    <t>B1- MEGRA VARELA II</t>
  </si>
  <si>
    <t>ND- SARANDI FACTORY</t>
  </si>
  <si>
    <t>DALMARAN  SA</t>
  </si>
  <si>
    <t>FITIPALDI ZULMA EDELMA</t>
  </si>
  <si>
    <t>STAR GOLF SRL</t>
  </si>
  <si>
    <t>STAR GOLF SRL.</t>
  </si>
  <si>
    <t>DIAZ JOSE ALEJANDRO</t>
  </si>
  <si>
    <t>EL ASCHKAR JOSE ANTONIO</t>
  </si>
  <si>
    <t>WINOGRAD SPORTS SRL</t>
  </si>
  <si>
    <t>IRIGOYEN MARIA ELIZABET</t>
  </si>
  <si>
    <t>ESKINASI MARIA LUISA</t>
  </si>
  <si>
    <t>FERNÁNDEZ LAGES AGUSTIN Y MARIA.G.</t>
  </si>
  <si>
    <t>GIORDANO ANDRES CRAVERO MONICA A.</t>
  </si>
  <si>
    <t>GIORDANO ANDRES CRAVERO MONICA</t>
  </si>
  <si>
    <t>FERREIRA- 02-MONTE</t>
  </si>
  <si>
    <t>FERREIRA- 03-BELGRANO</t>
  </si>
  <si>
    <t>FERREIRA- 04-BROWN Y DONADO</t>
  </si>
  <si>
    <t>FERREIRA- 05-SHOPPING BAHÍA</t>
  </si>
  <si>
    <t>FERREIRA- 06-DEPÓSITO</t>
  </si>
  <si>
    <t>FERREIRA- 08-CONCEPT</t>
  </si>
  <si>
    <t>FERREIRA- 09-VILLA MITRE</t>
  </si>
  <si>
    <t>FERREIRA- 10-SÉPTIMO ALSINA</t>
  </si>
  <si>
    <t>FERREIRA- 11-SUAREZ</t>
  </si>
  <si>
    <t>FERREIRA- 12-PUNTA ALTA</t>
  </si>
  <si>
    <t>FERREIRA- 13-ESPAÑA OUTLET</t>
  </si>
  <si>
    <t>FERREIRA- 14-ONLINE</t>
  </si>
  <si>
    <t>FERREIRA- 15-SÉPTIMO SHOP BAHÍA</t>
  </si>
  <si>
    <t>FERREIRA- 16-PASEO OUTLET BAHÍA</t>
  </si>
  <si>
    <t>FERREIRA- 17-SÉPTIMO CHICLANA</t>
  </si>
  <si>
    <t>FERREIRA- 21-BASKET CAPITAL</t>
  </si>
  <si>
    <t>FERREIRA- 23-BC BAHÍA</t>
  </si>
  <si>
    <t>FERREIRA- 01-OHIGGINS</t>
  </si>
  <si>
    <t>AIMETTA SANDRA VICENTA</t>
  </si>
  <si>
    <t>DI GIACOMO MARIA INES DI GIACOMO?</t>
  </si>
  <si>
    <t>MEDIALDEA CLAUDIO</t>
  </si>
  <si>
    <t>BERENGUER JOSE ALDO</t>
  </si>
  <si>
    <t>COPES SPORT (Suc. CAÑUELAS)</t>
  </si>
  <si>
    <t>LA CELADA S.A. - JJ DEPORTES</t>
  </si>
  <si>
    <t>LA CELADA S.A. - ON</t>
  </si>
  <si>
    <t>LA CELADA S.A. - WEB ON</t>
  </si>
  <si>
    <t>LA CELADA S.A. - IN STORE</t>
  </si>
  <si>
    <t>LA CELADA S.A. - WEB IN STORE</t>
  </si>
  <si>
    <t>OSOL S.R.L</t>
  </si>
  <si>
    <t>1 - APOLO DEPORTES - Cordoba 2015</t>
  </si>
  <si>
    <t>2 - APOLO DEPORTES EXCLUSIVO - Posa</t>
  </si>
  <si>
    <t>CASA 2000 S.A. (PERIFERIA)</t>
  </si>
  <si>
    <t>BANQUO S.A</t>
  </si>
  <si>
    <t>Perfa Group S.A.</t>
  </si>
  <si>
    <t>RAMOS ADRIAN JAVIER</t>
  </si>
  <si>
    <t>LA BOINA S.A</t>
  </si>
  <si>
    <t>HANDICAP S.A NC</t>
  </si>
  <si>
    <t>DONDE BRILLA EL SOL S.A.</t>
  </si>
  <si>
    <t>FABRIDEL GROUP S.A.</t>
  </si>
  <si>
    <t>NORMA NOEMI PEÑA</t>
  </si>
  <si>
    <t>MOYANO AGUIRRE ROBERTO</t>
  </si>
  <si>
    <t>MABEL SALINAS - SUC 1-TUPUNGATO</t>
  </si>
  <si>
    <t>MABEL SALINAS - SUC 2-TUPUNGATO</t>
  </si>
  <si>
    <t>MABEL SALINAS -SUC 3-MENDOZA OUTLET</t>
  </si>
  <si>
    <t>MABEL SALINAS - SUC 4-MENDOZA</t>
  </si>
  <si>
    <t>MABEL SALINAS - SUC 5-MENDOZA</t>
  </si>
  <si>
    <t>MABEL SALINAS - SUC 6-MENDOZA</t>
  </si>
  <si>
    <t>MABEL SALINAS - SUC 16-MAIPU</t>
  </si>
  <si>
    <t>MABEL SALINAS - SUC 21-TUNUYAN</t>
  </si>
  <si>
    <t>MABEL SALINAS - SUC 22-LUJAN</t>
  </si>
  <si>
    <t>MABEL SALINAS - SUC 25-MAIPU</t>
  </si>
  <si>
    <t>MABEL SALINAS - SUC 26-SAN MARTÍN</t>
  </si>
  <si>
    <t>MABEL SALINAS-SUC 27-GUAYMALLEN WEB</t>
  </si>
  <si>
    <t>MABEL SALINAS - SUC 30-MENDOZA</t>
  </si>
  <si>
    <t>MABEL SALINAS - SUC 33-SAN RAFAEL</t>
  </si>
  <si>
    <t>MABEL SALINAS - SUC 35 - GUAYMALLEN</t>
  </si>
  <si>
    <t>MABEL SALINAS-SUC 36-GUAYM. SHOPP</t>
  </si>
  <si>
    <t>MABEL SALINAS - SUC 37-GODOY CRUZ</t>
  </si>
  <si>
    <t>MABEL SALINAS - SUC 41-NEUQUEN</t>
  </si>
  <si>
    <t>MABEL SALINAS - SUC 42-NEUQUEN</t>
  </si>
  <si>
    <t>MABEL SALINAS - SUC 43-NEUQUEN DEP</t>
  </si>
  <si>
    <t>BFOOT /KIDS</t>
  </si>
  <si>
    <t>ROSSPORT S.A- DEPOSITO 1</t>
  </si>
  <si>
    <t>HENZY CBA - ROSSPORT S.A</t>
  </si>
  <si>
    <t>ROSSPORT S.A LOC. 12</t>
  </si>
  <si>
    <t>ROSSPORT S.A-LOC.14- ALL SPORTS</t>
  </si>
  <si>
    <t>ROSSPORT S.A-LOC.15-ALL SPORTS</t>
  </si>
  <si>
    <t>ROSSPORT S.A-LOC.16-ALL SPORTS</t>
  </si>
  <si>
    <t>ROSSPORT S.A-LOC.17-ROSSPORT</t>
  </si>
  <si>
    <t>ROSSPORT S.A LOC. 18</t>
  </si>
  <si>
    <t>ROSSPORT S.A LOC. 19</t>
  </si>
  <si>
    <t>ROSSPORT S.A LOC. 20</t>
  </si>
  <si>
    <t>ROSSPORT S.A LOC. 21</t>
  </si>
  <si>
    <t>ROSSPORT S.A-LOC.22- OUTLET</t>
  </si>
  <si>
    <t>ROSSPORT S.A LOC. 23</t>
  </si>
  <si>
    <t>ROSSPORT S.A-LOC.24-ROSSPORT</t>
  </si>
  <si>
    <t>ROSSPORT S.A- LOC.25-ROSSPORT</t>
  </si>
  <si>
    <t>ROSSPORT S.A-LOC.26-ALL SPORTS</t>
  </si>
  <si>
    <t>ROSSPORT S.A-OUTLET</t>
  </si>
  <si>
    <t>ROSSPORT S.A-LOC.28-ROSSPORT FUTBOL</t>
  </si>
  <si>
    <t>ROSSPORT S.A- LOC.29-OUTLET</t>
  </si>
  <si>
    <t>ROSSPORT S.A-LOC.30-ALL SPORTS</t>
  </si>
  <si>
    <t>ROSSPORT S.A- LOC.32-ROSSETTI DEPOR</t>
  </si>
  <si>
    <t>ROSSPORT S.A LOC. 33</t>
  </si>
  <si>
    <t>ROSSPORT S.A-LOC.34-ALL SPORTS</t>
  </si>
  <si>
    <t>ROSSPORT S.A-LOC.36-ROSSPORT</t>
  </si>
  <si>
    <t>ROSSPORT S.A- LOC.37-ALL SPORTS</t>
  </si>
  <si>
    <t>ROSSPORT S.A-LOC.38-ALL SPORTS</t>
  </si>
  <si>
    <t>ROSSPORT S.A LOC. 39</t>
  </si>
  <si>
    <t>ROSSPORT S.A-LOC.41-OUTLET</t>
  </si>
  <si>
    <t>ROSSPORT S.A-LOC.42-ALL SPORTS</t>
  </si>
  <si>
    <t>ROSSPORT S.A LOC. 43</t>
  </si>
  <si>
    <t>ROSSPORT S.A-LOC.44-ALL SPORTS</t>
  </si>
  <si>
    <t>ROSSPORT S.A-LOC.46-OUTLET</t>
  </si>
  <si>
    <t>ROSSPORT S.A LOC. 47</t>
  </si>
  <si>
    <t>ROSSPORT S.A-LOC.48-OUTLET</t>
  </si>
  <si>
    <t>ROSSPORT S.A-LOC.49-ROSSPORT</t>
  </si>
  <si>
    <t>ROSSPORT S.A-LOC.50-OUTLET</t>
  </si>
  <si>
    <t>ROSSPORT S.A-LOC.51-OUTLET</t>
  </si>
  <si>
    <t>ROSSPORT S.A LOC. 52</t>
  </si>
  <si>
    <t>ROSSPORT S.A-LOC.54-ALL SPORTS</t>
  </si>
  <si>
    <t>ROSSPORT S.A-LOC.58-ROSSPORT</t>
  </si>
  <si>
    <t>ROSSPORT S.A-LOC.66-ALL SPORTS</t>
  </si>
  <si>
    <t>ROSSPORT S.A-LOC.67 - HENZY</t>
  </si>
  <si>
    <t>ROSSPORT S.A- LOC.68 - HENZY</t>
  </si>
  <si>
    <t>ROSSPORT S.A- LOC.69 - HENZY</t>
  </si>
  <si>
    <t>ROSSPORT S.A- LOC.70 - HENZY</t>
  </si>
  <si>
    <t>ROSSPORT S.A-LOC.71-HENZY</t>
  </si>
  <si>
    <t>ROSSPORT S.A- LOC.72- HENZY</t>
  </si>
  <si>
    <t>ROSSPORT S.A- LOC.73- HENZY</t>
  </si>
  <si>
    <t>ROSSPORT S.A- LOC.75-ROSSETTI DEPOR</t>
  </si>
  <si>
    <t>ROSSPORT S.A-LOC.81-ROSSPORT</t>
  </si>
  <si>
    <t>ROSSPORT S.A-LOC.82- HENZY</t>
  </si>
  <si>
    <t>ROSSPORT S.A-LOC.83- HENZY</t>
  </si>
  <si>
    <t>ROSSPORT S.A-LOC.84- HENZY</t>
  </si>
  <si>
    <t>ROSSPORT S.A-LOC.85- HENZY</t>
  </si>
  <si>
    <t>ROSSPORT S.A- LOC.86- HENZY</t>
  </si>
  <si>
    <t>ROSSPORT S.A-LOC.87- HENZY</t>
  </si>
  <si>
    <t>ROSSPORT S.A-LOC.88- HENZY</t>
  </si>
  <si>
    <t>ROSSPORT S.A-LOC.89-ROSSPORT</t>
  </si>
  <si>
    <t>ROSSPORT S.A LOC. 91</t>
  </si>
  <si>
    <t>ROSSPORT S.A-LOC.93-ROSSPORT</t>
  </si>
  <si>
    <t>ROSSPORT S.A LOC. 95</t>
  </si>
  <si>
    <t>ROSSPORT S.A-LOC.98-ROSSPORT WEB</t>
  </si>
  <si>
    <t>ROSSPORT S.A-LOC.99-HENZY WEB</t>
  </si>
  <si>
    <t>ROSSPORT S.A-ROSSPORT-FRANQUICIAS</t>
  </si>
  <si>
    <t>ROSSPORT S.A-ROSSPORT-C.CENTRAL</t>
  </si>
  <si>
    <t>SAN MARTIN SPORT(Nvo.Negocio)</t>
  </si>
  <si>
    <t>ZAMPAGLIONE EZEQUIEL-TRIP MODA</t>
  </si>
  <si>
    <t>CABALLERO RUBEN OSCAR</t>
  </si>
  <si>
    <t>PUEBLO S.A. SUC. 1 SAN JUAN</t>
  </si>
  <si>
    <t>PUEBLO S.A. SUC. 2 SAN JUAN</t>
  </si>
  <si>
    <t>PUEBLO S.A. SUC. 4 SAN JUAN</t>
  </si>
  <si>
    <t>PUEBLO S.A. SUC. 13 SAN JUAN</t>
  </si>
  <si>
    <t>PUEBLO S.A. SUC. 15 CATAMARCA</t>
  </si>
  <si>
    <t>PUEBLO S.A. SUC. 16 LA BANDA-STGO.</t>
  </si>
  <si>
    <t>PUEBLO S.A. SUC. 21 SAN LUIS</t>
  </si>
  <si>
    <t>PUEBLO S.A. SUC. 26 LA RIOJA</t>
  </si>
  <si>
    <t>PUEBLO S.A. SUC. 28 CATAMARCA</t>
  </si>
  <si>
    <t>PUEBLO S.A. SUC. 30 STG. DEL ESTERO</t>
  </si>
  <si>
    <t>PUEBLO S.A. SUC. 31 LA RIOJA</t>
  </si>
  <si>
    <t>PUEBLO S.A. SUC. 33 TUCUMAN</t>
  </si>
  <si>
    <t>PUEBLO S.A. SUC. 34 SAN JUAN</t>
  </si>
  <si>
    <t>PUEBLO S.A. SUC. 35 SAN JUAN</t>
  </si>
  <si>
    <t>PUEBLO S.A. SUC. 36 MENDOZA</t>
  </si>
  <si>
    <t>PUEBLO S.A. SUC. 38 TUCUMAN-CONCEP.</t>
  </si>
  <si>
    <t>PUEBLO S.A. SUC. 82 MELI</t>
  </si>
  <si>
    <t>PUEBLO S.A. SUC. ECOMMERCE</t>
  </si>
  <si>
    <t>PUEBLO S.A. SUC. 199 DEP. WEB</t>
  </si>
  <si>
    <t>PUEBLO S.A. SUC. 99 DEP. CENTRAL</t>
  </si>
  <si>
    <t>ZARCAL S.A - BOMPIE</t>
  </si>
  <si>
    <t>FACTORY SPORT SA-INTERNET/WEB</t>
  </si>
  <si>
    <t>FACTORY SPORT SA - MELI</t>
  </si>
  <si>
    <t>TOP SPORT - TOP03</t>
  </si>
  <si>
    <t>TOP SPORT - SEVEN04</t>
  </si>
  <si>
    <t>TOP SPORT - TOP06</t>
  </si>
  <si>
    <t>TOP SPORT - SEVEN07</t>
  </si>
  <si>
    <t>TOP SPORT - SEVEN08</t>
  </si>
  <si>
    <t>TOP SPORT - SEVEN10</t>
  </si>
  <si>
    <t>TOP SPORT - SEVEN34</t>
  </si>
  <si>
    <t>TOP SPORT - SEVEN35</t>
  </si>
  <si>
    <t>TOP SPORT - TOP36</t>
  </si>
  <si>
    <t>TOP SPORT - SEVEN38</t>
  </si>
  <si>
    <t>TOP SPORT - SEVEN39</t>
  </si>
  <si>
    <t>TOP SPORT - SEVEN40</t>
  </si>
  <si>
    <t>TOP SPORT - TOP41</t>
  </si>
  <si>
    <t>TOP SPORT - TOP42</t>
  </si>
  <si>
    <t>TOP SPORT - SEVEN44</t>
  </si>
  <si>
    <t>TOP SPORT - SEVEN46</t>
  </si>
  <si>
    <t>TOP SPORT - SEVEN49</t>
  </si>
  <si>
    <t>FACTORY SPORT SA  (RESERVA)</t>
  </si>
  <si>
    <t>A05 GUALEGUAYCHU</t>
  </si>
  <si>
    <t>A06 PERGAMINO</t>
  </si>
  <si>
    <t>A07 CONCORDIA</t>
  </si>
  <si>
    <t>A08 TORTUGUITAS</t>
  </si>
  <si>
    <t>A09 MAQ. SAVIO</t>
  </si>
  <si>
    <t>A11 MAQ. SAVIO</t>
  </si>
  <si>
    <t>A12 GRAND BOURG</t>
  </si>
  <si>
    <t>A14 CAMPANA</t>
  </si>
  <si>
    <t>A16 SAN FERNANDO</t>
  </si>
  <si>
    <t>A19 VILLA MERCEDES</t>
  </si>
  <si>
    <t>A20 SANTA FE</t>
  </si>
  <si>
    <t>A24 BENAVIDEZ</t>
  </si>
  <si>
    <t>A25 ALBERTI</t>
  </si>
  <si>
    <t>A26 MENDOZA</t>
  </si>
  <si>
    <t>A27 MENDOZA</t>
  </si>
  <si>
    <t>A31 LA PAMPA (Santa Rosa)</t>
  </si>
  <si>
    <t>A32 VIEDMA</t>
  </si>
  <si>
    <t>A33 WILLIAM  MORRIS</t>
  </si>
  <si>
    <t>A34 JUNIN</t>
  </si>
  <si>
    <t>A36 GARIN</t>
  </si>
  <si>
    <t>A38 VILLA MERCEDES</t>
  </si>
  <si>
    <t>1 - BISORDI EXCLUSIVO - Shopping Sa</t>
  </si>
  <si>
    <t>ARIMA SPORT</t>
  </si>
  <si>
    <t>101 - CELIND DEPORTES S.R.L.</t>
  </si>
  <si>
    <t>102 - CELIND DEPORTES S.R.L.</t>
  </si>
  <si>
    <t>103 - CELIND DEPORTES S.R.L.</t>
  </si>
  <si>
    <t>104 - CELIND DEPORTES S.R.L.</t>
  </si>
  <si>
    <t>105 - CELIND DEPORTES S.R.L.</t>
  </si>
  <si>
    <t>106 - CELIND DEPORTES S.R.L.</t>
  </si>
  <si>
    <t>107 - CELIND DEPORTES S.R.L.</t>
  </si>
  <si>
    <t>108 - CELIND DEPORTES S.R.L.</t>
  </si>
  <si>
    <t>109 - CELIND DEPORTES S.R.L.</t>
  </si>
  <si>
    <t>110 - CELIND DEPORTES S.R.L.</t>
  </si>
  <si>
    <t>111 - CELIND DEPORTES S.R.L.</t>
  </si>
  <si>
    <t>112 - CELIND DEPORTES S.R.L.</t>
  </si>
  <si>
    <t>113 - CELIND DEPORTES S.R.L.</t>
  </si>
  <si>
    <t>114 - CELIND DEPORTES S.R.L.</t>
  </si>
  <si>
    <t>CELIND DEPORTES - RAMIRO SOTO</t>
  </si>
  <si>
    <t>116 - CELIND DEPORTES S.R.L.</t>
  </si>
  <si>
    <t>117 - CELIND DEPORTES S.R.L.</t>
  </si>
  <si>
    <t>118 - CELIND DEPORTES S.R.L.</t>
  </si>
  <si>
    <t>119 - CELIND DEPORTES S.R.L.</t>
  </si>
  <si>
    <t>120 - CELIND DEPORTES S.R.L.</t>
  </si>
  <si>
    <t>121 - CELIND DEPORTES S.R.L.</t>
  </si>
  <si>
    <t>122 - CELIND DEPORTES S.R.L.</t>
  </si>
  <si>
    <t>123 - CELIND DEPORTES S.R.L.</t>
  </si>
  <si>
    <t>124 - CELIND DEPORTES S.R.L.</t>
  </si>
  <si>
    <t>125 - ANADEL CALZADOS y DEPORTES SA</t>
  </si>
  <si>
    <t>126 - CELIND DEPORTES S.R.L.</t>
  </si>
  <si>
    <t>127 - CELIND DEPORTES S.R.L.</t>
  </si>
  <si>
    <t>128 - CELIND DEPORTES S.R.L.</t>
  </si>
  <si>
    <t>129 - CELIND DEPORTES S.R.L.</t>
  </si>
  <si>
    <t>130 - CELIND DEPORTES S.R.L.</t>
  </si>
  <si>
    <t>131 - CELIND DEPORTES S.R.L.</t>
  </si>
  <si>
    <t>132 - CELIND DEPORTES S.R.L.</t>
  </si>
  <si>
    <t>133 - CELIND DEPORTES S.R.L.</t>
  </si>
  <si>
    <t>134 - CELIND DEPORTES S.R.L.</t>
  </si>
  <si>
    <t>135 - CELIND DEPORTES S.R.L.</t>
  </si>
  <si>
    <t>CELIND DEPORTES S.R.L.-RESERVA</t>
  </si>
  <si>
    <t>COMERCIAL FLORIDA S.R.L.</t>
  </si>
  <si>
    <t>FORTALEZA EXTREMA S.A. - MELI</t>
  </si>
  <si>
    <t>FORTALEZA EXTREMA S.A. - WEB</t>
  </si>
  <si>
    <t>TOP SPORT - EXIT1</t>
  </si>
  <si>
    <t>TOP SPORT - EXIT2</t>
  </si>
  <si>
    <t>TOP SPORT - EXIT3</t>
  </si>
  <si>
    <t>TOP SPORT - EXIT4</t>
  </si>
  <si>
    <t>TOP SPORT - EXIT5</t>
  </si>
  <si>
    <t>TOP SPORT - CHELSEA6</t>
  </si>
  <si>
    <t>TOP SPORT - EXIT7</t>
  </si>
  <si>
    <t>TOP SPORT - CHELSEA8</t>
  </si>
  <si>
    <t>TOP SPORT - CHELSEA9</t>
  </si>
  <si>
    <t>TOP SPORT - CHELSE10</t>
  </si>
  <si>
    <t>TOP SPORT - CHELSE11</t>
  </si>
  <si>
    <t>TOP SPORT - CHELSE12</t>
  </si>
  <si>
    <t>TOP SPORT - CHELSE13</t>
  </si>
  <si>
    <t>TOP SPORT - CHELSE14</t>
  </si>
  <si>
    <t>TOP SPORT - CHELSE15</t>
  </si>
  <si>
    <t>TOP SPORT - EXIT16</t>
  </si>
  <si>
    <t>TOP SPORT - EXIT17</t>
  </si>
  <si>
    <t>TOP SPORT - EXIT18</t>
  </si>
  <si>
    <t>TOP SPORT - CHONLINE- E-COMMERCE</t>
  </si>
  <si>
    <t>NUEVAS MUEBLERIAS AVENIDA S.A.(Bol</t>
  </si>
  <si>
    <t>NUEVAS MUEBLERIAS AVENIDA (Chacabu</t>
  </si>
  <si>
    <t>NUEVAS MUEBLERIAS AVENIDA (Arrecif</t>
  </si>
  <si>
    <t>NUEVAS MUEBLERIAS AVENIDA S.A. (Gi</t>
  </si>
  <si>
    <t>NUEVAS MUEBLERIAS AVENIDA (Trenque</t>
  </si>
  <si>
    <t>NUEVAS MUEBLERIAS AVENIDA (Ramallo</t>
  </si>
  <si>
    <t>NUEVAS MUEBLERIAS AVENIDA S.A. C A</t>
  </si>
  <si>
    <t>BAGLEY ARGENTINA SA</t>
  </si>
  <si>
    <t>101- BG- CORDOBA</t>
  </si>
  <si>
    <t>102- BG - SALTO</t>
  </si>
  <si>
    <t>103-BG - V. MERCEDES</t>
  </si>
  <si>
    <t>104- BG - V. TOTORAL</t>
  </si>
  <si>
    <t>CARTOCOR S.A.</t>
  </si>
  <si>
    <t>101- CT - ARROYITO CARTON</t>
  </si>
  <si>
    <t>102- CT - ARROYITO PAPEL</t>
  </si>
  <si>
    <t>103- CT - LUJAN</t>
  </si>
  <si>
    <t>104-CT - LUJAN FL.</t>
  </si>
  <si>
    <t>105- CT - PARANA</t>
  </si>
  <si>
    <t>106- CT - TORTUGUITAS</t>
  </si>
  <si>
    <t>108- CT - V. TOTORAL</t>
  </si>
  <si>
    <t>109- CT - MENDOZA</t>
  </si>
  <si>
    <t>110- CT - RANELAGH</t>
  </si>
  <si>
    <t>111- CT - QUILMES</t>
  </si>
  <si>
    <t>112- CT - SAN JUAN</t>
  </si>
  <si>
    <t>LA CAMPAGNOLA S.A.C.I.</t>
  </si>
  <si>
    <t>DOMINGUEZ GASTÓN y BLISTER MONTERO</t>
  </si>
  <si>
    <t>DOMINGUEZ GASTON Y BLISTER MONTERO</t>
  </si>
  <si>
    <t>ARCOR S.A.I.C.</t>
  </si>
  <si>
    <t>101- AR - ARROYITO</t>
  </si>
  <si>
    <t>102- AR - CAROYA</t>
  </si>
  <si>
    <t>103- AR - CHACABUCO</t>
  </si>
  <si>
    <t>104- AR - LA PROVIDENCIA</t>
  </si>
  <si>
    <t>105 - AR - MAIPU</t>
  </si>
  <si>
    <t>106- AR - PANAMERICANA</t>
  </si>
  <si>
    <t>107- AR - RECREO</t>
  </si>
  <si>
    <t>108- AR - SAN LUIS</t>
  </si>
  <si>
    <t>109- AR - SAN PEDRO</t>
  </si>
  <si>
    <t>110- AR - TUCUMAN</t>
  </si>
  <si>
    <t>112- AR - NUEVA AURORA</t>
  </si>
  <si>
    <t>113- AR - SAN RAFAEL</t>
  </si>
  <si>
    <t>114- AR - MAR DEL PLATA</t>
  </si>
  <si>
    <t>115- AR - SAN JUAN</t>
  </si>
  <si>
    <t>116- AR - VILLA MERCEDES</t>
  </si>
  <si>
    <t>118 - AR - CORRIENTES (M)</t>
  </si>
  <si>
    <t>119 - AR - MENDOZA (M)</t>
  </si>
  <si>
    <t>120 - AR - MAR DEL PLATA (M)</t>
  </si>
  <si>
    <t>121 - AR - ROSARIO (M)</t>
  </si>
  <si>
    <t>122 - AR - SALTA (M)</t>
  </si>
  <si>
    <t>123 - AR - SANTA FE (M)</t>
  </si>
  <si>
    <t>124 - AR - TUCUMAN (M)</t>
  </si>
  <si>
    <t>125 - AR - BAHÍA BLANCA</t>
  </si>
  <si>
    <t>126 - AR - MISIONES</t>
  </si>
  <si>
    <t>127 - AR - BARADERO</t>
  </si>
  <si>
    <t>128 - AR - CHACABUCO</t>
  </si>
  <si>
    <t>129 - AR - NEUQUÉN</t>
  </si>
  <si>
    <t>130 - AR - MUNRO</t>
  </si>
  <si>
    <t>MALEJUAN S.A. (DEP.CENTRAL)</t>
  </si>
  <si>
    <t>MALEJUAN S.A. LOCAL 49</t>
  </si>
  <si>
    <t>MALEJUAN S.A. LOCAL 48</t>
  </si>
  <si>
    <t>MALEJUAN S.A. LOCAL 46</t>
  </si>
  <si>
    <t>MALEJUAN S.A. LOCAL 50</t>
  </si>
  <si>
    <t>MALEJUAN S.A. LOCAL 52 (LINIERS)</t>
  </si>
  <si>
    <t>MALEJUAN S.A. LOCAL 401</t>
  </si>
  <si>
    <t>MALEJUAN S.A. LOCAL 47</t>
  </si>
  <si>
    <t>FERNANDEZ LUCIA Y FERNANDEZ FRANCIS</t>
  </si>
  <si>
    <t>SEGARRA DAVID EZEQUIEL</t>
  </si>
  <si>
    <t>ORLANDO JOSE RICARDO Y ORLANDO</t>
  </si>
  <si>
    <t>ZANARKAND-Suc 1- STAR 51</t>
  </si>
  <si>
    <t>ZANARKAND-Suc 2- STAR 62</t>
  </si>
  <si>
    <t>ZANARKAND-Suc 3- STAR OLMOS</t>
  </si>
  <si>
    <t>ZANARKAND-Suc 4- STAR 1260</t>
  </si>
  <si>
    <t>ZANARKAND-Suc 5- STAR M</t>
  </si>
  <si>
    <t>ZANARKAND-Suc 6- STAR BRANDSEN</t>
  </si>
  <si>
    <t>ZANARKAND-Suc 7- STAR ENSENADA</t>
  </si>
  <si>
    <t>ZANARKAND-Suc 8-STAR VILLA ELISA</t>
  </si>
  <si>
    <t>ZANARKAND-Suc 9- STAR WEB</t>
  </si>
  <si>
    <t>ZANARKAND-Suc 10- STAR BRANDSEN</t>
  </si>
  <si>
    <t>ZANARKAND-Suc 11- OTERO LH</t>
  </si>
  <si>
    <t>ZANARKAND-Suc 12- STAR BERISSO</t>
  </si>
  <si>
    <t>ZANARKAND-Suc 13-OTERO BRANDSEN</t>
  </si>
  <si>
    <t>ZANARKAND-Suc 14-STAR MAGDALENA</t>
  </si>
  <si>
    <t>ZANARKAND-Suc 15-STAR SALADILLO</t>
  </si>
  <si>
    <t>ZANARKAND-Suc16-STAR SALADILLO II</t>
  </si>
  <si>
    <t>ZANARKAND-Suc17-STAR SAN VICENTE</t>
  </si>
  <si>
    <t>ZUCAMOR CUYO S.A.</t>
  </si>
  <si>
    <t>PAPEL MISIONERO S A I F C</t>
  </si>
  <si>
    <t>101 - PAPEL MISIONERO - SAN LUIS</t>
  </si>
  <si>
    <t>102 - PAPEL MISIONERO - MISIONES</t>
  </si>
  <si>
    <t>S.W.A.T. DEPORTES S.R.L.</t>
  </si>
  <si>
    <t>CARLOS ROSSETTI S.A- DEPOSITO 1</t>
  </si>
  <si>
    <t>HENZY CBA - CARLOS ROSSETTI S.A.</t>
  </si>
  <si>
    <t>CARLOS ROSSETTI S.A. LOC. 12</t>
  </si>
  <si>
    <t>ROSSETTI- LOC.14- ALL SPORTS</t>
  </si>
  <si>
    <t>ROSSETTI- LOC.15-ALL SPORTS</t>
  </si>
  <si>
    <t>ROSSETTI- LOC.16-ALL SPORTS</t>
  </si>
  <si>
    <t>ROSSETTI- LOC.17-ROSSETTI DEPORTES</t>
  </si>
  <si>
    <t>CARLOS ROSSETTI S.A. LOC. 18</t>
  </si>
  <si>
    <t>CARLOS ROSSETTI S.A. LOC. 19</t>
  </si>
  <si>
    <t>CARLOS ROSSETTI S.A. LOC. 20</t>
  </si>
  <si>
    <t>CARLOS ROSSETTI S.A. LOC. 21</t>
  </si>
  <si>
    <t>ROSSETTI- LOC.22- OUTLET</t>
  </si>
  <si>
    <t>CARLOS ROSSETTI S.A. LOC. 23</t>
  </si>
  <si>
    <t>ROSSETTI-LOC.24-ROSSETTI DEPORTES</t>
  </si>
  <si>
    <t>ROSSETTI- LOC.25-ROSSETTI DEPORTES</t>
  </si>
  <si>
    <t>ROSSETTI- LOC.26-ALL SPORTS</t>
  </si>
  <si>
    <t>ROSSETTI- LOC.27- OUTLET</t>
  </si>
  <si>
    <t>ROSSETTI- LOC.28-ROSSETTI FUTBOL</t>
  </si>
  <si>
    <t>ROSSETTI- LOC.29-OUTLET</t>
  </si>
  <si>
    <t>ROSSETTI- LOC.30-ALL SPORTS</t>
  </si>
  <si>
    <t>ROSSETTI- LOC.32-ROSSETTI DEPORTES</t>
  </si>
  <si>
    <t>CARLOS ROSSETTI S.A. LOC. 33</t>
  </si>
  <si>
    <t>ROSSETTI- LOC.34-ALL SPORTS</t>
  </si>
  <si>
    <t>ROSSETTI- LOC.36-ROSSETTI DEPORTES</t>
  </si>
  <si>
    <t>ROSSETTI- LOC.37-ALL SPORTS</t>
  </si>
  <si>
    <t>ROSSETTI- LOC.38-ALL SPORTS</t>
  </si>
  <si>
    <t>CARLOS ROSSETTI S.A. LOC. 39</t>
  </si>
  <si>
    <t>ROSSETTI- LOC.41-OUTLET</t>
  </si>
  <si>
    <t>ROSSETTI- LOC.42-ALL SPORTS</t>
  </si>
  <si>
    <t>CARLOS ROSSETTI S.A. LOC. 43</t>
  </si>
  <si>
    <t>ROSSETTI- LOC.44-ALL SPORTS</t>
  </si>
  <si>
    <t>ROSSETTI- LOC.46-OUTLET</t>
  </si>
  <si>
    <t>CARLOS ROSSETTI S.A. LOC. 47</t>
  </si>
  <si>
    <t>ROSSETTI- LOC.48-OUTLET</t>
  </si>
  <si>
    <t>ROSSETTI- LOC.49-ROSSETTI DEPORTES</t>
  </si>
  <si>
    <t>ROSSETTI- LOC.50-OUTLET</t>
  </si>
  <si>
    <t>ROSSETTI- LOC.51-OUTLET</t>
  </si>
  <si>
    <t>CARLOS ROSSETTI S.A. LOC. 52</t>
  </si>
  <si>
    <t>ROSSETTI- LOC.54-ALL SPORTS</t>
  </si>
  <si>
    <t>ROSSETTI- LOC.58-ROSSETTI DEPORTES</t>
  </si>
  <si>
    <t>ROSSETTI- LOC.66-ALL SPORTS</t>
  </si>
  <si>
    <t>CARLOS ROSSETTI- LOC.67 - HENZY</t>
  </si>
  <si>
    <t>CARLOS ROSSETTI- LOC.68 - HENZY</t>
  </si>
  <si>
    <t>CARLOS ROSSETTI- LOC.69 - HENZY</t>
  </si>
  <si>
    <t>CARLOS ROSSETTI- LOC.70 - HENZY</t>
  </si>
  <si>
    <t>ROSSETTI- LOC.71-HENZY</t>
  </si>
  <si>
    <t>CARLOS ROSSETTI- LOC.72- HENZY</t>
  </si>
  <si>
    <t>CARLOS ROSSETTI- LOC.73- HENZY</t>
  </si>
  <si>
    <t>ROSSETTI- LOC.75-ROSSETTI DEPO</t>
  </si>
  <si>
    <t>ROSSETTI- LOC.81-ROSSETTI DEPORTES</t>
  </si>
  <si>
    <t>CARLOS ROSSETTI- LOC.82- HENZY</t>
  </si>
  <si>
    <t>CARLOS ROSSETTI- LOC.83- HENZY</t>
  </si>
  <si>
    <t>CARLOS ROSSETTI- LOC.84- HENZY</t>
  </si>
  <si>
    <t>CARLOS ROSSETTI- LOC.85- HENZY</t>
  </si>
  <si>
    <t>CARLOS ROSSETTI- LOC.86- HENZY</t>
  </si>
  <si>
    <t>CARLOS ROSSETTI- LOC.87- HENZY</t>
  </si>
  <si>
    <t>CARLOS ROSSETTI- LOC.88- HENZY</t>
  </si>
  <si>
    <t>ROSSETTI- LOC.89-ROSSETTI DEPORTES</t>
  </si>
  <si>
    <t>CARLOS ROSSETTI S.A. LOC. 91</t>
  </si>
  <si>
    <t>ROSSETTI- LOC.93-ROSSETTI DEPORTES</t>
  </si>
  <si>
    <t>CARLOS ROSSETTI S.A. LOC. 95</t>
  </si>
  <si>
    <t>ROSSETTI- LOC.98- ROSSETTI WEB</t>
  </si>
  <si>
    <t>ROSSETTI- LOC.99-HENZY WEB</t>
  </si>
  <si>
    <t>ROSSETTI-ROSSPORT-FRANQUICIAS</t>
  </si>
  <si>
    <t>ROSSETTI-ROSSPORT-C.CENTRAL</t>
  </si>
  <si>
    <t>MELI  VILLA CELINA</t>
  </si>
  <si>
    <t>INGRECOR S.A.</t>
  </si>
  <si>
    <t>OHL CALZADOS OLAVARRIA S.A.</t>
  </si>
  <si>
    <t>KALALEJA S.R.L</t>
  </si>
  <si>
    <t>REVOLVER SRL.</t>
  </si>
  <si>
    <t>ARD BARADERO - ARDION</t>
  </si>
  <si>
    <t>ARD CHACABUCO - ARDION</t>
  </si>
  <si>
    <t>LIMITE DEPORTES SRL- DEPOSITO</t>
  </si>
  <si>
    <t>LIMITE DEPORTES SRL- LULES</t>
  </si>
  <si>
    <t>LIMITE DEPORTES SRL- FAMAILLA</t>
  </si>
  <si>
    <t>LIMITE DEPORTES SRL- ALBERDI</t>
  </si>
  <si>
    <t>LIMITE DEPORTES SRL- LA BANDA</t>
  </si>
  <si>
    <t>LIMITE DEPORTES SRL- ALDERETE</t>
  </si>
  <si>
    <t>LIMITE DEPORTES SRL- WEB</t>
  </si>
  <si>
    <t>ABDENUR RICARDO RUBEN</t>
  </si>
  <si>
    <t>ORELLANA BERTA</t>
  </si>
  <si>
    <t>KPMG</t>
  </si>
  <si>
    <t>LUMAGO S.R.L.</t>
  </si>
  <si>
    <t>ARMANDO SPORT S.A.S.</t>
  </si>
  <si>
    <t>M.G. DEP SRL</t>
  </si>
  <si>
    <t>CJ-AYNAMA S. R. L.</t>
  </si>
  <si>
    <t>SBROLA SILVINA ALEJANDRA</t>
  </si>
  <si>
    <t>ENTREGAS A PUNTO S.A.</t>
  </si>
  <si>
    <t>ENTREGAS A PUNTO - RETIRO C. VARELA</t>
  </si>
  <si>
    <t>ENTREGAS A PUNTO- RETIRO LOMAS</t>
  </si>
  <si>
    <t>ENTREGAS A PUNTO- RETIRO M. GRANDE</t>
  </si>
  <si>
    <t>ENTREGAS A PUNTO - RETIRO MORON</t>
  </si>
  <si>
    <t>ENTREGAS A PUNTO - RETIRO TUCUMAN</t>
  </si>
  <si>
    <t>ENTREGAS A PUNTO- RETIRO F. VARELA</t>
  </si>
  <si>
    <t>GRUPO MORGADO S.A.</t>
  </si>
  <si>
    <t>MARSILLI JULIAN JOSE ALBERTO</t>
  </si>
  <si>
    <t>MARSILLI JULIAN JOSE ALBERT</t>
  </si>
  <si>
    <t>Suc.1 - SAN JUAN - MDQ DEPORTIVO</t>
  </si>
  <si>
    <t>Suc.2 - PEATONAL SAN MARTÍN- DEP.</t>
  </si>
  <si>
    <t>Suc 4 - Rivadavia - MDQ Outlet</t>
  </si>
  <si>
    <t>Suc 5 - Gesell 2 - MDQ Dep/Outlet</t>
  </si>
  <si>
    <t>Suc.15 -PINAMAR - MDQ Deportivo</t>
  </si>
  <si>
    <t>Suc.16 -TANDIL 2 - MDQ Deportivo</t>
  </si>
  <si>
    <t>Suc 19 - Tandil 3 - MDQ Dep/Outlet</t>
  </si>
  <si>
    <t>Suc 23 - Peatonal 2 - MDQ Outlet</t>
  </si>
  <si>
    <t>Suc 26 - Pinamar - MDQ Outlet</t>
  </si>
  <si>
    <t>Suc.41 -25 DE MAYO -MDQ Deportivo</t>
  </si>
  <si>
    <t>Suc 143 - GUEMES 2 - MDQ Le Sport</t>
  </si>
  <si>
    <t>Suc.46 -GRAL.ROCA - MDQ Deportivo</t>
  </si>
  <si>
    <t>Suc.47 -9 DE JULIO - MDQ Deportivo</t>
  </si>
  <si>
    <t>Suc.49 - BALCARCE - MDQ Deportivo</t>
  </si>
  <si>
    <t>Suc.51 -OLAVARRÍA 1 - MDQ Deportivo</t>
  </si>
  <si>
    <t>Suc 59 -AZUL - MDQ Deportivo</t>
  </si>
  <si>
    <t>Suc 62 - La Plata - MDQ Outlet</t>
  </si>
  <si>
    <t>Suc.63 -CHIVILCOY - MDQ Deportivo</t>
  </si>
  <si>
    <t>Suc 64 - Juan B. Justo - MDQ Dep/Ou</t>
  </si>
  <si>
    <t>Suc.65 -MERCEDES - MDQ Deportivo</t>
  </si>
  <si>
    <t>Suc.66 -SAN PEDRO - MDQ Deportivo</t>
  </si>
  <si>
    <t>Suc.67- NECOCHEA - MDQ Deportivo</t>
  </si>
  <si>
    <t>Suc.68 -VIEDMA -MDQ Deportivo</t>
  </si>
  <si>
    <t>Suc. 69 -BRAGADO - MDQ Deportivo</t>
  </si>
  <si>
    <t>Suc. 70 - BOLIVAR - MDQ Deportivo</t>
  </si>
  <si>
    <t>Suc 73 - Florida - MDQ Outlet</t>
  </si>
  <si>
    <t>Suc. 76 - PERGAMINO - MDQ Deportivo</t>
  </si>
  <si>
    <t>Suc 77 - Guemes - TRIP Moda</t>
  </si>
  <si>
    <t>Suc 79 - Olavarria - TRIP Moda</t>
  </si>
  <si>
    <t>Suc 81 - San Bernardo - MDQ Deporti</t>
  </si>
  <si>
    <t>Suc 82 - Mar de Ajo - MDQ Deportivo</t>
  </si>
  <si>
    <t>Suc 83 - Lobos - MDQ Deportivo</t>
  </si>
  <si>
    <t>Suc 84 - La Planta 2 - MDQ Deportiv</t>
  </si>
  <si>
    <t>Suc 85 - Tandil - TRIP Moda</t>
  </si>
  <si>
    <t>Suc 87 - Villa Gesell - TRIP Moda</t>
  </si>
  <si>
    <t>Suc 89 - Peatonal - TRIP Moda</t>
  </si>
  <si>
    <t>Suc 90 - Mercedes - TRIP Moda</t>
  </si>
  <si>
    <t>Suc 100 - Cañuelas - MDQ Deportivo</t>
  </si>
  <si>
    <t>Suc 101 - Chascomus - MDQ Deportivo</t>
  </si>
  <si>
    <t>Suc 102 - Dolores - MDQ Deportivo</t>
  </si>
  <si>
    <t>Suc 103 - San Clemente - MDQ Deport</t>
  </si>
  <si>
    <t>Suc 104 - Santa Teresita - MDQ Depo</t>
  </si>
  <si>
    <t>Suc 105 - La Plata - TRIP Moda</t>
  </si>
  <si>
    <t>Suc 106 - La Plata 3 - MDQ Deportiv</t>
  </si>
  <si>
    <t>Suc 109 - General Pico - MDQ Deport</t>
  </si>
  <si>
    <t>Suc 113 - Santa Rosa - MDQ Deportiv</t>
  </si>
  <si>
    <t>Suc 114 - Santa Rosa - TRIP Moda</t>
  </si>
  <si>
    <t>Suc 115 - Pinamar - TRIP Moda</t>
  </si>
  <si>
    <t>Suc 117 - Guemes - MDQ Deportivo</t>
  </si>
  <si>
    <t>Suc 120 - Catamarca - MDQ Dep/Outle</t>
  </si>
  <si>
    <t>Suc 127 - Roca - TRIP Moda</t>
  </si>
  <si>
    <t>Suc 139- Santa Rosa2- MDQ Deportivo</t>
  </si>
  <si>
    <t>Suc 142- Trenque Lauquen- MDQ Depor</t>
  </si>
  <si>
    <t>MDQ LE SPORTS S.A-TRIP MODA</t>
  </si>
  <si>
    <t>ANTONIO LUQUIN SPORTSMAN (Suc 1)</t>
  </si>
  <si>
    <t>ANTON LU SPORTS BAN RIO SALI Suc 3</t>
  </si>
  <si>
    <t>ANTONIO LUQUIN SPOR JUJUY (Suc.8)</t>
  </si>
  <si>
    <t>ANTONIO LU SPORTING SGO (Suc.10)</t>
  </si>
  <si>
    <t>ANTONIO LU SPORTS ALBERDI (Suc.15)</t>
  </si>
  <si>
    <t>ANTONIO LU SPORTING 8 (Suc.17)</t>
  </si>
  <si>
    <t>ANTONIO LU SPORT TERMINAL (Suc.23)</t>
  </si>
  <si>
    <t>ANTON LU SPORT SAN MAR MENDO Suc.32</t>
  </si>
  <si>
    <t>ANTONIO LU SPORTI SALTA II Suc. 37</t>
  </si>
  <si>
    <t>ANTO LU SPORT SAN PED DE JUJ SUC.44</t>
  </si>
  <si>
    <t>S.A.V.  S.A.</t>
  </si>
  <si>
    <t>S.A.V.</t>
  </si>
  <si>
    <t>102 - MOOV FLORIDA II</t>
  </si>
  <si>
    <t>3 - DEXTER SAN ISIDRO</t>
  </si>
  <si>
    <t>53- DABRA SA (UNICENTER II)</t>
  </si>
  <si>
    <t>5  - DABRA SA (HURLINGHAM)</t>
  </si>
  <si>
    <t>148 - MOOV SAN MARTIN</t>
  </si>
  <si>
    <t>78-SAN MARTIN CORDOBA</t>
  </si>
  <si>
    <t>128 -DEXTER-MENDOZA- PORTAL LOS AND</t>
  </si>
  <si>
    <t>132-DEXTER MENDOZA PLAZA SHOPPING</t>
  </si>
  <si>
    <t>199 -SC -UNICENTER - MARTÍNEZ</t>
  </si>
  <si>
    <t>210 - MOOV PARANA</t>
  </si>
  <si>
    <t>11 - MOOV MORON</t>
  </si>
  <si>
    <t>214- MOOV NEUQUÉN SAN FERNANDO</t>
  </si>
  <si>
    <t>215- MOOV CORDOBA</t>
  </si>
  <si>
    <t>218- MOOV LUJAN</t>
  </si>
  <si>
    <t>219 - MOOV UNICENTER</t>
  </si>
  <si>
    <t>221 - MOOV FLORES</t>
  </si>
  <si>
    <t>222-DEXTER SG MORON</t>
  </si>
  <si>
    <t>223 - DEXTER JOSE C PAZ</t>
  </si>
  <si>
    <t>224 - MOOV RESISTENCIA</t>
  </si>
  <si>
    <t>225 - MOOV PACHECO</t>
  </si>
  <si>
    <t>226 - MOOV SANTA FE</t>
  </si>
  <si>
    <t>227 - MOOV CORRIENTES</t>
  </si>
  <si>
    <t>228 - MOOV VARELA</t>
  </si>
  <si>
    <t>229 - MOOV SANTIAGO DEL ESTERO</t>
  </si>
  <si>
    <t>230 - MOOV TUCUMAN</t>
  </si>
  <si>
    <t>231- MOOV PORTAL NEUQUÉN</t>
  </si>
  <si>
    <t>232 - MOOV MORENO</t>
  </si>
  <si>
    <t>233-CORDOBA (PEATONAL)</t>
  </si>
  <si>
    <t>234 - MOOV PARQUE BROWN</t>
  </si>
  <si>
    <t>35 - MOOV MERLO</t>
  </si>
  <si>
    <t>236- DEXTER MENDOZA- PLAZA SHOPPING</t>
  </si>
  <si>
    <t>188 - MOOV QUILMES</t>
  </si>
  <si>
    <t>43 - MOOV TERRAZAS DE MAYO</t>
  </si>
  <si>
    <t>200-MOOV CABALLITO</t>
  </si>
  <si>
    <t>145 - MOOV MENDOZA</t>
  </si>
  <si>
    <t>126 - MOOV SALTA II</t>
  </si>
  <si>
    <t>127 - MOOV ALTO ROSARIO SHOPPING</t>
  </si>
  <si>
    <t>121 - MOOV ABASTO DE BUENOS AIRES</t>
  </si>
  <si>
    <t>49- MOOV ALTO AVELLANEDA SHOPPING M</t>
  </si>
  <si>
    <t>52 - MOOV LOMAS I</t>
  </si>
  <si>
    <t>159 - MOOV SAN JUAN CENTRO</t>
  </si>
  <si>
    <t>165 - MOOV BELGRANO</t>
  </si>
  <si>
    <t>166 - MOOV ROSARIO CENTRO</t>
  </si>
  <si>
    <t>76 - MOOV CORNER</t>
  </si>
  <si>
    <t>77 - MOOV LANUS</t>
  </si>
  <si>
    <t>82- DABRA SA. ZÁRATE</t>
  </si>
  <si>
    <t>91 - DEXTER JUNÍN</t>
  </si>
  <si>
    <t>167-STOCK CENTER SHOW LOMAS</t>
  </si>
  <si>
    <t>211 - DEXTER VILLA LUZURIAGA</t>
  </si>
  <si>
    <t>182-STOCK CENTER AV.CORDOBA (V.Cres</t>
  </si>
  <si>
    <t>183-DEXTER FLOYCO</t>
  </si>
  <si>
    <t>198 - DEXTER SHOP-MTE.GRANDE</t>
  </si>
  <si>
    <t>235- STOCK CENTER JUJUY</t>
  </si>
  <si>
    <t>237- DEXTER CANNING</t>
  </si>
  <si>
    <t>238- DEXTER ALTO AVELLANEDA</t>
  </si>
  <si>
    <t>239 -DEXTER-MAR DEL PLATA</t>
  </si>
  <si>
    <t>240 -DEXTER-MAR DEL PLATA II</t>
  </si>
  <si>
    <t>401 - WEB DABRA</t>
  </si>
  <si>
    <t>402 - DEXTER WEB</t>
  </si>
  <si>
    <t>403 - STOCK CENTER WEB</t>
  </si>
  <si>
    <t>404 - MOOV WEB</t>
  </si>
  <si>
    <t>DABRA - DEP CENTRAL E-COM</t>
  </si>
  <si>
    <t>1403-CROSS DOCKING HERMES</t>
  </si>
  <si>
    <t>TRANSITOS DABRA</t>
  </si>
  <si>
    <t>ESSENTIAL - S45 - SAN JUSTO</t>
  </si>
  <si>
    <t>LA CELADA SUC 0 - DEP. CENTRAL FÍSI</t>
  </si>
  <si>
    <t>LA CELADA SUC 1 - JJ DEP. QUILMES</t>
  </si>
  <si>
    <t>LA CELADA SUC 2 - JJ DEP. I.CASANOV</t>
  </si>
  <si>
    <t>LA CELADA SUC 3 - ON SP. RAMOS M.</t>
  </si>
  <si>
    <t>LA CELADA SUC 4 - JJ DEP. M. GRANDE</t>
  </si>
  <si>
    <t>LA CELADA SUC 5 - JJ DEP. R. CASTIL</t>
  </si>
  <si>
    <t>LA CELADA SUC 6 - JJ DEP. BERAZATEG</t>
  </si>
  <si>
    <t>LA CELADA SUC 7 - JJ DEP- QUILMES 2</t>
  </si>
  <si>
    <t>LA CELADA SUC 8 - IN ST. LOMAS</t>
  </si>
  <si>
    <t>LA CELADA SUC 9 - JJ DEP. LOMAS</t>
  </si>
  <si>
    <t>LA CELADA SUC 10 - JJ DEP. MERLO</t>
  </si>
  <si>
    <t>LA CELADA SUC 11 - JJ DEP- RAMOS M.</t>
  </si>
  <si>
    <t>LA CELADA SUC 12 - JJ DEP. MORENO</t>
  </si>
  <si>
    <t>LA CELADA SUC 13 - IN ST. MERLO</t>
  </si>
  <si>
    <t>LA CELADA SUC 14 - JJ DEP. LAFERRER</t>
  </si>
  <si>
    <t>LA CELADA SUC 15 - ON SP. ONCE</t>
  </si>
  <si>
    <t>LA CELADA SUC 16 - ON SP. VILLA DEL</t>
  </si>
  <si>
    <t>LA CELADA SUC 17 - JJ DEP. BERAZATE</t>
  </si>
  <si>
    <t>LA CELADA SUC 18 - ON SP. ITUZAINGÓ</t>
  </si>
  <si>
    <t>LA CELADA SUC 19 - IN ST. M. GRANDE</t>
  </si>
  <si>
    <t>LA CELADA SUC 20 - JJ DEP. MERLO</t>
  </si>
  <si>
    <t>LA CELADA SUC 21 - ON SP. TIGRE</t>
  </si>
  <si>
    <t>LA CELADA SUC 23 - ON SP. M. GRANDE</t>
  </si>
  <si>
    <t>LA CELADA SUC 24 - IN ST. TIGRE</t>
  </si>
  <si>
    <t>LA CELADA SUC 25 - IN ST. BERAZATEG</t>
  </si>
  <si>
    <t>LA CELADA SUC 27 - IN ST. G. CATÁNS</t>
  </si>
  <si>
    <t>LA CELADA SUC 28 - JJ DEP. LAFERRER</t>
  </si>
  <si>
    <t>LA CELADA SUC 29 - IN ST. LAFERRERE</t>
  </si>
  <si>
    <t>LA CELADA SUC 30 - JJ DEP. G. CATÁN</t>
  </si>
  <si>
    <t>LA CELADA SUC 31 - JJ DEP. LAFERRER</t>
  </si>
  <si>
    <t>LA CELADA SUC 33 - JJ DEP. G. CATÁN</t>
  </si>
  <si>
    <t>LA CELADA SUC 34 - IN ST. LAFERRERE</t>
  </si>
  <si>
    <t>LA CELADA SUC 35 - ON SP. LOMAS</t>
  </si>
  <si>
    <t>LA CELADA SUC 36 - IN ST. MORENO</t>
  </si>
  <si>
    <t>LA CELADA SUC 37 - JJ DEP. BERAZATE</t>
  </si>
  <si>
    <t>LA CELADA SUC 38 - ON SP. MERLO</t>
  </si>
  <si>
    <t>LA CELADA SUC 39 - ON SP. LOMAS 2</t>
  </si>
  <si>
    <t>LA CELADA SUC 40 - ON SP. BERAZATEG</t>
  </si>
  <si>
    <t>LA CELADA SUC 41 - ON SP. AVELLANED</t>
  </si>
  <si>
    <t>LA CELADA SUC 43 - ON SP. G. CATÁN</t>
  </si>
  <si>
    <t>LA CELADA SUC 60 - DEP. CENTRAL ECO</t>
  </si>
  <si>
    <t>LA CELADA SUC 61 - ON SP. MELI</t>
  </si>
  <si>
    <t>LA CELADA SUC 62 - IN ST. MELI</t>
  </si>
  <si>
    <t>LA CELADA SUC 63 - JJ DEP. MELI</t>
  </si>
  <si>
    <t>LA CELADA SUC 65 - ON SP. WEB</t>
  </si>
  <si>
    <t>LA CELADA SUC 66 - IN ST. WEB</t>
  </si>
  <si>
    <t>LA CELADA SUC 67 - JJ DEP. WEB</t>
  </si>
  <si>
    <t>LA CELADA SUC 68 - JJ DEP. BAPRO WE</t>
  </si>
  <si>
    <t>LA CELADA SUC 69 - IN ST. BAPRO WEB</t>
  </si>
  <si>
    <t>LA CELADA SUC 70 - ON SP. BAPRO WEB</t>
  </si>
  <si>
    <t>Suc.10 - STADIO UNO- ECOMMERCE-DEP.</t>
  </si>
  <si>
    <t>Suc.14- STADIO UNO-ECOMM.MODA-TRIP</t>
  </si>
  <si>
    <t>STADIO UNO SA-TRIP MODA</t>
  </si>
  <si>
    <t>STADIO UNO SA- MELI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</si>
</sst>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_(* #,##0.00_);_(* \(#,##0.00\);_(* &quot;-&quot;??_);_(@_)"/>
    <numFmt numFmtId="167" formatCode="_([$€]* #,##0.00_);_([$€]* \(#,##0.00\);_([$€]* &quot;-&quot;??_);_(@_)"/>
    <numFmt numFmtId="168" formatCode="&quot;$&quot;\ #,##0.00"/>
    <numFmt numFmtId="169" formatCode="mmmm"/>
    <numFmt numFmtId="170" formatCode="mmm\-yyyy"/>
    <numFmt numFmtId="171" formatCode="mmmm\-yyyy"/>
    <numFmt numFmtId="172" formatCode="_ * #,##0_ ;_ * \-#,##0_ ;_ * &quot;-&quot;??_ ;_ @_ "/>
    <numFmt numFmtId="173" formatCode="_([$€]* #,##0.00_);_([$€]* \(#,##0.00\);_([$€]* \-??_);_(@_)"/>
    <numFmt numFmtId="174" formatCode="&quot;$&quot;\ #,##0"/>
    <numFmt numFmtId="175" formatCode="&quot;$&quot;\ #,##0.0"/>
    <numFmt numFmtId="176" formatCode="_ &quot;$&quot;\ * #,##0_ ;_ &quot;$&quot;\ * \-#,##0_ ;_ &quot;$&quot;\ * &quot;-&quot;??_ ;_ @_ "/>
    <numFmt numFmtId="177" formatCode="_-* #,##0_-;\-* #,##0_-;_-* &quot;-&quot;??_-;_-@_-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6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b/>
      <i/>
      <sz val="18"/>
      <name val="Arial"/>
      <family val="2"/>
    </font>
    <font>
      <b/>
      <sz val="15"/>
      <color indexed="9"/>
      <name val="Arial"/>
      <family val="2"/>
    </font>
    <font>
      <b/>
      <sz val="15"/>
      <name val="Arial"/>
      <family val="2"/>
    </font>
    <font>
      <sz val="8"/>
      <color indexed="81"/>
      <name val="Tahoma"/>
      <family val="2"/>
    </font>
    <font>
      <sz val="10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8"/>
      <name val="Arial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i/>
      <sz val="20"/>
      <color theme="0"/>
      <name val="Arial"/>
      <family val="2"/>
    </font>
    <font>
      <sz val="20"/>
      <color theme="0"/>
      <name val="Arial"/>
      <family val="2"/>
    </font>
    <font>
      <b/>
      <sz val="22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0"/>
      <name val="Arial"/>
      <family val="2"/>
    </font>
    <font>
      <b/>
      <i/>
      <sz val="18"/>
      <color theme="0"/>
      <name val="Arial"/>
      <family val="2"/>
    </font>
    <font>
      <i/>
      <sz val="10"/>
      <name val="Arial"/>
      <family val="2"/>
    </font>
    <font>
      <i/>
      <sz val="10"/>
      <color theme="0"/>
      <name val="Arial"/>
      <family val="2"/>
    </font>
    <font>
      <sz val="10"/>
      <color theme="0"/>
      <name val="Arial"/>
      <family val="2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9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Arial"/>
      <family val="2"/>
    </font>
    <font>
      <sz val="8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6" tint="-0.249977111117893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24"/>
      </left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2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2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indexed="2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2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1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 style="thick">
        <color indexed="24"/>
      </left>
      <right style="thin">
        <color indexed="64"/>
      </right>
      <top style="medium">
        <color indexed="64"/>
      </top>
      <bottom/>
      <diagonal/>
    </border>
    <border>
      <left style="thick">
        <color indexed="10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39997558519241921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28">
    <xf numFmtId="0" fontId="0" fillId="0" borderId="0"/>
    <xf numFmtId="166" fontId="20" fillId="0" borderId="0" applyFont="0" applyFill="0" applyBorder="0" applyAlignment="0" applyProtection="0"/>
    <xf numFmtId="0" fontId="20" fillId="0" borderId="0" applyFill="0" applyBorder="0" applyAlignment="0" applyProtection="0"/>
    <xf numFmtId="167" fontId="6" fillId="0" borderId="0" applyFont="0" applyFill="0" applyBorder="0" applyAlignment="0" applyProtection="0"/>
    <xf numFmtId="173" fontId="20" fillId="0" borderId="0" applyFill="0" applyBorder="0" applyAlignment="0" applyProtection="0"/>
    <xf numFmtId="173" fontId="20" fillId="0" borderId="0" applyFill="0" applyBorder="0" applyAlignment="0" applyProtection="0"/>
    <xf numFmtId="165" fontId="6" fillId="0" borderId="0" applyFont="0" applyFill="0" applyBorder="0" applyAlignment="0" applyProtection="0"/>
    <xf numFmtId="165" fontId="2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6" fillId="0" borderId="0" applyFont="0" applyFill="0" applyBorder="0" applyAlignment="0" applyProtection="0"/>
  </cellStyleXfs>
  <cellXfs count="352">
    <xf numFmtId="0" fontId="0" fillId="0" borderId="0" xfId="0"/>
    <xf numFmtId="0" fontId="9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Continuous" vertical="center"/>
    </xf>
    <xf numFmtId="0" fontId="12" fillId="3" borderId="3" xfId="0" applyFont="1" applyFill="1" applyBorder="1" applyAlignment="1">
      <alignment horizontal="center" vertical="center"/>
    </xf>
    <xf numFmtId="49" fontId="15" fillId="4" borderId="5" xfId="0" applyNumberFormat="1" applyFont="1" applyFill="1" applyBorder="1" applyAlignment="1">
      <alignment horizontal="center" vertical="center"/>
    </xf>
    <xf numFmtId="49" fontId="16" fillId="0" borderId="5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11" fillId="2" borderId="8" xfId="0" applyFont="1" applyFill="1" applyBorder="1" applyAlignment="1">
      <alignment horizontal="centerContinuous" vertical="center"/>
    </xf>
    <xf numFmtId="0" fontId="12" fillId="3" borderId="9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9" fillId="2" borderId="15" xfId="0" applyFont="1" applyFill="1" applyBorder="1" applyAlignment="1">
      <alignment horizontal="centerContinuous" vertical="center"/>
    </xf>
    <xf numFmtId="0" fontId="12" fillId="3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Continuous" vertical="center"/>
    </xf>
    <xf numFmtId="0" fontId="7" fillId="2" borderId="16" xfId="0" applyFont="1" applyFill="1" applyBorder="1" applyAlignment="1">
      <alignment horizontal="centerContinuous" vertical="center"/>
    </xf>
    <xf numFmtId="0" fontId="21" fillId="0" borderId="0" xfId="0" applyFont="1" applyAlignment="1">
      <alignment vertical="center"/>
    </xf>
    <xf numFmtId="1" fontId="14" fillId="5" borderId="18" xfId="0" applyNumberFormat="1" applyFont="1" applyFill="1" applyBorder="1" applyAlignment="1" applyProtection="1">
      <alignment horizontal="left" vertical="center"/>
      <protection locked="0"/>
    </xf>
    <xf numFmtId="0" fontId="14" fillId="5" borderId="13" xfId="0" quotePrefix="1" applyFont="1" applyFill="1" applyBorder="1" applyAlignment="1">
      <alignment horizontal="left" vertical="center"/>
    </xf>
    <xf numFmtId="0" fontId="14" fillId="5" borderId="19" xfId="0" quotePrefix="1" applyFont="1" applyFill="1" applyBorder="1" applyAlignment="1">
      <alignment horizontal="left" vertical="center"/>
    </xf>
    <xf numFmtId="0" fontId="14" fillId="5" borderId="20" xfId="0" quotePrefix="1" applyFont="1" applyFill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4" fillId="5" borderId="8" xfId="0" quotePrefix="1" applyFont="1" applyFill="1" applyBorder="1" applyAlignment="1">
      <alignment vertical="center"/>
    </xf>
    <xf numFmtId="0" fontId="14" fillId="5" borderId="23" xfId="0" applyFont="1" applyFill="1" applyBorder="1" applyAlignment="1">
      <alignment horizontal="left" vertical="center"/>
    </xf>
    <xf numFmtId="0" fontId="12" fillId="2" borderId="0" xfId="0" applyFont="1" applyFill="1" applyAlignment="1">
      <alignment vertical="center"/>
    </xf>
    <xf numFmtId="169" fontId="12" fillId="2" borderId="24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9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 applyProtection="1">
      <alignment horizontal="left" vertical="center"/>
      <protection locked="0"/>
    </xf>
    <xf numFmtId="0" fontId="7" fillId="0" borderId="16" xfId="0" applyFont="1" applyBorder="1" applyAlignment="1">
      <alignment horizontal="center" vertical="center"/>
    </xf>
    <xf numFmtId="0" fontId="10" fillId="0" borderId="26" xfId="0" applyFont="1" applyBorder="1" applyAlignment="1" applyProtection="1">
      <alignment horizontal="center" vertical="center"/>
      <protection locked="0"/>
    </xf>
    <xf numFmtId="0" fontId="10" fillId="2" borderId="26" xfId="0" applyFont="1" applyFill="1" applyBorder="1" applyAlignment="1" applyProtection="1">
      <alignment horizontal="center" vertical="center"/>
      <protection locked="0"/>
    </xf>
    <xf numFmtId="0" fontId="10" fillId="0" borderId="27" xfId="0" applyFont="1" applyBorder="1" applyAlignment="1" applyProtection="1">
      <alignment horizontal="center" vertical="center"/>
      <protection locked="0"/>
    </xf>
    <xf numFmtId="0" fontId="10" fillId="2" borderId="28" xfId="0" applyFont="1" applyFill="1" applyBorder="1" applyAlignment="1" applyProtection="1">
      <alignment horizontal="center" vertical="center"/>
      <protection locked="0"/>
    </xf>
    <xf numFmtId="0" fontId="10" fillId="2" borderId="27" xfId="0" applyFont="1" applyFill="1" applyBorder="1" applyAlignment="1" applyProtection="1">
      <alignment horizontal="center" vertical="center"/>
      <protection locked="0"/>
    </xf>
    <xf numFmtId="0" fontId="10" fillId="2" borderId="29" xfId="0" applyFont="1" applyFill="1" applyBorder="1" applyAlignment="1" applyProtection="1">
      <alignment horizontal="center" vertical="center"/>
      <protection locked="0"/>
    </xf>
    <xf numFmtId="0" fontId="10" fillId="0" borderId="30" xfId="0" applyFont="1" applyBorder="1" applyAlignment="1" applyProtection="1">
      <alignment horizontal="center" vertical="center"/>
      <protection locked="0"/>
    </xf>
    <xf numFmtId="0" fontId="10" fillId="2" borderId="30" xfId="0" applyFont="1" applyFill="1" applyBorder="1" applyAlignment="1" applyProtection="1">
      <alignment horizontal="center" vertical="center"/>
      <protection locked="0"/>
    </xf>
    <xf numFmtId="0" fontId="10" fillId="2" borderId="31" xfId="0" applyFont="1" applyFill="1" applyBorder="1" applyAlignment="1" applyProtection="1">
      <alignment horizontal="center" vertical="center"/>
      <protection locked="0"/>
    </xf>
    <xf numFmtId="0" fontId="10" fillId="2" borderId="32" xfId="0" applyFont="1" applyFill="1" applyBorder="1" applyAlignment="1" applyProtection="1">
      <alignment horizontal="center" vertical="center"/>
      <protection locked="0"/>
    </xf>
    <xf numFmtId="0" fontId="10" fillId="0" borderId="31" xfId="0" applyFont="1" applyBorder="1" applyAlignment="1" applyProtection="1">
      <alignment horizontal="center" vertical="center"/>
      <protection locked="0"/>
    </xf>
    <xf numFmtId="0" fontId="10" fillId="2" borderId="33" xfId="0" applyFont="1" applyFill="1" applyBorder="1" applyAlignment="1" applyProtection="1">
      <alignment horizontal="center" vertical="center"/>
      <protection locked="0"/>
    </xf>
    <xf numFmtId="0" fontId="10" fillId="2" borderId="34" xfId="0" applyFont="1" applyFill="1" applyBorder="1" applyAlignment="1" applyProtection="1">
      <alignment horizontal="center" vertical="center"/>
      <protection locked="0"/>
    </xf>
    <xf numFmtId="0" fontId="10" fillId="0" borderId="34" xfId="0" applyFont="1" applyBorder="1" applyAlignment="1" applyProtection="1">
      <alignment horizontal="center" vertical="center"/>
      <protection locked="0"/>
    </xf>
    <xf numFmtId="0" fontId="10" fillId="2" borderId="36" xfId="0" applyFont="1" applyFill="1" applyBorder="1" applyAlignment="1" applyProtection="1">
      <alignment horizontal="center" vertical="center"/>
      <protection locked="0"/>
    </xf>
    <xf numFmtId="0" fontId="10" fillId="2" borderId="34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0" fillId="2" borderId="37" xfId="0" applyFont="1" applyFill="1" applyBorder="1" applyAlignment="1" applyProtection="1">
      <alignment horizontal="center" vertical="center"/>
      <protection locked="0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8" xfId="0" applyFont="1" applyFill="1" applyBorder="1" applyAlignment="1" applyProtection="1">
      <alignment horizontal="center" vertical="center"/>
      <protection locked="0"/>
    </xf>
    <xf numFmtId="0" fontId="10" fillId="2" borderId="26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0" fillId="2" borderId="40" xfId="0" applyFont="1" applyFill="1" applyBorder="1" applyAlignment="1" applyProtection="1">
      <alignment horizontal="center" vertical="center"/>
      <protection locked="0"/>
    </xf>
    <xf numFmtId="0" fontId="10" fillId="2" borderId="41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4" fontId="7" fillId="0" borderId="45" xfId="0" applyNumberFormat="1" applyFont="1" applyBorder="1" applyAlignment="1">
      <alignment vertical="center"/>
    </xf>
    <xf numFmtId="4" fontId="7" fillId="0" borderId="22" xfId="0" applyNumberFormat="1" applyFont="1" applyBorder="1" applyAlignment="1">
      <alignment vertical="center"/>
    </xf>
    <xf numFmtId="4" fontId="7" fillId="0" borderId="9" xfId="0" applyNumberFormat="1" applyFont="1" applyBorder="1" applyAlignment="1">
      <alignment vertical="center"/>
    </xf>
    <xf numFmtId="4" fontId="7" fillId="0" borderId="2" xfId="0" applyNumberFormat="1" applyFont="1" applyBorder="1" applyAlignment="1">
      <alignment horizontal="center"/>
    </xf>
    <xf numFmtId="4" fontId="7" fillId="0" borderId="19" xfId="0" applyNumberFormat="1" applyFont="1" applyBorder="1" applyAlignment="1">
      <alignment horizontal="center"/>
    </xf>
    <xf numFmtId="4" fontId="7" fillId="0" borderId="25" xfId="0" applyNumberFormat="1" applyFont="1" applyBorder="1" applyAlignment="1">
      <alignment horizontal="center"/>
    </xf>
    <xf numFmtId="3" fontId="12" fillId="0" borderId="45" xfId="0" applyNumberFormat="1" applyFont="1" applyBorder="1" applyAlignment="1">
      <alignment horizontal="centerContinuous" vertical="center"/>
    </xf>
    <xf numFmtId="0" fontId="9" fillId="0" borderId="0" xfId="0" applyFont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3" fontId="12" fillId="7" borderId="16" xfId="0" applyNumberFormat="1" applyFont="1" applyFill="1" applyBorder="1" applyAlignment="1">
      <alignment horizontal="center" vertical="center"/>
    </xf>
    <xf numFmtId="4" fontId="12" fillId="8" borderId="16" xfId="0" applyNumberFormat="1" applyFont="1" applyFill="1" applyBorder="1" applyAlignment="1">
      <alignment vertical="center"/>
    </xf>
    <xf numFmtId="0" fontId="7" fillId="8" borderId="1" xfId="0" applyFont="1" applyFill="1" applyBorder="1" applyAlignment="1">
      <alignment horizontal="centerContinuous" vertical="center"/>
    </xf>
    <xf numFmtId="0" fontId="7" fillId="8" borderId="46" xfId="0" applyFont="1" applyFill="1" applyBorder="1" applyAlignment="1">
      <alignment horizontal="centerContinuous" vertical="center"/>
    </xf>
    <xf numFmtId="0" fontId="8" fillId="7" borderId="1" xfId="0" applyFont="1" applyFill="1" applyBorder="1" applyAlignment="1">
      <alignment horizontal="centerContinuous" vertical="center"/>
    </xf>
    <xf numFmtId="0" fontId="8" fillId="7" borderId="46" xfId="0" applyFont="1" applyFill="1" applyBorder="1" applyAlignment="1">
      <alignment horizontal="centerContinuous" vertical="center"/>
    </xf>
    <xf numFmtId="0" fontId="12" fillId="0" borderId="30" xfId="0" applyFont="1" applyBorder="1" applyAlignment="1">
      <alignment horizontal="center" vertical="center"/>
    </xf>
    <xf numFmtId="0" fontId="27" fillId="6" borderId="0" xfId="0" applyFont="1" applyFill="1" applyAlignment="1">
      <alignment horizontal="left" vertical="center"/>
    </xf>
    <xf numFmtId="0" fontId="28" fillId="6" borderId="0" xfId="0" applyFont="1" applyFill="1" applyAlignment="1">
      <alignment vertical="center"/>
    </xf>
    <xf numFmtId="0" fontId="22" fillId="5" borderId="30" xfId="0" applyFont="1" applyFill="1" applyBorder="1" applyAlignment="1" applyProtection="1">
      <alignment horizontal="left"/>
      <protection locked="0"/>
    </xf>
    <xf numFmtId="0" fontId="0" fillId="0" borderId="21" xfId="0" applyBorder="1"/>
    <xf numFmtId="172" fontId="0" fillId="0" borderId="21" xfId="6" applyNumberFormat="1" applyFont="1" applyBorder="1"/>
    <xf numFmtId="164" fontId="0" fillId="0" borderId="15" xfId="8" applyFont="1" applyBorder="1"/>
    <xf numFmtId="0" fontId="26" fillId="6" borderId="0" xfId="0" applyFont="1" applyFill="1" applyAlignment="1">
      <alignment horizontal="center"/>
    </xf>
    <xf numFmtId="0" fontId="26" fillId="6" borderId="14" xfId="0" applyFont="1" applyFill="1" applyBorder="1"/>
    <xf numFmtId="0" fontId="26" fillId="6" borderId="21" xfId="0" applyFont="1" applyFill="1" applyBorder="1"/>
    <xf numFmtId="172" fontId="26" fillId="6" borderId="21" xfId="0" applyNumberFormat="1" applyFont="1" applyFill="1" applyBorder="1"/>
    <xf numFmtId="164" fontId="26" fillId="6" borderId="15" xfId="8" applyFont="1" applyFill="1" applyBorder="1"/>
    <xf numFmtId="49" fontId="16" fillId="6" borderId="10" xfId="0" applyNumberFormat="1" applyFont="1" applyFill="1" applyBorder="1" applyAlignment="1">
      <alignment horizontal="center" vertical="center"/>
    </xf>
    <xf numFmtId="0" fontId="16" fillId="6" borderId="10" xfId="0" applyFont="1" applyFill="1" applyBorder="1" applyAlignment="1" applyProtection="1">
      <alignment horizontal="center" vertical="center"/>
      <protection locked="0"/>
    </xf>
    <xf numFmtId="49" fontId="16" fillId="6" borderId="17" xfId="0" applyNumberFormat="1" applyFont="1" applyFill="1" applyBorder="1" applyAlignment="1">
      <alignment horizontal="center" vertical="center"/>
    </xf>
    <xf numFmtId="49" fontId="16" fillId="6" borderId="48" xfId="0" applyNumberFormat="1" applyFont="1" applyFill="1" applyBorder="1" applyAlignment="1">
      <alignment horizontal="center" vertical="center"/>
    </xf>
    <xf numFmtId="49" fontId="16" fillId="6" borderId="49" xfId="0" applyNumberFormat="1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vertical="center"/>
    </xf>
    <xf numFmtId="172" fontId="8" fillId="0" borderId="0" xfId="6" applyNumberFormat="1" applyFont="1" applyAlignment="1">
      <alignment horizontal="center" vertical="center"/>
    </xf>
    <xf numFmtId="0" fontId="26" fillId="9" borderId="14" xfId="0" applyFont="1" applyFill="1" applyBorder="1"/>
    <xf numFmtId="17" fontId="29" fillId="9" borderId="0" xfId="0" quotePrefix="1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8" fillId="0" borderId="0" xfId="0" applyFont="1"/>
    <xf numFmtId="0" fontId="25" fillId="0" borderId="0" xfId="0" applyFont="1" applyAlignment="1">
      <alignment vertical="center"/>
    </xf>
    <xf numFmtId="168" fontId="25" fillId="0" borderId="0" xfId="0" applyNumberFormat="1" applyFont="1" applyAlignment="1">
      <alignment horizontal="center" vertical="center"/>
    </xf>
    <xf numFmtId="170" fontId="25" fillId="0" borderId="0" xfId="0" applyNumberFormat="1" applyFont="1" applyAlignment="1">
      <alignment horizontal="center" vertical="center"/>
    </xf>
    <xf numFmtId="2" fontId="18" fillId="0" borderId="0" xfId="0" applyNumberFormat="1" applyFont="1"/>
    <xf numFmtId="170" fontId="18" fillId="0" borderId="0" xfId="0" applyNumberFormat="1" applyFont="1"/>
    <xf numFmtId="1" fontId="31" fillId="10" borderId="6" xfId="0" applyNumberFormat="1" applyFont="1" applyFill="1" applyBorder="1" applyAlignment="1">
      <alignment vertical="center"/>
    </xf>
    <xf numFmtId="0" fontId="31" fillId="10" borderId="5" xfId="0" applyFont="1" applyFill="1" applyBorder="1" applyAlignment="1">
      <alignment horizontal="left" vertical="center"/>
    </xf>
    <xf numFmtId="168" fontId="31" fillId="10" borderId="5" xfId="0" applyNumberFormat="1" applyFont="1" applyFill="1" applyBorder="1" applyAlignment="1">
      <alignment horizontal="center" vertical="center"/>
    </xf>
    <xf numFmtId="174" fontId="31" fillId="10" borderId="5" xfId="0" applyNumberFormat="1" applyFont="1" applyFill="1" applyBorder="1" applyAlignment="1">
      <alignment horizontal="center" vertical="center"/>
    </xf>
    <xf numFmtId="0" fontId="31" fillId="10" borderId="5" xfId="0" applyFont="1" applyFill="1" applyBorder="1" applyAlignment="1">
      <alignment horizontal="center" vertical="center"/>
    </xf>
    <xf numFmtId="0" fontId="31" fillId="10" borderId="4" xfId="0" applyFont="1" applyFill="1" applyBorder="1" applyAlignment="1">
      <alignment horizontal="center" vertical="center"/>
    </xf>
    <xf numFmtId="0" fontId="32" fillId="0" borderId="30" xfId="0" applyFont="1" applyBorder="1" applyAlignment="1">
      <alignment vertical="center"/>
    </xf>
    <xf numFmtId="172" fontId="32" fillId="0" borderId="30" xfId="7" applyNumberFormat="1" applyFont="1" applyFill="1" applyBorder="1" applyAlignment="1">
      <alignment horizontal="center" vertical="center"/>
    </xf>
    <xf numFmtId="174" fontId="32" fillId="0" borderId="30" xfId="0" applyNumberFormat="1" applyFont="1" applyBorder="1" applyAlignment="1">
      <alignment horizontal="center" vertical="center"/>
    </xf>
    <xf numFmtId="0" fontId="23" fillId="0" borderId="30" xfId="0" applyFont="1" applyBorder="1" applyAlignment="1">
      <alignment horizontal="left" vertical="center"/>
    </xf>
    <xf numFmtId="0" fontId="32" fillId="0" borderId="30" xfId="0" applyFont="1" applyBorder="1" applyAlignment="1">
      <alignment horizontal="left" vertical="center"/>
    </xf>
    <xf numFmtId="0" fontId="20" fillId="0" borderId="0" xfId="0" applyFont="1" applyAlignment="1">
      <alignment vertical="center"/>
    </xf>
    <xf numFmtId="17" fontId="29" fillId="7" borderId="0" xfId="0" quotePrefix="1" applyNumberFormat="1" applyFont="1" applyFill="1" applyAlignment="1">
      <alignment horizontal="center" vertical="center"/>
    </xf>
    <xf numFmtId="17" fontId="29" fillId="12" borderId="0" xfId="0" quotePrefix="1" applyNumberFormat="1" applyFont="1" applyFill="1" applyAlignment="1">
      <alignment horizontal="center" vertical="center"/>
    </xf>
    <xf numFmtId="17" fontId="29" fillId="13" borderId="0" xfId="0" quotePrefix="1" applyNumberFormat="1" applyFont="1" applyFill="1" applyAlignment="1">
      <alignment horizontal="center" vertical="center"/>
    </xf>
    <xf numFmtId="17" fontId="29" fillId="14" borderId="0" xfId="0" quotePrefix="1" applyNumberFormat="1" applyFont="1" applyFill="1" applyAlignment="1">
      <alignment horizontal="center" vertical="center"/>
    </xf>
    <xf numFmtId="17" fontId="29" fillId="15" borderId="0" xfId="0" quotePrefix="1" applyNumberFormat="1" applyFont="1" applyFill="1" applyAlignment="1">
      <alignment horizontal="center" vertical="center"/>
    </xf>
    <xf numFmtId="0" fontId="26" fillId="7" borderId="14" xfId="0" applyFont="1" applyFill="1" applyBorder="1"/>
    <xf numFmtId="0" fontId="26" fillId="12" borderId="14" xfId="0" applyFont="1" applyFill="1" applyBorder="1"/>
    <xf numFmtId="0" fontId="26" fillId="13" borderId="14" xfId="0" applyFont="1" applyFill="1" applyBorder="1"/>
    <xf numFmtId="0" fontId="26" fillId="15" borderId="14" xfId="0" applyFont="1" applyFill="1" applyBorder="1"/>
    <xf numFmtId="0" fontId="26" fillId="14" borderId="14" xfId="0" applyFont="1" applyFill="1" applyBorder="1"/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9" fontId="26" fillId="6" borderId="21" xfId="27" applyFont="1" applyFill="1" applyBorder="1"/>
    <xf numFmtId="0" fontId="26" fillId="16" borderId="14" xfId="0" applyFont="1" applyFill="1" applyBorder="1"/>
    <xf numFmtId="0" fontId="20" fillId="0" borderId="0" xfId="0" applyFont="1"/>
    <xf numFmtId="0" fontId="36" fillId="0" borderId="0" xfId="0" applyFont="1"/>
    <xf numFmtId="0" fontId="9" fillId="0" borderId="0" xfId="0" applyFont="1"/>
    <xf numFmtId="0" fontId="37" fillId="6" borderId="0" xfId="0" applyFont="1" applyFill="1" applyAlignment="1">
      <alignment horizontal="center"/>
    </xf>
    <xf numFmtId="0" fontId="9" fillId="17" borderId="0" xfId="0" applyFont="1" applyFill="1" applyAlignment="1">
      <alignment horizontal="center"/>
    </xf>
    <xf numFmtId="0" fontId="0" fillId="0" borderId="30" xfId="0" applyBorder="1"/>
    <xf numFmtId="9" fontId="20" fillId="18" borderId="0" xfId="27" applyFont="1" applyFill="1"/>
    <xf numFmtId="9" fontId="37" fillId="19" borderId="0" xfId="27" applyFont="1" applyFill="1"/>
    <xf numFmtId="9" fontId="37" fillId="9" borderId="0" xfId="27" applyFont="1" applyFill="1"/>
    <xf numFmtId="0" fontId="0" fillId="0" borderId="60" xfId="0" applyBorder="1"/>
    <xf numFmtId="0" fontId="0" fillId="0" borderId="60" xfId="0" pivotButton="1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9" fontId="0" fillId="0" borderId="0" xfId="27" applyFont="1" applyAlignment="1">
      <alignment horizontal="left"/>
    </xf>
    <xf numFmtId="9" fontId="35" fillId="0" borderId="0" xfId="27" applyFont="1"/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172" fontId="39" fillId="0" borderId="0" xfId="6" applyNumberFormat="1" applyFont="1" applyAlignment="1">
      <alignment horizontal="center"/>
    </xf>
    <xf numFmtId="0" fontId="19" fillId="0" borderId="0" xfId="0" applyFont="1"/>
    <xf numFmtId="0" fontId="6" fillId="0" borderId="0" xfId="0" applyFont="1"/>
    <xf numFmtId="0" fontId="9" fillId="18" borderId="0" xfId="0" applyFont="1" applyFill="1"/>
    <xf numFmtId="0" fontId="22" fillId="0" borderId="0" xfId="0" applyFont="1"/>
    <xf numFmtId="0" fontId="0" fillId="21" borderId="0" xfId="0" applyFill="1"/>
    <xf numFmtId="0" fontId="0" fillId="21" borderId="0" xfId="0" quotePrefix="1" applyFill="1"/>
    <xf numFmtId="0" fontId="9" fillId="21" borderId="0" xfId="0" applyFont="1" applyFill="1"/>
    <xf numFmtId="0" fontId="6" fillId="0" borderId="60" xfId="0" applyFont="1" applyBorder="1"/>
    <xf numFmtId="9" fontId="0" fillId="0" borderId="15" xfId="27" applyFont="1" applyBorder="1" applyAlignment="1">
      <alignment horizontal="right"/>
    </xf>
    <xf numFmtId="0" fontId="22" fillId="0" borderId="0" xfId="0" applyFont="1" applyAlignment="1">
      <alignment vertical="center"/>
    </xf>
    <xf numFmtId="0" fontId="40" fillId="7" borderId="14" xfId="0" applyFont="1" applyFill="1" applyBorder="1" applyAlignment="1">
      <alignment vertical="center"/>
    </xf>
    <xf numFmtId="0" fontId="41" fillId="0" borderId="21" xfId="0" applyFont="1" applyBorder="1" applyAlignment="1">
      <alignment vertical="center"/>
    </xf>
    <xf numFmtId="0" fontId="40" fillId="12" borderId="14" xfId="0" applyFont="1" applyFill="1" applyBorder="1" applyAlignment="1">
      <alignment vertical="center"/>
    </xf>
    <xf numFmtId="0" fontId="40" fillId="20" borderId="14" xfId="0" applyFont="1" applyFill="1" applyBorder="1" applyAlignment="1">
      <alignment vertical="center"/>
    </xf>
    <xf numFmtId="0" fontId="40" fillId="9" borderId="14" xfId="0" applyFont="1" applyFill="1" applyBorder="1" applyAlignment="1">
      <alignment vertical="center"/>
    </xf>
    <xf numFmtId="0" fontId="40" fillId="15" borderId="14" xfId="0" applyFont="1" applyFill="1" applyBorder="1" applyAlignment="1">
      <alignment vertical="center"/>
    </xf>
    <xf numFmtId="0" fontId="40" fillId="14" borderId="14" xfId="0" applyFont="1" applyFill="1" applyBorder="1" applyAlignment="1">
      <alignment vertical="center"/>
    </xf>
    <xf numFmtId="0" fontId="40" fillId="6" borderId="14" xfId="0" applyFont="1" applyFill="1" applyBorder="1" applyAlignment="1">
      <alignment vertical="center"/>
    </xf>
    <xf numFmtId="0" fontId="40" fillId="6" borderId="2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9" fillId="22" borderId="0" xfId="0" applyFont="1" applyFill="1" applyAlignment="1">
      <alignment horizontal="center"/>
    </xf>
    <xf numFmtId="0" fontId="0" fillId="11" borderId="0" xfId="0" applyFill="1"/>
    <xf numFmtId="0" fontId="6" fillId="11" borderId="0" xfId="0" applyFont="1" applyFill="1"/>
    <xf numFmtId="0" fontId="41" fillId="0" borderId="21" xfId="6" applyNumberFormat="1" applyFont="1" applyBorder="1" applyAlignment="1">
      <alignment horizontal="center" vertical="center"/>
    </xf>
    <xf numFmtId="0" fontId="40" fillId="6" borderId="21" xfId="0" applyFont="1" applyFill="1" applyBorder="1" applyAlignment="1">
      <alignment horizontal="center" vertical="center"/>
    </xf>
    <xf numFmtId="164" fontId="41" fillId="0" borderId="15" xfId="8" applyFont="1" applyBorder="1" applyAlignment="1">
      <alignment horizontal="center" vertical="center"/>
    </xf>
    <xf numFmtId="164" fontId="40" fillId="6" borderId="15" xfId="8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9" fillId="2" borderId="68" xfId="0" applyFont="1" applyFill="1" applyBorder="1" applyAlignment="1">
      <alignment horizontal="centerContinuous" vertical="center"/>
    </xf>
    <xf numFmtId="0" fontId="7" fillId="0" borderId="65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6" fillId="6" borderId="5" xfId="0" applyNumberFormat="1" applyFont="1" applyFill="1" applyBorder="1" applyAlignment="1">
      <alignment horizontal="center" vertical="center"/>
    </xf>
    <xf numFmtId="0" fontId="16" fillId="6" borderId="5" xfId="0" applyFont="1" applyFill="1" applyBorder="1" applyAlignment="1" applyProtection="1">
      <alignment horizontal="center" vertical="center"/>
      <protection locked="0"/>
    </xf>
    <xf numFmtId="49" fontId="16" fillId="6" borderId="6" xfId="0" applyNumberFormat="1" applyFont="1" applyFill="1" applyBorder="1" applyAlignment="1">
      <alignment horizontal="center" vertical="center"/>
    </xf>
    <xf numFmtId="49" fontId="16" fillId="6" borderId="66" xfId="0" applyNumberFormat="1" applyFont="1" applyFill="1" applyBorder="1" applyAlignment="1">
      <alignment horizontal="center" vertical="center"/>
    </xf>
    <xf numFmtId="49" fontId="16" fillId="6" borderId="67" xfId="0" applyNumberFormat="1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Continuous" vertical="center"/>
    </xf>
    <xf numFmtId="0" fontId="7" fillId="2" borderId="1" xfId="0" applyFont="1" applyFill="1" applyBorder="1" applyAlignment="1">
      <alignment horizontal="centerContinuous" vertical="center"/>
    </xf>
    <xf numFmtId="0" fontId="44" fillId="0" borderId="0" xfId="0" applyFont="1" applyAlignment="1">
      <alignment horizontal="left" vertical="top"/>
    </xf>
    <xf numFmtId="0" fontId="46" fillId="23" borderId="0" xfId="0" applyFont="1" applyFill="1" applyAlignment="1">
      <alignment horizontal="center" vertical="center" wrapText="1"/>
    </xf>
    <xf numFmtId="0" fontId="48" fillId="0" borderId="0" xfId="0" applyFont="1" applyAlignment="1">
      <alignment vertical="center"/>
    </xf>
    <xf numFmtId="0" fontId="49" fillId="0" borderId="1" xfId="0" applyFont="1" applyBorder="1" applyAlignment="1">
      <alignment horizontal="center" vertical="center"/>
    </xf>
    <xf numFmtId="0" fontId="50" fillId="23" borderId="13" xfId="0" applyFont="1" applyFill="1" applyBorder="1" applyAlignment="1">
      <alignment horizontal="center" vertical="center" wrapText="1"/>
    </xf>
    <xf numFmtId="0" fontId="50" fillId="23" borderId="0" xfId="0" applyFont="1" applyFill="1" applyAlignment="1">
      <alignment horizontal="center" vertical="center" wrapText="1"/>
    </xf>
    <xf numFmtId="0" fontId="50" fillId="23" borderId="70" xfId="0" applyFont="1" applyFill="1" applyBorder="1" applyAlignment="1">
      <alignment horizontal="center" vertical="center" wrapText="1"/>
    </xf>
    <xf numFmtId="0" fontId="50" fillId="23" borderId="46" xfId="0" applyFont="1" applyFill="1" applyBorder="1" applyAlignment="1">
      <alignment horizontal="center" vertical="center" wrapText="1"/>
    </xf>
    <xf numFmtId="0" fontId="42" fillId="0" borderId="13" xfId="0" applyFont="1" applyBorder="1" applyAlignment="1">
      <alignment vertical="center"/>
    </xf>
    <xf numFmtId="0" fontId="42" fillId="0" borderId="0" xfId="0" applyFont="1" applyAlignment="1">
      <alignment vertical="center"/>
    </xf>
    <xf numFmtId="9" fontId="42" fillId="0" borderId="0" xfId="0" applyNumberFormat="1" applyFont="1" applyAlignment="1">
      <alignment horizontal="center" vertical="center"/>
    </xf>
    <xf numFmtId="0" fontId="47" fillId="0" borderId="70" xfId="0" quotePrefix="1" applyFont="1" applyBorder="1" applyAlignment="1">
      <alignment horizontal="center" vertical="center"/>
    </xf>
    <xf numFmtId="9" fontId="42" fillId="0" borderId="46" xfId="0" applyNumberFormat="1" applyFont="1" applyBorder="1" applyAlignment="1">
      <alignment horizontal="center" vertical="center"/>
    </xf>
    <xf numFmtId="172" fontId="42" fillId="0" borderId="46" xfId="6" applyNumberFormat="1" applyFont="1" applyBorder="1" applyAlignment="1">
      <alignment horizontal="center" vertical="center"/>
    </xf>
    <xf numFmtId="0" fontId="42" fillId="0" borderId="8" xfId="0" applyFont="1" applyBorder="1" applyAlignment="1">
      <alignment vertical="center"/>
    </xf>
    <xf numFmtId="0" fontId="42" fillId="0" borderId="71" xfId="0" applyFont="1" applyBorder="1" applyAlignment="1">
      <alignment vertical="center"/>
    </xf>
    <xf numFmtId="9" fontId="42" fillId="0" borderId="71" xfId="0" applyNumberFormat="1" applyFont="1" applyBorder="1" applyAlignment="1">
      <alignment horizontal="center" vertical="center"/>
    </xf>
    <xf numFmtId="0" fontId="47" fillId="0" borderId="23" xfId="0" quotePrefix="1" applyFont="1" applyBorder="1" applyAlignment="1">
      <alignment horizontal="center" vertical="center"/>
    </xf>
    <xf numFmtId="9" fontId="42" fillId="0" borderId="7" xfId="0" applyNumberFormat="1" applyFont="1" applyBorder="1" applyAlignment="1">
      <alignment horizontal="center" vertical="center"/>
    </xf>
    <xf numFmtId="172" fontId="42" fillId="0" borderId="7" xfId="6" applyNumberFormat="1" applyFont="1" applyBorder="1" applyAlignment="1">
      <alignment horizontal="center" vertical="center"/>
    </xf>
    <xf numFmtId="172" fontId="48" fillId="0" borderId="0" xfId="0" applyNumberFormat="1" applyFont="1" applyAlignment="1">
      <alignment vertical="center"/>
    </xf>
    <xf numFmtId="0" fontId="45" fillId="24" borderId="1" xfId="0" applyFont="1" applyFill="1" applyBorder="1" applyAlignment="1">
      <alignment horizontal="center" vertical="center"/>
    </xf>
    <xf numFmtId="0" fontId="49" fillId="24" borderId="1" xfId="0" applyFont="1" applyFill="1" applyBorder="1" applyAlignment="1">
      <alignment horizontal="center" vertical="center"/>
    </xf>
    <xf numFmtId="0" fontId="50" fillId="25" borderId="46" xfId="0" applyFont="1" applyFill="1" applyBorder="1" applyAlignment="1">
      <alignment horizontal="center" vertical="center" wrapText="1"/>
    </xf>
    <xf numFmtId="172" fontId="48" fillId="7" borderId="16" xfId="0" applyNumberFormat="1" applyFont="1" applyFill="1" applyBorder="1" applyAlignment="1">
      <alignment vertical="center"/>
    </xf>
    <xf numFmtId="0" fontId="51" fillId="0" borderId="30" xfId="0" applyFont="1" applyBorder="1" applyAlignment="1">
      <alignment horizontal="center" vertical="center"/>
    </xf>
    <xf numFmtId="168" fontId="51" fillId="0" borderId="26" xfId="8" applyNumberFormat="1" applyFont="1" applyFill="1" applyBorder="1" applyAlignment="1">
      <alignment horizontal="center" vertical="center"/>
    </xf>
    <xf numFmtId="1" fontId="51" fillId="0" borderId="30" xfId="0" applyNumberFormat="1" applyFont="1" applyBorder="1" applyAlignment="1">
      <alignment horizontal="center" vertical="center"/>
    </xf>
    <xf numFmtId="0" fontId="51" fillId="0" borderId="26" xfId="0" applyFont="1" applyBorder="1" applyAlignment="1">
      <alignment horizontal="center" vertical="center"/>
    </xf>
    <xf numFmtId="49" fontId="16" fillId="6" borderId="4" xfId="0" applyNumberFormat="1" applyFont="1" applyFill="1" applyBorder="1" applyAlignment="1">
      <alignment horizontal="center" vertical="center"/>
    </xf>
    <xf numFmtId="49" fontId="15" fillId="6" borderId="5" xfId="0" applyNumberFormat="1" applyFont="1" applyFill="1" applyBorder="1" applyAlignment="1">
      <alignment horizontal="center" vertical="center"/>
    </xf>
    <xf numFmtId="49" fontId="16" fillId="6" borderId="11" xfId="0" applyNumberFormat="1" applyFont="1" applyFill="1" applyBorder="1" applyAlignment="1">
      <alignment horizontal="center" vertical="center"/>
    </xf>
    <xf numFmtId="49" fontId="16" fillId="6" borderId="12" xfId="0" applyNumberFormat="1" applyFont="1" applyFill="1" applyBorder="1" applyAlignment="1">
      <alignment horizontal="center" vertical="center"/>
    </xf>
    <xf numFmtId="49" fontId="7" fillId="6" borderId="5" xfId="0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vertical="center"/>
    </xf>
    <xf numFmtId="175" fontId="51" fillId="0" borderId="26" xfId="8" applyNumberFormat="1" applyFont="1" applyFill="1" applyBorder="1" applyAlignment="1">
      <alignment horizontal="center" vertical="center"/>
    </xf>
    <xf numFmtId="174" fontId="51" fillId="0" borderId="26" xfId="8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2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2" fontId="0" fillId="0" borderId="0" xfId="6" applyNumberFormat="1" applyFont="1" applyFill="1" applyBorder="1"/>
    <xf numFmtId="9" fontId="0" fillId="0" borderId="0" xfId="27" applyFont="1" applyFill="1" applyBorder="1" applyAlignment="1">
      <alignment horizontal="right"/>
    </xf>
    <xf numFmtId="3" fontId="41" fillId="0" borderId="21" xfId="6" applyNumberFormat="1" applyFont="1" applyBorder="1" applyAlignment="1">
      <alignment horizontal="center" vertical="center"/>
    </xf>
    <xf numFmtId="172" fontId="0" fillId="0" borderId="0" xfId="6" applyNumberFormat="1" applyFont="1"/>
    <xf numFmtId="0" fontId="53" fillId="18" borderId="0" xfId="0" applyFont="1" applyFill="1" applyAlignment="1">
      <alignment horizontal="center"/>
    </xf>
    <xf numFmtId="0" fontId="54" fillId="18" borderId="0" xfId="0" applyFont="1" applyFill="1" applyAlignment="1">
      <alignment horizontal="center"/>
    </xf>
    <xf numFmtId="0" fontId="55" fillId="27" borderId="72" xfId="0" applyFont="1" applyFill="1" applyBorder="1" applyAlignment="1">
      <alignment horizontal="center" vertical="center"/>
    </xf>
    <xf numFmtId="0" fontId="9" fillId="26" borderId="0" xfId="0" applyFont="1" applyFill="1"/>
    <xf numFmtId="0" fontId="55" fillId="27" borderId="72" xfId="0" applyFont="1" applyFill="1" applyBorder="1"/>
    <xf numFmtId="0" fontId="57" fillId="7" borderId="14" xfId="0" applyFont="1" applyFill="1" applyBorder="1" applyAlignment="1">
      <alignment vertical="center"/>
    </xf>
    <xf numFmtId="0" fontId="57" fillId="12" borderId="14" xfId="0" applyFont="1" applyFill="1" applyBorder="1" applyAlignment="1">
      <alignment vertical="center"/>
    </xf>
    <xf numFmtId="0" fontId="57" fillId="20" borderId="14" xfId="0" applyFont="1" applyFill="1" applyBorder="1" applyAlignment="1">
      <alignment vertical="center"/>
    </xf>
    <xf numFmtId="0" fontId="57" fillId="9" borderId="14" xfId="0" applyFont="1" applyFill="1" applyBorder="1" applyAlignment="1">
      <alignment vertical="center"/>
    </xf>
    <xf numFmtId="0" fontId="57" fillId="15" borderId="14" xfId="0" applyFont="1" applyFill="1" applyBorder="1" applyAlignment="1">
      <alignment vertical="center"/>
    </xf>
    <xf numFmtId="0" fontId="57" fillId="14" borderId="14" xfId="0" applyFont="1" applyFill="1" applyBorder="1" applyAlignment="1">
      <alignment vertical="center"/>
    </xf>
    <xf numFmtId="0" fontId="56" fillId="0" borderId="0" xfId="0" applyFont="1"/>
    <xf numFmtId="0" fontId="38" fillId="0" borderId="0" xfId="0" applyFont="1"/>
    <xf numFmtId="17" fontId="51" fillId="0" borderId="30" xfId="0" applyNumberFormat="1" applyFont="1" applyBorder="1" applyAlignment="1">
      <alignment horizontal="center" vertical="center"/>
    </xf>
    <xf numFmtId="0" fontId="52" fillId="28" borderId="73" xfId="22" applyFont="1" applyFill="1" applyBorder="1"/>
    <xf numFmtId="0" fontId="5" fillId="29" borderId="74" xfId="22" applyFont="1" applyFill="1" applyBorder="1"/>
    <xf numFmtId="0" fontId="5" fillId="7" borderId="74" xfId="22" applyFont="1" applyFill="1" applyBorder="1"/>
    <xf numFmtId="0" fontId="52" fillId="28" borderId="75" xfId="22" applyFont="1" applyFill="1" applyBorder="1"/>
    <xf numFmtId="0" fontId="5" fillId="30" borderId="74" xfId="22" applyFont="1" applyFill="1" applyBorder="1"/>
    <xf numFmtId="0" fontId="5" fillId="31" borderId="74" xfId="22" applyFont="1" applyFill="1" applyBorder="1"/>
    <xf numFmtId="0" fontId="5" fillId="14" borderId="74" xfId="22" applyFont="1" applyFill="1" applyBorder="1"/>
    <xf numFmtId="0" fontId="4" fillId="14" borderId="74" xfId="22" applyFont="1" applyFill="1" applyBorder="1"/>
    <xf numFmtId="0" fontId="4" fillId="7" borderId="74" xfId="22" applyFont="1" applyFill="1" applyBorder="1"/>
    <xf numFmtId="0" fontId="0" fillId="0" borderId="0" xfId="0" applyAlignment="1">
      <alignment horizontal="center" vertical="top" wrapText="1"/>
    </xf>
    <xf numFmtId="49" fontId="15" fillId="6" borderId="21" xfId="0" applyNumberFormat="1" applyFont="1" applyFill="1" applyBorder="1" applyAlignment="1">
      <alignment horizontal="center" vertical="center"/>
    </xf>
    <xf numFmtId="49" fontId="15" fillId="6" borderId="54" xfId="0" applyNumberFormat="1" applyFont="1" applyFill="1" applyBorder="1" applyAlignment="1">
      <alignment horizontal="center" vertical="center"/>
    </xf>
    <xf numFmtId="0" fontId="3" fillId="30" borderId="74" xfId="22" applyFont="1" applyFill="1" applyBorder="1"/>
    <xf numFmtId="176" fontId="51" fillId="0" borderId="26" xfId="8" applyNumberFormat="1" applyFont="1" applyFill="1" applyBorder="1" applyAlignment="1">
      <alignment horizontal="center" vertical="center"/>
    </xf>
    <xf numFmtId="177" fontId="51" fillId="0" borderId="26" xfId="6" applyNumberFormat="1" applyFont="1" applyFill="1" applyBorder="1" applyAlignment="1">
      <alignment horizontal="center" vertical="center"/>
    </xf>
    <xf numFmtId="49" fontId="15" fillId="6" borderId="21" xfId="0" applyNumberFormat="1" applyFont="1" applyFill="1" applyBorder="1" applyAlignment="1">
      <alignment vertical="center"/>
    </xf>
    <xf numFmtId="49" fontId="15" fillId="6" borderId="54" xfId="0" applyNumberFormat="1" applyFont="1" applyFill="1" applyBorder="1" applyAlignment="1">
      <alignment vertical="center"/>
    </xf>
    <xf numFmtId="0" fontId="2" fillId="29" borderId="74" xfId="22" applyFont="1" applyFill="1" applyBorder="1"/>
    <xf numFmtId="0" fontId="7" fillId="0" borderId="14" xfId="0" applyFont="1" applyBorder="1" applyAlignment="1">
      <alignment horizontal="center" vertical="center"/>
    </xf>
    <xf numFmtId="4" fontId="33" fillId="0" borderId="0" xfId="0" applyNumberFormat="1" applyFont="1" applyAlignment="1">
      <alignment vertical="center"/>
    </xf>
    <xf numFmtId="0" fontId="1" fillId="14" borderId="74" xfId="22" applyFont="1" applyFill="1" applyBorder="1"/>
    <xf numFmtId="0" fontId="9" fillId="11" borderId="0" xfId="0" applyFont="1" applyFill="1" applyAlignment="1">
      <alignment horizontal="center" vertical="center"/>
    </xf>
    <xf numFmtId="0" fontId="0" fillId="11" borderId="0" xfId="0" applyFill="1" applyAlignment="1">
      <alignment vertical="center"/>
    </xf>
    <xf numFmtId="171" fontId="0" fillId="11" borderId="0" xfId="0" applyNumberFormat="1" applyFill="1" applyAlignment="1">
      <alignment horizontal="center" vertical="center"/>
    </xf>
    <xf numFmtId="172" fontId="8" fillId="11" borderId="0" xfId="6" applyNumberFormat="1" applyFont="1" applyFill="1" applyAlignment="1">
      <alignment horizontal="center" vertical="center"/>
    </xf>
    <xf numFmtId="0" fontId="14" fillId="11" borderId="19" xfId="0" quotePrefix="1" applyFont="1" applyFill="1" applyBorder="1" applyAlignment="1">
      <alignment horizontal="left" vertical="center"/>
    </xf>
    <xf numFmtId="1" fontId="14" fillId="11" borderId="18" xfId="0" applyNumberFormat="1" applyFont="1" applyFill="1" applyBorder="1" applyAlignment="1" applyProtection="1">
      <alignment horizontal="left" vertical="center"/>
      <protection locked="0"/>
    </xf>
    <xf numFmtId="169" fontId="12" fillId="11" borderId="24" xfId="0" applyNumberFormat="1" applyFont="1" applyFill="1" applyBorder="1" applyAlignment="1" applyProtection="1">
      <alignment horizontal="center" vertical="center"/>
      <protection locked="0"/>
    </xf>
    <xf numFmtId="0" fontId="13" fillId="11" borderId="22" xfId="0" applyFont="1" applyFill="1" applyBorder="1" applyAlignment="1">
      <alignment horizontal="center" vertical="center"/>
    </xf>
    <xf numFmtId="0" fontId="10" fillId="11" borderId="26" xfId="0" applyFont="1" applyFill="1" applyBorder="1" applyAlignment="1" applyProtection="1">
      <alignment horizontal="center" vertical="center"/>
      <protection locked="0"/>
    </xf>
    <xf numFmtId="0" fontId="10" fillId="11" borderId="27" xfId="0" applyFont="1" applyFill="1" applyBorder="1" applyAlignment="1" applyProtection="1">
      <alignment horizontal="center" vertical="center"/>
      <protection locked="0"/>
    </xf>
    <xf numFmtId="0" fontId="10" fillId="11" borderId="28" xfId="0" applyFont="1" applyFill="1" applyBorder="1" applyAlignment="1" applyProtection="1">
      <alignment horizontal="center" vertical="center"/>
      <protection locked="0"/>
    </xf>
    <xf numFmtId="0" fontId="10" fillId="11" borderId="29" xfId="0" applyFont="1" applyFill="1" applyBorder="1" applyAlignment="1" applyProtection="1">
      <alignment horizontal="center" vertical="center"/>
      <protection locked="0"/>
    </xf>
    <xf numFmtId="0" fontId="10" fillId="11" borderId="30" xfId="0" applyFont="1" applyFill="1" applyBorder="1" applyAlignment="1" applyProtection="1">
      <alignment horizontal="center" vertical="center"/>
      <protection locked="0"/>
    </xf>
    <xf numFmtId="3" fontId="12" fillId="11" borderId="45" xfId="0" applyNumberFormat="1" applyFont="1" applyFill="1" applyBorder="1" applyAlignment="1">
      <alignment horizontal="centerContinuous" vertical="center"/>
    </xf>
    <xf numFmtId="4" fontId="7" fillId="11" borderId="19" xfId="0" applyNumberFormat="1" applyFont="1" applyFill="1" applyBorder="1" applyAlignment="1">
      <alignment horizontal="center"/>
    </xf>
    <xf numFmtId="4" fontId="7" fillId="11" borderId="22" xfId="0" applyNumberFormat="1" applyFont="1" applyFill="1" applyBorder="1" applyAlignment="1">
      <alignment vertical="center"/>
    </xf>
    <xf numFmtId="1" fontId="0" fillId="11" borderId="0" xfId="0" applyNumberFormat="1" applyFill="1" applyAlignment="1">
      <alignment horizontal="center" vertical="center"/>
    </xf>
    <xf numFmtId="1" fontId="0" fillId="11" borderId="0" xfId="0" applyNumberFormat="1" applyFill="1" applyAlignment="1">
      <alignment vertical="center"/>
    </xf>
    <xf numFmtId="0" fontId="47" fillId="0" borderId="14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3" fillId="0" borderId="14" xfId="0" applyFont="1" applyBorder="1" applyAlignment="1">
      <alignment horizontal="left" vertical="center" wrapText="1"/>
    </xf>
    <xf numFmtId="0" fontId="43" fillId="0" borderId="21" xfId="0" applyFont="1" applyBorder="1" applyAlignment="1">
      <alignment horizontal="left" vertical="center" wrapText="1"/>
    </xf>
    <xf numFmtId="0" fontId="43" fillId="0" borderId="15" xfId="0" applyFont="1" applyBorder="1" applyAlignment="1">
      <alignment horizontal="left" vertical="center" wrapText="1"/>
    </xf>
    <xf numFmtId="0" fontId="38" fillId="7" borderId="14" xfId="0" applyFont="1" applyFill="1" applyBorder="1" applyAlignment="1">
      <alignment horizontal="center" vertical="center"/>
    </xf>
    <xf numFmtId="0" fontId="38" fillId="7" borderId="21" xfId="0" applyFont="1" applyFill="1" applyBorder="1" applyAlignment="1">
      <alignment horizontal="center" vertical="center"/>
    </xf>
    <xf numFmtId="0" fontId="38" fillId="7" borderId="15" xfId="0" applyFont="1" applyFill="1" applyBorder="1" applyAlignment="1">
      <alignment horizontal="center" vertical="center"/>
    </xf>
    <xf numFmtId="0" fontId="53" fillId="18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0" fontId="14" fillId="0" borderId="31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47" xfId="0" applyFont="1" applyBorder="1" applyAlignment="1">
      <alignment horizontal="left" vertical="center"/>
    </xf>
    <xf numFmtId="0" fontId="11" fillId="2" borderId="51" xfId="0" applyFont="1" applyFill="1" applyBorder="1" applyAlignment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53" xfId="0" applyFont="1" applyFill="1" applyBorder="1" applyAlignment="1">
      <alignment horizontal="center" vertical="center"/>
    </xf>
    <xf numFmtId="49" fontId="15" fillId="6" borderId="65" xfId="0" applyNumberFormat="1" applyFont="1" applyFill="1" applyBorder="1" applyAlignment="1">
      <alignment horizontal="center" vertical="center"/>
    </xf>
    <xf numFmtId="49" fontId="15" fillId="6" borderId="69" xfId="0" applyNumberFormat="1" applyFont="1" applyFill="1" applyBorder="1" applyAlignment="1">
      <alignment horizontal="center" vertical="center"/>
    </xf>
    <xf numFmtId="0" fontId="34" fillId="6" borderId="55" xfId="0" applyFont="1" applyFill="1" applyBorder="1" applyAlignment="1">
      <alignment horizontal="center" vertical="center"/>
    </xf>
    <xf numFmtId="0" fontId="34" fillId="6" borderId="56" xfId="0" applyFont="1" applyFill="1" applyBorder="1" applyAlignment="1">
      <alignment horizontal="center" vertical="center"/>
    </xf>
    <xf numFmtId="0" fontId="34" fillId="6" borderId="57" xfId="0" applyFont="1" applyFill="1" applyBorder="1" applyAlignment="1">
      <alignment horizontal="center" vertical="center"/>
    </xf>
    <xf numFmtId="0" fontId="34" fillId="6" borderId="58" xfId="0" applyFont="1" applyFill="1" applyBorder="1" applyAlignment="1">
      <alignment horizontal="center" vertical="center"/>
    </xf>
    <xf numFmtId="0" fontId="34" fillId="6" borderId="40" xfId="0" applyFont="1" applyFill="1" applyBorder="1" applyAlignment="1">
      <alignment horizontal="center" vertical="center"/>
    </xf>
    <xf numFmtId="0" fontId="34" fillId="6" borderId="34" xfId="0" applyFont="1" applyFill="1" applyBorder="1" applyAlignment="1">
      <alignment horizontal="center" vertical="center"/>
    </xf>
    <xf numFmtId="0" fontId="34" fillId="6" borderId="35" xfId="0" applyFont="1" applyFill="1" applyBorder="1" applyAlignment="1">
      <alignment horizontal="center" vertical="center"/>
    </xf>
    <xf numFmtId="3" fontId="33" fillId="7" borderId="12" xfId="0" applyNumberFormat="1" applyFont="1" applyFill="1" applyBorder="1" applyAlignment="1">
      <alignment horizontal="center" vertical="center"/>
    </xf>
    <xf numFmtId="3" fontId="33" fillId="7" borderId="50" xfId="0" applyNumberFormat="1" applyFont="1" applyFill="1" applyBorder="1" applyAlignment="1">
      <alignment horizontal="center" vertical="center"/>
    </xf>
    <xf numFmtId="4" fontId="33" fillId="7" borderId="14" xfId="0" applyNumberFormat="1" applyFont="1" applyFill="1" applyBorder="1" applyAlignment="1">
      <alignment horizontal="center" vertical="center"/>
    </xf>
    <xf numFmtId="4" fontId="33" fillId="7" borderId="21" xfId="0" applyNumberFormat="1" applyFont="1" applyFill="1" applyBorder="1" applyAlignment="1">
      <alignment horizontal="center" vertical="center"/>
    </xf>
    <xf numFmtId="4" fontId="33" fillId="7" borderId="15" xfId="0" applyNumberFormat="1" applyFont="1" applyFill="1" applyBorder="1" applyAlignment="1">
      <alignment horizontal="center" vertical="center"/>
    </xf>
    <xf numFmtId="0" fontId="34" fillId="6" borderId="59" xfId="0" applyFont="1" applyFill="1" applyBorder="1" applyAlignment="1">
      <alignment horizontal="center" vertical="center"/>
    </xf>
    <xf numFmtId="3" fontId="33" fillId="12" borderId="12" xfId="0" applyNumberFormat="1" applyFont="1" applyFill="1" applyBorder="1" applyAlignment="1">
      <alignment horizontal="center" vertical="center"/>
    </xf>
    <xf numFmtId="3" fontId="33" fillId="12" borderId="50" xfId="0" applyNumberFormat="1" applyFont="1" applyFill="1" applyBorder="1" applyAlignment="1">
      <alignment horizontal="center" vertical="center"/>
    </xf>
    <xf numFmtId="4" fontId="33" fillId="12" borderId="12" xfId="0" applyNumberFormat="1" applyFont="1" applyFill="1" applyBorder="1" applyAlignment="1">
      <alignment horizontal="right" vertical="center"/>
    </xf>
    <xf numFmtId="4" fontId="33" fillId="12" borderId="10" xfId="0" applyNumberFormat="1" applyFont="1" applyFill="1" applyBorder="1" applyAlignment="1">
      <alignment horizontal="right" vertical="center"/>
    </xf>
    <xf numFmtId="4" fontId="33" fillId="12" borderId="50" xfId="0" applyNumberFormat="1" applyFont="1" applyFill="1" applyBorder="1" applyAlignment="1">
      <alignment horizontal="right" vertical="center"/>
    </xf>
    <xf numFmtId="3" fontId="33" fillId="13" borderId="12" xfId="0" applyNumberFormat="1" applyFont="1" applyFill="1" applyBorder="1" applyAlignment="1">
      <alignment horizontal="center" vertical="center"/>
    </xf>
    <xf numFmtId="3" fontId="33" fillId="13" borderId="50" xfId="0" applyNumberFormat="1" applyFont="1" applyFill="1" applyBorder="1" applyAlignment="1">
      <alignment horizontal="center" vertical="center"/>
    </xf>
    <xf numFmtId="4" fontId="33" fillId="13" borderId="12" xfId="0" applyNumberFormat="1" applyFont="1" applyFill="1" applyBorder="1" applyAlignment="1">
      <alignment horizontal="right" vertical="center"/>
    </xf>
    <xf numFmtId="4" fontId="33" fillId="13" borderId="10" xfId="0" applyNumberFormat="1" applyFont="1" applyFill="1" applyBorder="1" applyAlignment="1">
      <alignment horizontal="right" vertical="center"/>
    </xf>
    <xf numFmtId="4" fontId="33" fillId="13" borderId="50" xfId="0" applyNumberFormat="1" applyFont="1" applyFill="1" applyBorder="1" applyAlignment="1">
      <alignment horizontal="right" vertical="center"/>
    </xf>
    <xf numFmtId="3" fontId="33" fillId="9" borderId="12" xfId="0" applyNumberFormat="1" applyFont="1" applyFill="1" applyBorder="1" applyAlignment="1">
      <alignment horizontal="center" vertical="center"/>
    </xf>
    <xf numFmtId="3" fontId="33" fillId="9" borderId="50" xfId="0" applyNumberFormat="1" applyFont="1" applyFill="1" applyBorder="1" applyAlignment="1">
      <alignment horizontal="center" vertical="center"/>
    </xf>
    <xf numFmtId="4" fontId="33" fillId="9" borderId="12" xfId="0" applyNumberFormat="1" applyFont="1" applyFill="1" applyBorder="1" applyAlignment="1">
      <alignment horizontal="right" vertical="center"/>
    </xf>
    <xf numFmtId="4" fontId="33" fillId="9" borderId="10" xfId="0" applyNumberFormat="1" applyFont="1" applyFill="1" applyBorder="1" applyAlignment="1">
      <alignment horizontal="right" vertical="center"/>
    </xf>
    <xf numFmtId="4" fontId="33" fillId="9" borderId="50" xfId="0" applyNumberFormat="1" applyFont="1" applyFill="1" applyBorder="1" applyAlignment="1">
      <alignment horizontal="right" vertical="center"/>
    </xf>
    <xf numFmtId="3" fontId="33" fillId="15" borderId="12" xfId="0" applyNumberFormat="1" applyFont="1" applyFill="1" applyBorder="1" applyAlignment="1">
      <alignment horizontal="center" vertical="center"/>
    </xf>
    <xf numFmtId="3" fontId="33" fillId="15" borderId="50" xfId="0" applyNumberFormat="1" applyFont="1" applyFill="1" applyBorder="1" applyAlignment="1">
      <alignment horizontal="center" vertical="center"/>
    </xf>
    <xf numFmtId="4" fontId="33" fillId="15" borderId="12" xfId="0" applyNumberFormat="1" applyFont="1" applyFill="1" applyBorder="1" applyAlignment="1">
      <alignment horizontal="right" vertical="center"/>
    </xf>
    <xf numFmtId="4" fontId="33" fillId="15" borderId="10" xfId="0" applyNumberFormat="1" applyFont="1" applyFill="1" applyBorder="1" applyAlignment="1">
      <alignment horizontal="right" vertical="center"/>
    </xf>
    <xf numFmtId="4" fontId="33" fillId="15" borderId="50" xfId="0" applyNumberFormat="1" applyFont="1" applyFill="1" applyBorder="1" applyAlignment="1">
      <alignment horizontal="right" vertical="center"/>
    </xf>
    <xf numFmtId="3" fontId="33" fillId="14" borderId="12" xfId="0" applyNumberFormat="1" applyFont="1" applyFill="1" applyBorder="1" applyAlignment="1">
      <alignment horizontal="center" vertical="center"/>
    </xf>
    <xf numFmtId="3" fontId="33" fillId="14" borderId="50" xfId="0" applyNumberFormat="1" applyFont="1" applyFill="1" applyBorder="1" applyAlignment="1">
      <alignment horizontal="center" vertical="center"/>
    </xf>
    <xf numFmtId="4" fontId="33" fillId="14" borderId="12" xfId="0" applyNumberFormat="1" applyFont="1" applyFill="1" applyBorder="1" applyAlignment="1">
      <alignment horizontal="right" vertical="center"/>
    </xf>
    <xf numFmtId="4" fontId="33" fillId="14" borderId="10" xfId="0" applyNumberFormat="1" applyFont="1" applyFill="1" applyBorder="1" applyAlignment="1">
      <alignment horizontal="right" vertical="center"/>
    </xf>
    <xf numFmtId="4" fontId="33" fillId="14" borderId="50" xfId="0" applyNumberFormat="1" applyFont="1" applyFill="1" applyBorder="1" applyAlignment="1">
      <alignment horizontal="right" vertical="center"/>
    </xf>
  </cellXfs>
  <cellStyles count="28">
    <cellStyle name="Comma" xfId="1"/>
    <cellStyle name="Comma 2" xfId="2"/>
    <cellStyle name="Euro" xfId="3"/>
    <cellStyle name="Euro 2" xfId="4"/>
    <cellStyle name="Euro 3" xfId="5"/>
    <cellStyle name="Millares" xfId="6" builtinId="3"/>
    <cellStyle name="Millares 2" xfId="7"/>
    <cellStyle name="Moneda" xfId="8" builtinId="4"/>
    <cellStyle name="Moneda 6" xfId="9"/>
    <cellStyle name="Normal" xfId="0" builtinId="0"/>
    <cellStyle name="Normal 10" xfId="10"/>
    <cellStyle name="Normal 2" xfId="11"/>
    <cellStyle name="Normal 2 10" xfId="12"/>
    <cellStyle name="Normal 2 2" xfId="13"/>
    <cellStyle name="Normal 2 3" xfId="14"/>
    <cellStyle name="Normal 2 4" xfId="15"/>
    <cellStyle name="Normal 2 5" xfId="16"/>
    <cellStyle name="Normal 2 6" xfId="17"/>
    <cellStyle name="Normal 2 7" xfId="18"/>
    <cellStyle name="Normal 2 8" xfId="19"/>
    <cellStyle name="Normal 2 9" xfId="20"/>
    <cellStyle name="Normal 3" xfId="21"/>
    <cellStyle name="Normal 4" xfId="22"/>
    <cellStyle name="Normal 5" xfId="23"/>
    <cellStyle name="Normal 7" xfId="24"/>
    <cellStyle name="Normal 8" xfId="25"/>
    <cellStyle name="Normal 9" xfId="26"/>
    <cellStyle name="Porcentaje" xfId="27" builtinId="5"/>
  </cellStyles>
  <dxfs count="261">
    <dxf>
      <font>
        <b/>
        <i val="0"/>
        <color rgb="FFFF0000"/>
      </font>
      <fill>
        <patternFill>
          <bgColor theme="5" tint="0.39994506668294322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auto="1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8DE38D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FFFF99"/>
      <color rgb="FFFF5050"/>
      <color rgb="FF8DE3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361951</xdr:colOff>
      <xdr:row>0</xdr:row>
      <xdr:rowOff>57150</xdr:rowOff>
    </xdr:from>
    <xdr:to>
      <xdr:col>2</xdr:col>
      <xdr:colOff>0</xdr:colOff>
      <xdr:row>2</xdr:row>
      <xdr:rowOff>150533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57150"/>
          <a:ext cx="1685924" cy="588683"/>
        </a:xfrm>
        <a:prstGeom prst="rect">
          <a:avLst/>
        </a:prstGeom>
      </xdr:spPr>
    </xdr:pic>
    <xdr:clientData/>
  </xdr:twoCellAnchor>
  <xdr:twoCellAnchor>
    <xdr:from>
      <xdr:col>13</xdr:col>
      <xdr:colOff>285750</xdr:colOff>
      <xdr:row>13</xdr:row>
      <xdr:rowOff>21165</xdr:rowOff>
    </xdr:from>
    <xdr:to>
      <xdr:col>13</xdr:col>
      <xdr:colOff>539750</xdr:colOff>
      <xdr:row>13</xdr:row>
      <xdr:rowOff>275166</xdr:rowOff>
    </xdr:to>
    <xdr:sp macro="" textlink="">
      <xdr:nvSpPr>
        <xdr:cNvPr id="3" name="Flecha abajo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 bwMode="auto">
        <a:xfrm rot="10800000">
          <a:off x="12086167" y="3100915"/>
          <a:ext cx="254000" cy="254001"/>
        </a:xfrm>
        <a:prstGeom prst="downArrow">
          <a:avLst/>
        </a:prstGeom>
        <a:solidFill>
          <a:srgbClr val="92D050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0</xdr:rowOff>
    </xdr:from>
    <xdr:to>
      <xdr:col>2</xdr:col>
      <xdr:colOff>914400</xdr:colOff>
      <xdr:row>2</xdr:row>
      <xdr:rowOff>133040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0"/>
          <a:ext cx="1685925" cy="5902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14</xdr:col>
      <xdr:colOff>257175</xdr:colOff>
      <xdr:row>4</xdr:row>
      <xdr:rowOff>256865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0" y="428625"/>
          <a:ext cx="1685925" cy="5902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</xdr:row>
      <xdr:rowOff>0</xdr:rowOff>
    </xdr:from>
    <xdr:to>
      <xdr:col>16</xdr:col>
      <xdr:colOff>257175</xdr:colOff>
      <xdr:row>4</xdr:row>
      <xdr:rowOff>256865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0" y="428625"/>
          <a:ext cx="1685925" cy="590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</xdr:row>
      <xdr:rowOff>0</xdr:rowOff>
    </xdr:from>
    <xdr:to>
      <xdr:col>16</xdr:col>
      <xdr:colOff>257175</xdr:colOff>
      <xdr:row>4</xdr:row>
      <xdr:rowOff>256865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0" y="428625"/>
          <a:ext cx="1685925" cy="5902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</xdr:row>
      <xdr:rowOff>0</xdr:rowOff>
    </xdr:from>
    <xdr:to>
      <xdr:col>16</xdr:col>
      <xdr:colOff>257175</xdr:colOff>
      <xdr:row>4</xdr:row>
      <xdr:rowOff>256865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0" y="428625"/>
          <a:ext cx="1685925" cy="5902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</xdr:row>
      <xdr:rowOff>0</xdr:rowOff>
    </xdr:from>
    <xdr:to>
      <xdr:col>16</xdr:col>
      <xdr:colOff>257175</xdr:colOff>
      <xdr:row>4</xdr:row>
      <xdr:rowOff>256865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0" y="428625"/>
          <a:ext cx="1685925" cy="5902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</xdr:row>
      <xdr:rowOff>0</xdr:rowOff>
    </xdr:from>
    <xdr:to>
      <xdr:col>16</xdr:col>
      <xdr:colOff>257175</xdr:colOff>
      <xdr:row>4</xdr:row>
      <xdr:rowOff>256865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0" y="428625"/>
          <a:ext cx="1685925" cy="5902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565" name="Imagen 1">
          <a:extLst>
            <a:ext uri="{FF2B5EF4-FFF2-40B4-BE49-F238E27FC236}">
              <a16:creationId xmlns:a16="http://schemas.microsoft.com/office/drawing/2014/main" xmlns="" id="{00000000-0008-0000-08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05625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2:AF21"/>
  <sheetViews>
    <sheetView showGridLines="0" tabSelected="1" zoomScaleNormal="100" workbookViewId="0">
      <selection activeCell="AK18" sqref="AK18"/>
    </sheetView>
  </sheetViews>
  <sheetFormatPr baseColWidth="10" defaultRowHeight="12.75" x14ac:dyDescent="0.2"/>
  <cols>
    <col min="2" max="2" width="19.28515625" customWidth="1"/>
    <col min="3" max="3" width="22.28515625" customWidth="1"/>
    <col min="5" max="5" width="31.7109375" customWidth="1"/>
    <col min="6" max="6" width="9.7109375" customWidth="1"/>
    <col min="7" max="7" width="8.5703125" hidden="1" customWidth="1"/>
    <col min="8" max="8" width="17.5703125" hidden="1" customWidth="1"/>
    <col min="9" max="9" width="12.42578125" hidden="1" customWidth="1"/>
    <col min="10" max="10" width="8.7109375" hidden="1" customWidth="1"/>
    <col min="11" max="11" width="5.42578125" hidden="1" customWidth="1"/>
    <col min="12" max="27" width="0" hidden="1" customWidth="1"/>
    <col min="28" max="32" width="11.42578125" hidden="1" customWidth="1"/>
  </cols>
  <sheetData>
    <row r="2" spans="2:32" ht="26.25" customHeight="1" x14ac:dyDescent="0.2">
      <c r="D2" s="167" t="s">
        <v>816</v>
      </c>
    </row>
    <row r="3" spans="2:32" x14ac:dyDescent="0.2">
      <c r="E3" s="105"/>
    </row>
    <row r="4" spans="2:32" x14ac:dyDescent="0.2">
      <c r="C4" s="90" t="s">
        <v>38</v>
      </c>
      <c r="E4" s="90" t="s">
        <v>38</v>
      </c>
    </row>
    <row r="5" spans="2:32" ht="13.5" thickBot="1" x14ac:dyDescent="0.25">
      <c r="C5" s="141" t="s">
        <v>52</v>
      </c>
      <c r="D5" s="138"/>
      <c r="E5" s="141" t="s">
        <v>459</v>
      </c>
    </row>
    <row r="6" spans="2:32" ht="13.5" thickBot="1" x14ac:dyDescent="0.25">
      <c r="N6" s="218" t="s">
        <v>622</v>
      </c>
    </row>
    <row r="7" spans="2:32" s="7" customFormat="1" ht="21.75" customHeight="1" thickBot="1" x14ac:dyDescent="0.25">
      <c r="B7" s="168" t="str">
        <f>AUX!G3</f>
        <v>ENERO</v>
      </c>
      <c r="C7" s="181">
        <f>+'ENE 26'!AM9</f>
        <v>302</v>
      </c>
      <c r="D7" s="169"/>
      <c r="E7" s="183">
        <f>+'ENE 26'!AO9</f>
        <v>10926096.256684493</v>
      </c>
      <c r="G7" s="294" t="s">
        <v>608</v>
      </c>
      <c r="H7" s="295"/>
      <c r="I7" s="295"/>
      <c r="J7" s="296"/>
      <c r="K7" s="199"/>
      <c r="L7" s="200" t="s">
        <v>620</v>
      </c>
      <c r="M7" s="200" t="s">
        <v>620</v>
      </c>
      <c r="N7" s="219" t="s">
        <v>620</v>
      </c>
    </row>
    <row r="8" spans="2:32" s="7" customFormat="1" ht="21.75" customHeight="1" thickBot="1" x14ac:dyDescent="0.25">
      <c r="B8" s="170" t="str">
        <f>AUX!G4</f>
        <v>FEBRERO</v>
      </c>
      <c r="C8" s="239">
        <f>+'FEB 26'!AM9</f>
        <v>264</v>
      </c>
      <c r="D8" s="169"/>
      <c r="E8" s="183">
        <f>+'FEB 26'!AO9</f>
        <v>9563422.4598930478</v>
      </c>
      <c r="G8" s="201" t="s">
        <v>461</v>
      </c>
      <c r="H8" s="202" t="s">
        <v>460</v>
      </c>
      <c r="I8" s="198" t="s">
        <v>609</v>
      </c>
      <c r="J8" s="203" t="s">
        <v>610</v>
      </c>
      <c r="K8" s="199"/>
      <c r="L8" s="204" t="s">
        <v>619</v>
      </c>
      <c r="M8" s="204" t="s">
        <v>621</v>
      </c>
      <c r="N8" s="220" t="s">
        <v>621</v>
      </c>
      <c r="AC8" s="7" t="s">
        <v>451</v>
      </c>
      <c r="AD8" s="7" t="s">
        <v>617</v>
      </c>
      <c r="AE8" s="7" t="s">
        <v>618</v>
      </c>
      <c r="AF8" s="7" t="s">
        <v>453</v>
      </c>
    </row>
    <row r="9" spans="2:32" s="7" customFormat="1" ht="21.75" customHeight="1" thickBot="1" x14ac:dyDescent="0.25">
      <c r="B9" s="171" t="str">
        <f>AUX!G5</f>
        <v>MARZO</v>
      </c>
      <c r="C9" s="239">
        <f>+'MAR 26'!AM9</f>
        <v>396</v>
      </c>
      <c r="D9" s="169"/>
      <c r="E9" s="183">
        <f>+'MAR 26'!AO9</f>
        <v>15972406.4171123</v>
      </c>
      <c r="G9" s="205" t="s">
        <v>611</v>
      </c>
      <c r="H9" s="206" t="s">
        <v>612</v>
      </c>
      <c r="I9" s="207">
        <v>0.22</v>
      </c>
      <c r="J9" s="208" t="s">
        <v>615</v>
      </c>
      <c r="K9" s="199"/>
      <c r="L9" s="209">
        <f>+AD15/$C$13</f>
        <v>0</v>
      </c>
      <c r="M9" s="210">
        <f>+AD15</f>
        <v>0</v>
      </c>
      <c r="N9" s="210">
        <f>+$N$13*I9</f>
        <v>660</v>
      </c>
      <c r="AB9" s="7" t="s">
        <v>543</v>
      </c>
      <c r="AC9" s="7">
        <f>+'ENE 26'!$XEO$12</f>
        <v>64</v>
      </c>
      <c r="AD9" s="7">
        <f>+'ENE 26'!$XEP$12</f>
        <v>0</v>
      </c>
      <c r="AE9" s="7">
        <f>+'ENE 26'!$XEQ$12</f>
        <v>0</v>
      </c>
      <c r="AF9" s="7">
        <f>+'ENE 26'!$XER$12</f>
        <v>66</v>
      </c>
    </row>
    <row r="10" spans="2:32" s="7" customFormat="1" ht="21.75" customHeight="1" thickBot="1" x14ac:dyDescent="0.25">
      <c r="B10" s="172" t="str">
        <f>AUX!G6</f>
        <v>ABRIL</v>
      </c>
      <c r="C10" s="239">
        <f>+'ABR 26'!AM9</f>
        <v>416</v>
      </c>
      <c r="D10" s="169"/>
      <c r="E10" s="183">
        <f>+'ABR 26'!AO9</f>
        <v>14869304.812834224</v>
      </c>
      <c r="G10" s="205" t="s">
        <v>611</v>
      </c>
      <c r="H10" s="206" t="s">
        <v>526</v>
      </c>
      <c r="I10" s="207">
        <v>0.25</v>
      </c>
      <c r="J10" s="208" t="s">
        <v>615</v>
      </c>
      <c r="K10" s="199"/>
      <c r="L10" s="209">
        <f>+AC15/$C$13</f>
        <v>0.24842484248424843</v>
      </c>
      <c r="M10" s="210">
        <f>+AC15</f>
        <v>552</v>
      </c>
      <c r="N10" s="210">
        <f t="shared" ref="N10:N12" si="0">+$N$13*I10</f>
        <v>750</v>
      </c>
      <c r="AB10" s="7" t="s">
        <v>544</v>
      </c>
      <c r="AC10" s="7">
        <f>+'FEB 26'!$XEO$12</f>
        <v>12</v>
      </c>
      <c r="AD10" s="7">
        <f>+'FEB 26'!$XEP$12</f>
        <v>0</v>
      </c>
      <c r="AE10" s="7">
        <f>+'FEB 26'!$XEQ$12</f>
        <v>0</v>
      </c>
      <c r="AF10" s="7">
        <f>+'FEB 26'!$XER$12</f>
        <v>142</v>
      </c>
    </row>
    <row r="11" spans="2:32" s="7" customFormat="1" ht="21.75" customHeight="1" thickBot="1" x14ac:dyDescent="0.25">
      <c r="B11" s="173" t="str">
        <f>AUX!G7</f>
        <v>MAYO</v>
      </c>
      <c r="C11" s="239">
        <f>+'MAY 26'!AM9</f>
        <v>392</v>
      </c>
      <c r="D11" s="169"/>
      <c r="E11" s="183">
        <f>+'MAY 26'!AO9</f>
        <v>15989518.716577537</v>
      </c>
      <c r="G11" s="205" t="s">
        <v>611</v>
      </c>
      <c r="H11" s="206" t="s">
        <v>613</v>
      </c>
      <c r="I11" s="207">
        <v>0.28000000000000003</v>
      </c>
      <c r="J11" s="208" t="s">
        <v>615</v>
      </c>
      <c r="K11" s="199"/>
      <c r="L11" s="209">
        <f>+AE15/$C$13</f>
        <v>0</v>
      </c>
      <c r="M11" s="210">
        <f>+AE15</f>
        <v>0</v>
      </c>
      <c r="N11" s="210">
        <f t="shared" si="0"/>
        <v>840.00000000000011</v>
      </c>
      <c r="AB11" s="7" t="s">
        <v>545</v>
      </c>
      <c r="AC11" s="7">
        <f>+'MAR 26'!$XEP$12</f>
        <v>182</v>
      </c>
      <c r="AD11" s="7">
        <f>+'MAR 26'!$XEQ$12</f>
        <v>0</v>
      </c>
      <c r="AE11" s="7">
        <f>+'MAR 26'!$XER$12</f>
        <v>0</v>
      </c>
      <c r="AF11" s="7">
        <f>+'MAR 26'!$XES$12</f>
        <v>56</v>
      </c>
    </row>
    <row r="12" spans="2:32" s="7" customFormat="1" ht="21.75" customHeight="1" thickBot="1" x14ac:dyDescent="0.25">
      <c r="B12" s="174" t="str">
        <f>AUX!G8</f>
        <v>JUNIO</v>
      </c>
      <c r="C12" s="239">
        <f>+'JUN 26'!AM9</f>
        <v>452</v>
      </c>
      <c r="D12" s="169"/>
      <c r="E12" s="183">
        <f>+'JUN 26'!AO9</f>
        <v>18638930.481283423</v>
      </c>
      <c r="G12" s="211" t="s">
        <v>502</v>
      </c>
      <c r="H12" s="212" t="s">
        <v>502</v>
      </c>
      <c r="I12" s="213">
        <v>0.25</v>
      </c>
      <c r="J12" s="214" t="s">
        <v>615</v>
      </c>
      <c r="K12" s="199"/>
      <c r="L12" s="215">
        <f>+AF15/$C$13</f>
        <v>0.20702070207020701</v>
      </c>
      <c r="M12" s="216">
        <f>+AF15</f>
        <v>460</v>
      </c>
      <c r="N12" s="216">
        <f t="shared" si="0"/>
        <v>750</v>
      </c>
      <c r="AB12" s="7" t="s">
        <v>546</v>
      </c>
      <c r="AC12" s="7">
        <f>+'ABR 26'!$XEP$12</f>
        <v>74</v>
      </c>
      <c r="AD12" s="7">
        <f>+'ABR 26'!$XEQ$12</f>
        <v>0</v>
      </c>
      <c r="AE12" s="7">
        <f>+'ABR 26'!$XER$12</f>
        <v>0</v>
      </c>
      <c r="AF12" s="7">
        <f>+'ABR 26'!$XES$12</f>
        <v>130</v>
      </c>
    </row>
    <row r="13" spans="2:32" s="7" customFormat="1" ht="21.75" customHeight="1" thickBot="1" x14ac:dyDescent="0.25">
      <c r="B13" s="175" t="s">
        <v>38</v>
      </c>
      <c r="C13" s="182">
        <f>+SUM(C7:C12)</f>
        <v>2222</v>
      </c>
      <c r="D13" s="176"/>
      <c r="E13" s="184">
        <f>+SUM(E7:E12)</f>
        <v>85959679.14438504</v>
      </c>
      <c r="G13" s="297" t="s">
        <v>614</v>
      </c>
      <c r="H13" s="298"/>
      <c r="I13" s="298"/>
      <c r="J13" s="299"/>
      <c r="K13" s="199"/>
      <c r="L13" s="199"/>
      <c r="M13" s="217">
        <f>+SUM(M9:M12)</f>
        <v>1012</v>
      </c>
      <c r="N13" s="221">
        <v>3000</v>
      </c>
      <c r="AB13" s="7" t="s">
        <v>547</v>
      </c>
      <c r="AC13" s="7">
        <f>+'MAY 26'!$XEP$12</f>
        <v>66</v>
      </c>
      <c r="AD13" s="7">
        <f>+'MAY 26'!$XEQ$12</f>
        <v>0</v>
      </c>
      <c r="AE13" s="7">
        <f>+'MAY 26'!$XER$12</f>
        <v>0</v>
      </c>
      <c r="AF13" s="7">
        <f>+'MAY 26'!$XES$12</f>
        <v>46</v>
      </c>
    </row>
    <row r="14" spans="2:32" ht="25.15" customHeight="1" thickBot="1" x14ac:dyDescent="0.25">
      <c r="G14" s="197"/>
      <c r="H14" s="197"/>
      <c r="I14" s="197"/>
      <c r="J14" s="197"/>
      <c r="AB14" t="s">
        <v>548</v>
      </c>
      <c r="AC14" s="7">
        <f>+'JUN 26'!$XEP$12</f>
        <v>154</v>
      </c>
      <c r="AD14" s="7">
        <f>+'JUN 26'!$XEQ$12</f>
        <v>0</v>
      </c>
      <c r="AE14" s="7">
        <f>+'JUN 26'!$XER$12</f>
        <v>0</v>
      </c>
      <c r="AF14" s="7">
        <f>+'JUN 26'!$XES$12</f>
        <v>20</v>
      </c>
    </row>
    <row r="15" spans="2:32" ht="25.15" customHeight="1" thickBot="1" x14ac:dyDescent="0.25">
      <c r="L15" s="300" t="s">
        <v>623</v>
      </c>
      <c r="M15" s="301"/>
      <c r="N15" s="302"/>
      <c r="AB15" t="s">
        <v>38</v>
      </c>
      <c r="AC15">
        <f>+SUM(AC9:AC14)</f>
        <v>552</v>
      </c>
      <c r="AD15">
        <f t="shared" ref="AD15:AF15" si="1">+SUM(AD9:AD14)</f>
        <v>0</v>
      </c>
      <c r="AE15">
        <f t="shared" si="1"/>
        <v>0</v>
      </c>
      <c r="AF15">
        <f t="shared" si="1"/>
        <v>460</v>
      </c>
    </row>
    <row r="16" spans="2:32" ht="25.15" customHeight="1" x14ac:dyDescent="0.2"/>
    <row r="17" ht="25.15" customHeight="1" x14ac:dyDescent="0.2"/>
    <row r="18" ht="25.15" customHeight="1" x14ac:dyDescent="0.2"/>
    <row r="19" ht="25.15" customHeight="1" x14ac:dyDescent="0.2"/>
    <row r="20" ht="25.15" customHeight="1" x14ac:dyDescent="0.2"/>
    <row r="21" ht="25.15" customHeight="1" x14ac:dyDescent="0.2"/>
  </sheetData>
  <mergeCells count="3">
    <mergeCell ref="G7:J7"/>
    <mergeCell ref="G13:J13"/>
    <mergeCell ref="L15:N15"/>
  </mergeCells>
  <conditionalFormatting sqref="L10">
    <cfRule type="cellIs" dxfId="260" priority="3" operator="between">
      <formula>0.22</formula>
      <formula>0.28</formula>
    </cfRule>
  </conditionalFormatting>
  <conditionalFormatting sqref="L11">
    <cfRule type="cellIs" dxfId="259" priority="2" operator="between">
      <formula>0.25</formula>
      <formula>0.31</formula>
    </cfRule>
  </conditionalFormatting>
  <conditionalFormatting sqref="L12">
    <cfRule type="cellIs" dxfId="258" priority="1" operator="between">
      <formula>0.22</formula>
      <formula>0.28</formula>
    </cfRule>
  </conditionalFormatting>
  <conditionalFormatting sqref="L9:N9">
    <cfRule type="cellIs" dxfId="257" priority="4" operator="between">
      <formula>0.19</formula>
      <formula>0.25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51" id="{D4044587-D518-4B7F-BB9D-A13994A7F799}">
            <xm:f>'RESUMEN CATEGORIAS'!$AD32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m:sqref>G15</xm:sqref>
        </x14:conditionalFormatting>
        <x14:conditionalFormatting xmlns:xm="http://schemas.microsoft.com/office/excel/2006/main">
          <x14:cfRule type="expression" priority="355" id="{02137685-39A9-4844-8EC7-566D14AE4E59}">
            <xm:f>'RESUMEN CATEGORIAS'!#REF!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m:sqref>H15:I15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theme="1"/>
  </sheetPr>
  <dimension ref="B2:AT59"/>
  <sheetViews>
    <sheetView showGridLines="0" zoomScale="80" zoomScaleNormal="80" workbookViewId="0">
      <pane ySplit="3" topLeftCell="A4" activePane="bottomLeft" state="frozen"/>
      <selection pane="bottomLeft" activeCell="M38" sqref="M38"/>
    </sheetView>
  </sheetViews>
  <sheetFormatPr baseColWidth="10" defaultRowHeight="12.75" x14ac:dyDescent="0.2"/>
  <cols>
    <col min="1" max="1" width="4" bestFit="1" customWidth="1"/>
    <col min="2" max="2" width="15.42578125" customWidth="1"/>
    <col min="3" max="3" width="17.7109375" customWidth="1"/>
    <col min="4" max="4" width="2.42578125" customWidth="1"/>
    <col min="5" max="5" width="19.28515625" customWidth="1"/>
    <col min="6" max="6" width="10" customWidth="1"/>
    <col min="7" max="7" width="14.28515625" customWidth="1"/>
    <col min="8" max="8" width="7.5703125" bestFit="1" customWidth="1"/>
    <col min="9" max="9" width="7.7109375" bestFit="1" customWidth="1"/>
    <col min="10" max="10" width="6.7109375" hidden="1" customWidth="1"/>
    <col min="11" max="11" width="6.7109375" style="155" hidden="1" customWidth="1"/>
    <col min="12" max="12" width="4.28515625" customWidth="1"/>
    <col min="13" max="13" width="15.28515625" customWidth="1"/>
    <col min="14" max="14" width="8.7109375" bestFit="1" customWidth="1"/>
    <col min="15" max="15" width="7.7109375" bestFit="1" customWidth="1"/>
    <col min="16" max="16" width="0.7109375" customWidth="1"/>
    <col min="17" max="18" width="7.28515625" hidden="1" customWidth="1"/>
    <col min="19" max="19" width="3.28515625" hidden="1" customWidth="1"/>
    <col min="20" max="20" width="38.7109375" hidden="1" customWidth="1"/>
    <col min="21" max="21" width="26.5703125" hidden="1" customWidth="1"/>
    <col min="22" max="33" width="10.85546875" hidden="1" customWidth="1"/>
    <col min="34" max="34" width="16.28515625" hidden="1" customWidth="1"/>
    <col min="35" max="35" width="5" hidden="1" customWidth="1"/>
    <col min="36" max="37" width="16.28515625" hidden="1" customWidth="1"/>
    <col min="38" max="38" width="5" hidden="1" customWidth="1"/>
    <col min="39" max="39" width="7.28515625" hidden="1" customWidth="1"/>
    <col min="40" max="40" width="16.28515625" hidden="1" customWidth="1"/>
    <col min="41" max="41" width="10.85546875" hidden="1" customWidth="1"/>
    <col min="42" max="42" width="5.28515625" customWidth="1"/>
    <col min="43" max="43" width="19.5703125" customWidth="1"/>
    <col min="44" max="44" width="10.5703125" customWidth="1"/>
    <col min="45" max="45" width="7.28515625" customWidth="1"/>
  </cols>
  <sheetData>
    <row r="2" spans="2:45" ht="23.25" x14ac:dyDescent="0.35">
      <c r="D2" s="161" t="str">
        <f>PRINCIPAL!D2</f>
        <v>CALZADO - Resumen Enero / Junio 2026</v>
      </c>
      <c r="M2" s="105"/>
    </row>
    <row r="3" spans="2:45" x14ac:dyDescent="0.2">
      <c r="E3" s="105"/>
      <c r="M3" s="105"/>
    </row>
    <row r="4" spans="2:45" x14ac:dyDescent="0.2">
      <c r="C4" s="90" t="s">
        <v>38</v>
      </c>
      <c r="E4" s="90" t="s">
        <v>38</v>
      </c>
      <c r="G4" s="90" t="s">
        <v>442</v>
      </c>
      <c r="J4" s="142" t="s">
        <v>465</v>
      </c>
      <c r="K4" s="155" t="s">
        <v>467</v>
      </c>
      <c r="M4" s="90" t="s">
        <v>437</v>
      </c>
      <c r="Q4" s="142" t="s">
        <v>465</v>
      </c>
      <c r="R4" s="155" t="s">
        <v>467</v>
      </c>
      <c r="AD4" s="143">
        <v>60</v>
      </c>
      <c r="AQ4" s="90" t="s">
        <v>675</v>
      </c>
    </row>
    <row r="5" spans="2:45" x14ac:dyDescent="0.2">
      <c r="C5" s="141" t="s">
        <v>52</v>
      </c>
      <c r="D5" s="138"/>
      <c r="E5" s="141" t="s">
        <v>459</v>
      </c>
      <c r="G5" s="141" t="s">
        <v>52</v>
      </c>
      <c r="J5" s="142" t="s">
        <v>464</v>
      </c>
      <c r="K5" s="156" t="s">
        <v>466</v>
      </c>
      <c r="M5" s="141" t="s">
        <v>52</v>
      </c>
      <c r="Q5" s="142" t="s">
        <v>464</v>
      </c>
      <c r="R5" s="156" t="s">
        <v>466</v>
      </c>
      <c r="AD5" s="143">
        <v>120</v>
      </c>
      <c r="AH5" s="148" t="s">
        <v>460</v>
      </c>
      <c r="AI5" s="151" t="s">
        <v>463</v>
      </c>
      <c r="AK5" s="148" t="s">
        <v>460</v>
      </c>
      <c r="AL5" s="151" t="s">
        <v>463</v>
      </c>
      <c r="AQ5" s="141" t="s">
        <v>52</v>
      </c>
    </row>
    <row r="6" spans="2:45" ht="6" customHeight="1" thickBot="1" x14ac:dyDescent="0.25">
      <c r="K6" s="156"/>
      <c r="R6" s="158"/>
    </row>
    <row r="7" spans="2:45" ht="15.75" thickBot="1" x14ac:dyDescent="0.25">
      <c r="B7" s="246" t="str">
        <f>AUX!G3</f>
        <v>ENERO</v>
      </c>
      <c r="C7" s="88">
        <f>+'ENE 26'!AM9</f>
        <v>302</v>
      </c>
      <c r="D7" s="87"/>
      <c r="E7" s="89">
        <f>+'ENE 26'!AO9</f>
        <v>10926096.256684493</v>
      </c>
      <c r="G7" s="137" t="s">
        <v>451</v>
      </c>
      <c r="H7" s="88">
        <f>+SUMIF('ENE 26'!$AP:$AP,G7,'ENE 26'!$AM:$AM)+SUMIF('FEB 26'!$AP:$AP,G7,'FEB 26'!$AM:$AM)+SUMIF('MAR 26'!$AP:$AP,G7,'MAR 26'!$AM:$AM)+SUMIF('ABR 26'!$AP:$AP,G7,'ABR 26'!$AM:$AM)+SUMIF('MAY 26'!$AP:$AP,G7,'MAY 26'!$AM:$AM)+SUMIF('JUN 26'!$AP:$AP,G7,'JUN 26'!$AM:$AM)</f>
        <v>718</v>
      </c>
      <c r="I7" s="166">
        <f>+IFERROR(H7/$H$14,"-")</f>
        <v>0.32313231323132313</v>
      </c>
      <c r="J7" s="154">
        <f t="shared" ref="J7:J13" si="0">+IFERROR(IF($E$19=60,VLOOKUP(G7,$AK$7:$AM$14,3,0),IF($E$19=120,VLOOKUP(G7,$AH$7:$AJ$15,3,0),0)),0)</f>
        <v>0</v>
      </c>
      <c r="K7" s="157">
        <f>+IFERROR((I7-J7)*100,"-")</f>
        <v>32.313231323132314</v>
      </c>
      <c r="M7" s="129" t="s">
        <v>456</v>
      </c>
      <c r="N7" s="88">
        <f>+SUMIF('ENE 26'!$A:$A,M7,'ENE 26'!$AM:$AM)+SUMIF('FEB 26'!$A:$A,M7,'FEB 26'!$AM:$AM)+SUMIF('MAR 26'!$A:$A,M7,'MAR 26'!$AM:$AM)+SUMIF('ABR 26'!$A:$A,M7,'ABR 26'!$AM:$AM)+SUMIF('MAY 26'!$A:$A,M7,'MAY 26'!$AM:$AM)+SUMIF('JUN 26'!$A:$A,M7,'JUN 26'!$AM:$AM)</f>
        <v>730</v>
      </c>
      <c r="O7" s="166">
        <f>+IFERROR(N7/$N$12,"-")</f>
        <v>0.32853285328532855</v>
      </c>
      <c r="P7" s="139" t="s">
        <v>501</v>
      </c>
      <c r="Q7" s="154">
        <f>+IFERROR(IF($E$19=60,VLOOKUP(M7,$AK$22:$AM$26,3,0),IF($E$19=120,VLOOKUP(M7,$AH$22:$AJ$26,3,0),0)),0)</f>
        <v>0</v>
      </c>
      <c r="R7" s="157">
        <f>+IFERROR((O7-Q7)*100,"-")</f>
        <v>32.853285328532856</v>
      </c>
      <c r="AC7" s="138"/>
      <c r="AD7" s="145">
        <v>0.5</v>
      </c>
      <c r="AE7" s="140" t="str">
        <f>+CONCATENATE("Menor que ",AD7," = ROJO")</f>
        <v>Menor que 0,5 = ROJO</v>
      </c>
      <c r="AH7" s="147" t="s">
        <v>451</v>
      </c>
      <c r="AI7" s="151" t="e">
        <f>+COUNTIF(#REF!,AH7)</f>
        <v>#REF!</v>
      </c>
      <c r="AJ7" s="153" t="e">
        <f t="shared" ref="AJ7:AJ14" si="1">+AI7/$AI$14</f>
        <v>#REF!</v>
      </c>
      <c r="AK7" s="147" t="s">
        <v>451</v>
      </c>
      <c r="AL7" s="151" t="e">
        <f>+COUNTIF(#REF!,AK7)</f>
        <v>#REF!</v>
      </c>
      <c r="AM7" s="153" t="e">
        <f t="shared" ref="AM7:AM14" si="2">+AL7/$AL$14</f>
        <v>#REF!</v>
      </c>
      <c r="AN7" t="s">
        <v>527</v>
      </c>
      <c r="AO7" s="137" t="s">
        <v>451</v>
      </c>
      <c r="AQ7" s="137" t="s">
        <v>451</v>
      </c>
      <c r="AR7" s="88">
        <v>250</v>
      </c>
      <c r="AS7" s="166">
        <f>+IFERROR(AR7/$AR$11,"-")</f>
        <v>0.25</v>
      </c>
    </row>
    <row r="8" spans="2:45" ht="15.75" thickBot="1" x14ac:dyDescent="0.25">
      <c r="B8" s="247" t="str">
        <f>AUX!G4</f>
        <v>FEBRERO</v>
      </c>
      <c r="C8" s="88">
        <f>+'FEB 26'!AM9</f>
        <v>264</v>
      </c>
      <c r="D8" s="87"/>
      <c r="E8" s="89">
        <f>+'FEB 26'!AO9</f>
        <v>9563422.4598930478</v>
      </c>
      <c r="G8" s="130" t="s">
        <v>445</v>
      </c>
      <c r="H8" s="88">
        <f>+SUMIF('ENE 26'!$AP:$AP,G8,'ENE 26'!$AM:$AM)+SUMIF('FEB 26'!$AP:$AP,G8,'FEB 26'!$AM:$AM)+SUMIF('MAR 26'!$AP:$AP,G8,'MAR 26'!$AM:$AM)+SUMIF('ABR 26'!$AP:$AP,G8,'ABR 26'!$AM:$AM)+SUMIF('MAY 26'!$AP:$AP,G8,'MAY 26'!$AM:$AM)+SUMIF('JUN 26'!$AP:$AP,G8,'JUN 26'!$AM:$AM)</f>
        <v>576</v>
      </c>
      <c r="I8" s="166">
        <f t="shared" ref="I8:I13" si="3">+IFERROR(H8/$H$14,"-")</f>
        <v>0.25922592259225924</v>
      </c>
      <c r="J8" s="154">
        <f t="shared" si="0"/>
        <v>0</v>
      </c>
      <c r="K8" s="157">
        <f t="shared" ref="K8:K13" si="4">+IFERROR((I8-J8)*100,"-")</f>
        <v>25.922592259225922</v>
      </c>
      <c r="M8" s="130" t="s">
        <v>457</v>
      </c>
      <c r="N8" s="88">
        <f>+SUMIF('ENE 26'!$A:$A,M8,'ENE 26'!$AM:$AM)+SUMIF('FEB 26'!$A:$A,M8,'FEB 26'!$AM:$AM)+SUMIF('MAR 26'!$A:$A,M8,'MAR 26'!$AM:$AM)+SUMIF('ABR 26'!$A:$A,M8,'ABR 26'!$AM:$AM)+SUMIF('MAY 26'!$A:$A,M8,'MAY 26'!$AM:$AM)+SUMIF('JUN 26'!$A:$A,M8,'JUN 26'!$AM:$AM)</f>
        <v>482</v>
      </c>
      <c r="O8" s="166">
        <f t="shared" ref="O8:O11" si="5">+IFERROR(N8/$N$12,"-")</f>
        <v>0.21692169216921692</v>
      </c>
      <c r="P8" s="139" t="s">
        <v>500</v>
      </c>
      <c r="Q8" s="154">
        <f>+IFERROR(IF($E$19=60,VLOOKUP(M8,$AK$22:$AM$26,3,0),IF($E$19=120,VLOOKUP(M8,$AH$22:$AJ$26,3,0),0)),0)</f>
        <v>0</v>
      </c>
      <c r="R8" s="157">
        <f t="shared" ref="R8:R11" si="6">+IFERROR((O8-Q8)*100,"-")</f>
        <v>21.692169216921691</v>
      </c>
      <c r="AD8" s="144">
        <v>0.75</v>
      </c>
      <c r="AE8" s="140" t="str">
        <f>+CONCATENATE("Entre ",AD7," y ",AD8," = AMARILLO")</f>
        <v>Entre 0,5 y 0,75 = AMARILLO</v>
      </c>
      <c r="AH8" s="149" t="s">
        <v>445</v>
      </c>
      <c r="AI8" s="151" t="e">
        <f>+COUNTIF(#REF!,AH8)</f>
        <v>#REF!</v>
      </c>
      <c r="AJ8" s="153" t="e">
        <f t="shared" si="1"/>
        <v>#REF!</v>
      </c>
      <c r="AK8" s="149" t="s">
        <v>445</v>
      </c>
      <c r="AL8" s="151" t="e">
        <f>+COUNTIF(#REF!,AK8)</f>
        <v>#REF!</v>
      </c>
      <c r="AM8" s="153" t="e">
        <f t="shared" si="2"/>
        <v>#REF!</v>
      </c>
      <c r="AN8" t="s">
        <v>528</v>
      </c>
      <c r="AO8" s="137" t="s">
        <v>451</v>
      </c>
      <c r="AQ8" s="130" t="s">
        <v>673</v>
      </c>
      <c r="AR8" s="88">
        <v>250</v>
      </c>
      <c r="AS8" s="166">
        <f t="shared" ref="AS8:AS9" si="7">+IFERROR(AR8/$AR$11,"-")</f>
        <v>0.25</v>
      </c>
    </row>
    <row r="9" spans="2:45" ht="15.75" thickBot="1" x14ac:dyDescent="0.25">
      <c r="B9" s="248" t="str">
        <f>AUX!G5</f>
        <v>MARZO</v>
      </c>
      <c r="C9" s="88">
        <f>+'MAR 26'!AM9</f>
        <v>396</v>
      </c>
      <c r="D9" s="87"/>
      <c r="E9" s="89">
        <f>+'MAR 26'!AO9</f>
        <v>15972406.4171123</v>
      </c>
      <c r="G9" s="129" t="s">
        <v>444</v>
      </c>
      <c r="H9" s="88">
        <f>+SUMIF('ENE 26'!$AP:$AP,G9,'ENE 26'!$AM:$AM)+SUMIF('FEB 26'!$AP:$AP,G9,'FEB 26'!$AM:$AM)+SUMIF('MAR 26'!$AP:$AP,G9,'MAR 26'!$AM:$AM)+SUMIF('ABR 26'!$AP:$AP,G9,'ABR 26'!$AM:$AM)+SUMIF('MAY 26'!$AP:$AP,G9,'MAY 26'!$AM:$AM)+SUMIF('JUN 26'!$AP:$AP,G9,'JUN 26'!$AM:$AM)</f>
        <v>0</v>
      </c>
      <c r="I9" s="166">
        <f t="shared" si="3"/>
        <v>0</v>
      </c>
      <c r="J9" s="154">
        <f t="shared" si="0"/>
        <v>0</v>
      </c>
      <c r="K9" s="157">
        <f t="shared" si="4"/>
        <v>0</v>
      </c>
      <c r="M9" s="131" t="s">
        <v>458</v>
      </c>
      <c r="N9" s="88">
        <f>+SUMIF('ENE 26'!$A:$A,M9,'ENE 26'!$AM:$AM)+SUMIF('FEB 26'!$A:$A,M9,'FEB 26'!$AM:$AM)+SUMIF('MAR 26'!$A:$A,M9,'MAR 26'!$AM:$AM)+SUMIF('ABR 26'!$A:$A,M9,'ABR 26'!$AM:$AM)+SUMIF('MAY 26'!$A:$A,M9,'MAY 26'!$AM:$AM)+SUMIF('JUN 26'!$A:$A,M9,'JUN 26'!$AM:$AM)</f>
        <v>470</v>
      </c>
      <c r="O9" s="166">
        <f t="shared" si="5"/>
        <v>0.21152115211521152</v>
      </c>
      <c r="P9" s="139" t="s">
        <v>499</v>
      </c>
      <c r="Q9" s="154">
        <f>+IFERROR(IF($E$19=60,VLOOKUP(M9,$AK$22:$AM$26,3,0),IF($E$19=120,VLOOKUP(M9,$AH$22:$AJ$26,3,0),0)),0)</f>
        <v>0</v>
      </c>
      <c r="R9" s="157">
        <f t="shared" si="6"/>
        <v>21.152115211521153</v>
      </c>
      <c r="AD9" s="146">
        <v>1</v>
      </c>
      <c r="AE9" s="140" t="str">
        <f>+CONCATENATE("Mayor que ",AD8," = VERDE")</f>
        <v>Mayor que 0,75 = VERDE</v>
      </c>
      <c r="AH9" s="149" t="s">
        <v>444</v>
      </c>
      <c r="AI9" s="151" t="e">
        <f>+COUNTIF(#REF!,AH9)</f>
        <v>#REF!</v>
      </c>
      <c r="AJ9" s="153" t="e">
        <f t="shared" si="1"/>
        <v>#REF!</v>
      </c>
      <c r="AK9" s="149" t="s">
        <v>444</v>
      </c>
      <c r="AL9" s="151" t="e">
        <f>+COUNTIF(#REF!,AK9)</f>
        <v>#REF!</v>
      </c>
      <c r="AM9" s="153" t="e">
        <f t="shared" si="2"/>
        <v>#REF!</v>
      </c>
      <c r="AN9" t="s">
        <v>529</v>
      </c>
      <c r="AO9" s="137" t="s">
        <v>451</v>
      </c>
      <c r="AQ9" s="131" t="s">
        <v>674</v>
      </c>
      <c r="AR9" s="88">
        <v>250</v>
      </c>
      <c r="AS9" s="166">
        <f t="shared" si="7"/>
        <v>0.25</v>
      </c>
    </row>
    <row r="10" spans="2:45" ht="15.75" thickBot="1" x14ac:dyDescent="0.25">
      <c r="B10" s="249" t="str">
        <f>AUX!G6</f>
        <v>ABRIL</v>
      </c>
      <c r="C10" s="88">
        <f>+'ABR 26'!AM9</f>
        <v>416</v>
      </c>
      <c r="D10" s="87"/>
      <c r="E10" s="89">
        <f>+'ABR 26'!AO9</f>
        <v>14869304.812834224</v>
      </c>
      <c r="G10" s="131" t="s">
        <v>447</v>
      </c>
      <c r="H10" s="88">
        <f>+SUMIF('ENE 26'!$AP:$AP,G10,'ENE 26'!$AM:$AM)+SUMIF('FEB 26'!$AP:$AP,G10,'FEB 26'!$AM:$AM)+SUMIF('MAR 26'!$AP:$AP,G10,'MAR 26'!$AM:$AM)+SUMIF('ABR 26'!$AP:$AP,G10,'ABR 26'!$AM:$AM)+SUMIF('MAY 26'!$AP:$AP,G10,'MAY 26'!$AM:$AM)+SUMIF('JUN 26'!$AP:$AP,G10,'JUN 26'!$AM:$AM)</f>
        <v>422</v>
      </c>
      <c r="I10" s="166">
        <f t="shared" si="3"/>
        <v>0.18991899189918993</v>
      </c>
      <c r="J10" s="154">
        <f t="shared" si="0"/>
        <v>0</v>
      </c>
      <c r="K10" s="157">
        <f t="shared" si="4"/>
        <v>18.991899189918993</v>
      </c>
      <c r="M10" s="102" t="s">
        <v>453</v>
      </c>
      <c r="N10" s="88">
        <f>+SUMIF('ENE 26'!$A:$A,M10,'ENE 26'!$AM:$AM)+SUMIF('FEB 26'!$A:$A,M10,'FEB 26'!$AM:$AM)+SUMIF('MAR 26'!$A:$A,M10,'MAR 26'!$AM:$AM)+SUMIF('ABR 26'!$A:$A,M10,'ABR 26'!$AM:$AM)+SUMIF('MAY 26'!$A:$A,M10,'MAY 26'!$AM:$AM)+SUMIF('JUN 26'!$A:$A,M10,'JUN 26'!$AM:$AM)</f>
        <v>540</v>
      </c>
      <c r="O10" s="166">
        <f t="shared" si="5"/>
        <v>0.24302430243024303</v>
      </c>
      <c r="P10" s="139" t="s">
        <v>502</v>
      </c>
      <c r="Q10" s="154">
        <f>+IFERROR(IF($E$19=60,VLOOKUP(M10,$AK$22:$AM$26,3,0),IF($E$19=120,VLOOKUP(M10,$AH$22:$AJ$26,3,0),0)),0)</f>
        <v>0</v>
      </c>
      <c r="R10" s="157">
        <f t="shared" si="6"/>
        <v>24.302430243024304</v>
      </c>
      <c r="AH10" s="149" t="s">
        <v>447</v>
      </c>
      <c r="AI10" s="151" t="e">
        <f>+COUNTIF(#REF!,AH10)</f>
        <v>#REF!</v>
      </c>
      <c r="AJ10" s="153" t="e">
        <f t="shared" si="1"/>
        <v>#REF!</v>
      </c>
      <c r="AK10" s="149" t="s">
        <v>447</v>
      </c>
      <c r="AL10" s="151" t="e">
        <f>+COUNTIF(#REF!,AK10)</f>
        <v>#REF!</v>
      </c>
      <c r="AM10" s="153" t="e">
        <f t="shared" si="2"/>
        <v>#REF!</v>
      </c>
      <c r="AN10" t="s">
        <v>530</v>
      </c>
      <c r="AO10" s="137" t="s">
        <v>451</v>
      </c>
      <c r="AQ10" s="102" t="s">
        <v>453</v>
      </c>
      <c r="AR10" s="88">
        <v>250</v>
      </c>
      <c r="AS10" s="166">
        <f>+IFERROR(AR10/$AR$11,"-")</f>
        <v>0.25</v>
      </c>
    </row>
    <row r="11" spans="2:45" ht="15.75" thickBot="1" x14ac:dyDescent="0.25">
      <c r="B11" s="250" t="str">
        <f>AUX!G7</f>
        <v>MAYO</v>
      </c>
      <c r="C11" s="88">
        <f>+'MAY 26'!AM9</f>
        <v>392</v>
      </c>
      <c r="D11" s="87"/>
      <c r="E11" s="89">
        <f>+'MAY 26'!AO9</f>
        <v>15989518.716577537</v>
      </c>
      <c r="G11" s="102" t="s">
        <v>448</v>
      </c>
      <c r="H11" s="88">
        <f>+SUMIF('ENE 26'!$AP:$AP,G11,'ENE 26'!$AM:$AM)+SUMIF('FEB 26'!$AP:$AP,G11,'FEB 26'!$AM:$AM)+SUMIF('MAR 26'!$AP:$AP,G11,'MAR 26'!$AM:$AM)+SUMIF('ABR 26'!$AP:$AP,G11,'ABR 26'!$AM:$AM)+SUMIF('MAY 26'!$AP:$AP,G11,'MAY 26'!$AM:$AM)+SUMIF('JUN 26'!$AP:$AP,G11,'JUN 26'!$AM:$AM)</f>
        <v>92</v>
      </c>
      <c r="I11" s="166">
        <f t="shared" si="3"/>
        <v>4.1404140414041404E-2</v>
      </c>
      <c r="J11" s="154">
        <f t="shared" si="0"/>
        <v>0</v>
      </c>
      <c r="K11" s="157">
        <f t="shared" si="4"/>
        <v>4.1404140414041404</v>
      </c>
      <c r="M11" s="132" t="s">
        <v>454</v>
      </c>
      <c r="N11" s="88">
        <f>+SUMIF('ENE 26'!$A:$A,M11,'ENE 26'!$AM:$AM)+SUMIF('FEB 26'!$A:$A,M11,'FEB 26'!$AM:$AM)+SUMIF('MAR 26'!$A:$A,M11,'MAR 26'!$AM:$AM)+SUMIF('ABR 26'!$A:$A,M11,'ABR 26'!$AM:$AM)+SUMIF('MAY 26'!$A:$A,M11,'MAY 26'!$AM:$AM)+SUMIF('JUN 26'!$A:$A,M11,'JUN 26'!$AM:$AM)</f>
        <v>0</v>
      </c>
      <c r="O11" s="166">
        <f t="shared" si="5"/>
        <v>0</v>
      </c>
      <c r="P11" s="139" t="s">
        <v>525</v>
      </c>
      <c r="Q11" s="154">
        <f>+IFERROR(IF($E$19=60,VLOOKUP(M11,$AK$22:$AM$26,3,0),IF($E$19=120,VLOOKUP(M11,$AH$22:$AJ$26,3,0),0)),0)</f>
        <v>0</v>
      </c>
      <c r="R11" s="157">
        <f t="shared" si="6"/>
        <v>0</v>
      </c>
      <c r="AH11" s="149" t="s">
        <v>448</v>
      </c>
      <c r="AI11" s="151" t="e">
        <f>+COUNTIF(#REF!,AH11)</f>
        <v>#REF!</v>
      </c>
      <c r="AJ11" s="153" t="e">
        <f t="shared" si="1"/>
        <v>#REF!</v>
      </c>
      <c r="AK11" s="149" t="s">
        <v>448</v>
      </c>
      <c r="AL11" s="151" t="e">
        <f>+COUNTIF(#REF!,AK11)</f>
        <v>#REF!</v>
      </c>
      <c r="AM11" s="153" t="e">
        <f t="shared" si="2"/>
        <v>#REF!</v>
      </c>
      <c r="AN11" t="s">
        <v>531</v>
      </c>
      <c r="AO11" s="137" t="s">
        <v>451</v>
      </c>
      <c r="AQ11" s="91" t="s">
        <v>38</v>
      </c>
      <c r="AR11" s="93">
        <f>+SUM(AR7:AR10)</f>
        <v>1000</v>
      </c>
      <c r="AS11" s="136">
        <f>+SUM(AS7:AS10)</f>
        <v>1</v>
      </c>
    </row>
    <row r="12" spans="2:45" ht="15.75" thickBot="1" x14ac:dyDescent="0.25">
      <c r="B12" s="251" t="str">
        <f>AUX!G8</f>
        <v>JUNIO</v>
      </c>
      <c r="C12" s="88">
        <f>+'JUN 26'!AM9</f>
        <v>452</v>
      </c>
      <c r="D12" s="87"/>
      <c r="E12" s="89">
        <f>+'JUN 26'!AO9</f>
        <v>18638930.481283423</v>
      </c>
      <c r="G12" s="133" t="s">
        <v>450</v>
      </c>
      <c r="H12" s="88">
        <f>+SUMIF('ENE 26'!$AP:$AP,G12,'ENE 26'!$AM:$AM)+SUMIF('FEB 26'!$AP:$AP,G12,'FEB 26'!$AM:$AM)+SUMIF('MAR 26'!$AP:$AP,G12,'MAR 26'!$AM:$AM)+SUMIF('ABR 26'!$AP:$AP,G12,'ABR 26'!$AM:$AM)+SUMIF('MAY 26'!$AP:$AP,G12,'MAY 26'!$AM:$AM)+SUMIF('JUN 26'!$AP:$AP,G12,'JUN 26'!$AM:$AM)</f>
        <v>398</v>
      </c>
      <c r="I12" s="166">
        <f t="shared" si="3"/>
        <v>0.17911791179117911</v>
      </c>
      <c r="J12" s="154">
        <f t="shared" si="0"/>
        <v>0</v>
      </c>
      <c r="K12" s="157">
        <f t="shared" si="4"/>
        <v>17.911791179117913</v>
      </c>
      <c r="M12" s="91" t="s">
        <v>38</v>
      </c>
      <c r="N12" s="93">
        <f>+SUM(N7:N11)</f>
        <v>2222</v>
      </c>
      <c r="O12" s="136">
        <f>+SUM(O7:O11)</f>
        <v>1</v>
      </c>
      <c r="R12" s="158"/>
      <c r="AH12" s="149" t="s">
        <v>450</v>
      </c>
      <c r="AI12" s="151" t="e">
        <f>+COUNTIF(#REF!,AH12)</f>
        <v>#REF!</v>
      </c>
      <c r="AJ12" s="153" t="e">
        <f t="shared" si="1"/>
        <v>#REF!</v>
      </c>
      <c r="AK12" s="149" t="s">
        <v>450</v>
      </c>
      <c r="AL12" s="151" t="e">
        <f>+COUNTIF(#REF!,AK12)</f>
        <v>#REF!</v>
      </c>
      <c r="AM12" s="153" t="e">
        <f t="shared" si="2"/>
        <v>#REF!</v>
      </c>
      <c r="AN12" t="s">
        <v>532</v>
      </c>
      <c r="AO12" s="137" t="s">
        <v>451</v>
      </c>
    </row>
    <row r="13" spans="2:45" ht="13.5" thickBot="1" x14ac:dyDescent="0.25">
      <c r="B13" s="91" t="s">
        <v>38</v>
      </c>
      <c r="C13" s="93">
        <f>+SUM(C7:C12)</f>
        <v>2222</v>
      </c>
      <c r="D13" s="92"/>
      <c r="E13" s="94">
        <f>+SUM(E7:E12)</f>
        <v>85959679.14438504</v>
      </c>
      <c r="G13" s="132" t="s">
        <v>515</v>
      </c>
      <c r="H13" s="88">
        <f>+SUMIF('ENE 26'!$AP:$AP,G13,'ENE 26'!$AM:$AM)+SUMIF('FEB 26'!$AP:$AP,G13,'FEB 26'!$AM:$AM)+SUMIF('MAR 26'!$AP:$AP,G13,'MAR 26'!$AM:$AM)+SUMIF('ABR 26'!$AP:$AP,G13,'ABR 26'!$AM:$AM)+SUMIF('MAY 26'!$AP:$AP,G13,'MAY 26'!$AM:$AM)+SUMIF('JUN 26'!$AP:$AP,G13,'JUN 26'!$AM:$AM)</f>
        <v>16</v>
      </c>
      <c r="I13" s="166">
        <f t="shared" si="3"/>
        <v>7.2007200720072004E-3</v>
      </c>
      <c r="J13" s="154">
        <f t="shared" si="0"/>
        <v>0</v>
      </c>
      <c r="K13" s="157">
        <f t="shared" si="4"/>
        <v>0.72007200720072007</v>
      </c>
      <c r="R13" s="158"/>
      <c r="AH13" s="149" t="s">
        <v>515</v>
      </c>
      <c r="AI13" s="151" t="e">
        <f>+COUNTIF(#REF!,AH13)</f>
        <v>#REF!</v>
      </c>
      <c r="AJ13" s="153" t="e">
        <f t="shared" si="1"/>
        <v>#REF!</v>
      </c>
      <c r="AK13" s="149" t="s">
        <v>515</v>
      </c>
      <c r="AL13" s="151" t="e">
        <f>+COUNTIF(#REF!,AK13)</f>
        <v>#REF!</v>
      </c>
      <c r="AM13" s="153" t="e">
        <f t="shared" si="2"/>
        <v>#REF!</v>
      </c>
      <c r="AN13" t="s">
        <v>534</v>
      </c>
      <c r="AO13" s="130" t="s">
        <v>445</v>
      </c>
    </row>
    <row r="14" spans="2:45" ht="13.5" thickBot="1" x14ac:dyDescent="0.25">
      <c r="G14" s="91" t="s">
        <v>38</v>
      </c>
      <c r="H14" s="93">
        <f>+SUM(H7:H13)</f>
        <v>2222</v>
      </c>
      <c r="I14" s="136">
        <f>+SUM(I7:I13)</f>
        <v>1</v>
      </c>
      <c r="K14"/>
      <c r="R14" s="158"/>
      <c r="AD14" s="143">
        <v>-2</v>
      </c>
      <c r="AH14" s="150" t="s">
        <v>462</v>
      </c>
      <c r="AI14" s="152" t="e">
        <f>+SUM(AI7:AI13)</f>
        <v>#REF!</v>
      </c>
      <c r="AJ14" s="153" t="e">
        <f t="shared" si="1"/>
        <v>#REF!</v>
      </c>
      <c r="AK14" s="150" t="s">
        <v>462</v>
      </c>
      <c r="AL14" s="152" t="e">
        <f>+SUM(AL6:AL13)</f>
        <v>#REF!</v>
      </c>
      <c r="AM14" s="153" t="e">
        <f t="shared" si="2"/>
        <v>#REF!</v>
      </c>
      <c r="AN14" t="s">
        <v>535</v>
      </c>
      <c r="AO14" s="131" t="s">
        <v>447</v>
      </c>
    </row>
    <row r="15" spans="2:45" ht="13.5" thickBot="1" x14ac:dyDescent="0.25">
      <c r="K15"/>
      <c r="R15" s="158"/>
      <c r="AD15" s="143">
        <v>2</v>
      </c>
      <c r="AJ15" s="153"/>
      <c r="AN15" t="s">
        <v>537</v>
      </c>
      <c r="AO15" s="129" t="s">
        <v>444</v>
      </c>
    </row>
    <row r="16" spans="2:45" ht="13.5" thickBot="1" x14ac:dyDescent="0.25">
      <c r="K16" s="156"/>
      <c r="R16" s="158"/>
      <c r="AM16" s="153"/>
      <c r="AN16" t="s">
        <v>538</v>
      </c>
      <c r="AO16" s="129" t="s">
        <v>444</v>
      </c>
    </row>
    <row r="17" spans="2:46" ht="6.75" customHeight="1" thickBot="1" x14ac:dyDescent="0.25">
      <c r="K17" s="156"/>
      <c r="R17" s="158"/>
      <c r="AN17" t="s">
        <v>540</v>
      </c>
      <c r="AO17" s="102" t="s">
        <v>448</v>
      </c>
    </row>
    <row r="18" spans="2:46" ht="13.5" thickBot="1" x14ac:dyDescent="0.25">
      <c r="B18" s="235"/>
      <c r="G18" s="90" t="s">
        <v>442</v>
      </c>
      <c r="J18" s="142" t="s">
        <v>465</v>
      </c>
      <c r="K18" s="155" t="s">
        <v>467</v>
      </c>
      <c r="M18" s="90" t="s">
        <v>437</v>
      </c>
      <c r="Q18" s="142" t="s">
        <v>465</v>
      </c>
      <c r="R18" s="155" t="s">
        <v>467</v>
      </c>
      <c r="AN18" t="s">
        <v>449</v>
      </c>
      <c r="AO18" s="102" t="s">
        <v>448</v>
      </c>
      <c r="AQ18" s="90" t="s">
        <v>675</v>
      </c>
      <c r="AT18" s="241" t="s">
        <v>724</v>
      </c>
    </row>
    <row r="19" spans="2:46" ht="13.5" thickBot="1" x14ac:dyDescent="0.25">
      <c r="B19" s="236"/>
      <c r="G19" s="141" t="s">
        <v>517</v>
      </c>
      <c r="J19" s="142" t="s">
        <v>464</v>
      </c>
      <c r="K19" s="156" t="s">
        <v>466</v>
      </c>
      <c r="M19" s="141" t="s">
        <v>517</v>
      </c>
      <c r="Q19" s="142" t="s">
        <v>464</v>
      </c>
      <c r="R19" s="156" t="s">
        <v>466</v>
      </c>
      <c r="AN19" t="s">
        <v>541</v>
      </c>
      <c r="AO19" s="133" t="s">
        <v>450</v>
      </c>
      <c r="AQ19" s="141" t="s">
        <v>517</v>
      </c>
      <c r="AT19" s="242" t="s">
        <v>517</v>
      </c>
    </row>
    <row r="20" spans="2:46" ht="6" customHeight="1" thickBot="1" x14ac:dyDescent="0.25">
      <c r="K20" s="156"/>
      <c r="R20" s="158"/>
      <c r="AN20" t="s">
        <v>542</v>
      </c>
      <c r="AO20" s="132" t="s">
        <v>515</v>
      </c>
    </row>
    <row r="21" spans="2:46" ht="13.5" thickBot="1" x14ac:dyDescent="0.25">
      <c r="B21" s="304"/>
      <c r="C21" s="304"/>
      <c r="D21" s="237"/>
      <c r="E21" s="238"/>
      <c r="G21" s="137" t="s">
        <v>451</v>
      </c>
      <c r="H21" s="88">
        <f>+COUNTIFS('ENE 26'!$AP:$AP,G21,'ENE 26'!$AM:$AM,"&gt;0")+COUNTIFS('FEB 26'!$AP:$AP,G21,'FEB 26'!$AM:$AM,"&gt;0")+COUNTIFS('MAR 26'!$AP:$AP,G21,'MAR 26'!$AM:$AM,"&gt;0")+COUNTIFS('ABR 26'!$AP:$AP,G21,'ABR 26'!$AM:$AM,"&gt;0")+COUNTIFS('MAY 26'!$AP:$AP,G21,'MAY 26'!$AM:$AM,"&gt;0")+COUNTIFS('JUN 26'!$AP:$AP,G21,'JUN 26'!$AM:$AM,"&gt;0")</f>
        <v>26</v>
      </c>
      <c r="I21" s="166">
        <f>+IFERROR(H21/$H$28,"-")</f>
        <v>0.27956989247311825</v>
      </c>
      <c r="J21" s="154">
        <f t="shared" ref="J21:J27" si="8">+IFERROR(IF($E$19=60,VLOOKUP(G21,$AK$7:$AM$14,3,0),IF($E$19=120,VLOOKUP(G21,$AH$7:$AJ$15,3,0),0)),0)</f>
        <v>0</v>
      </c>
      <c r="K21" s="157">
        <f>+IFERROR((I21-J21)*100,"-")</f>
        <v>27.956989247311824</v>
      </c>
      <c r="M21" s="129" t="s">
        <v>456</v>
      </c>
      <c r="N21" s="88">
        <f>+COUNTIFS('ENE 26'!$A:$A,M21,'ENE 26'!$AM:$AM,"&gt;0")+COUNTIFS('FEB 26'!$A:$A,M21,'FEB 26'!$AM:$AM,"&gt;0")+COUNTIFS('MAR 26'!$A:$A,M21,'MAR 26'!$AM:$AM,"&gt;0")+COUNTIFS('ABR 26'!$A:$A,M21,'ABR 26'!$AM:$AM,"&gt;0")+COUNTIFS('MAY 26'!$A:$A,M21,'MAY 26'!$AM:$AM,"&gt;0")+COUNTIFS('JUN 26'!$A:$A,M21,'JUN 26'!$AM:$AM,"&gt;0")</f>
        <v>32</v>
      </c>
      <c r="O21" s="166">
        <f>+IFERROR(N21/$N$26,"-")</f>
        <v>0.34408602150537637</v>
      </c>
      <c r="P21" s="139" t="s">
        <v>501</v>
      </c>
      <c r="Q21" s="154">
        <f>+IFERROR(IF($E$19=60,VLOOKUP(M21,$AK$22:$AM$26,3,0),IF($E$19=120,VLOOKUP(M21,$AH$22:$AJ$26,3,0),0)),0)</f>
        <v>0</v>
      </c>
      <c r="R21" s="157">
        <f t="shared" ref="R21:R25" si="9">+IFERROR((O21-Q21)*100,"-")</f>
        <v>34.408602150537639</v>
      </c>
      <c r="U21" s="159" t="s">
        <v>582</v>
      </c>
      <c r="V21" s="177">
        <f>SUM(AD25:AD32)</f>
        <v>0</v>
      </c>
      <c r="W21" s="177"/>
      <c r="X21" s="177"/>
      <c r="Y21" s="177"/>
      <c r="Z21" s="177"/>
      <c r="AA21" s="177"/>
      <c r="AB21" s="177"/>
      <c r="AC21" s="177"/>
      <c r="AD21" s="177"/>
      <c r="AH21" s="148" t="s">
        <v>461</v>
      </c>
      <c r="AI21" s="151" t="s">
        <v>463</v>
      </c>
      <c r="AK21" s="148" t="s">
        <v>461</v>
      </c>
      <c r="AL21" s="151" t="s">
        <v>463</v>
      </c>
      <c r="AN21" t="s">
        <v>533</v>
      </c>
      <c r="AO21" s="130" t="s">
        <v>445</v>
      </c>
      <c r="AQ21" s="137" t="s">
        <v>451</v>
      </c>
      <c r="AR21" s="88">
        <f>+COUNTIFS('ENE 26'!$AQ:$AQ,AQ21,'ENE 26'!$AM:$AM,"&gt;0")+COUNTIFS('FEB 26'!$AQ:$AQ,AQ21,'FEB 26'!$AM:$AM,"&gt;0")+COUNTIFS('MAR 26'!$AQ:$AQ,AQ21,'MAR 26'!$AM:$AM,"&gt;0")+COUNTIFS('ABR 26'!$AQ:$AQ,AQ21,'ABR 26'!$AM:$AM,"&gt;0")+COUNTIFS('MAY 26'!$AQ:$AQ,AQ21,'MAY 26'!$AM:$AM,"&gt;0")+COUNTIFS('JUN 26'!$AQ:$AQ,AQ21,'JUN 26'!$AM:$AM,"&gt;0")</f>
        <v>21</v>
      </c>
      <c r="AS21" s="166">
        <f t="shared" ref="AS21:AS22" si="10">+IFERROR(AR21/$AR$25,"-")</f>
        <v>0.22580645161290322</v>
      </c>
      <c r="AT21" s="240">
        <f>COUNTIFS($C$33:$C$59,AQ21,$F$33:$F$59,"&gt;0")</f>
        <v>1</v>
      </c>
    </row>
    <row r="22" spans="2:46" ht="13.5" thickBot="1" x14ac:dyDescent="0.25">
      <c r="B22" s="304"/>
      <c r="C22" s="304"/>
      <c r="D22" s="237"/>
      <c r="E22" s="238"/>
      <c r="G22" s="130" t="s">
        <v>445</v>
      </c>
      <c r="H22" s="88">
        <f>+COUNTIFS('ENE 26'!$AP:$AP,G22,'ENE 26'!$AM:$AM,"&gt;0")+COUNTIFS('FEB 26'!$AP:$AP,G22,'FEB 26'!$AM:$AM,"&gt;0")+COUNTIFS('MAR 26'!$AP:$AP,G22,'MAR 26'!$AM:$AM,"&gt;0")+COUNTIFS('ABR 26'!$AP:$AP,G22,'ABR 26'!$AM:$AM,"&gt;0")+COUNTIFS('MAY 26'!$AP:$AP,G22,'MAY 26'!$AM:$AM,"&gt;0")+COUNTIFS('JUN 26'!$AP:$AP,G22,'JUN 26'!$AM:$AM,"&gt;0")</f>
        <v>26</v>
      </c>
      <c r="I22" s="166">
        <f t="shared" ref="I22:I27" si="11">+IFERROR(H22/$H$28,"-")</f>
        <v>0.27956989247311825</v>
      </c>
      <c r="J22" s="154">
        <f t="shared" si="8"/>
        <v>0</v>
      </c>
      <c r="K22" s="157">
        <f t="shared" ref="K22:K27" si="12">+IFERROR((I22-J22)*100,"-")</f>
        <v>27.956989247311824</v>
      </c>
      <c r="M22" s="130" t="s">
        <v>457</v>
      </c>
      <c r="N22" s="88">
        <f>+COUNTIFS('ENE 26'!$A:$A,M22,'ENE 26'!$AM:$AM,"&gt;0")+COUNTIFS('FEB 26'!$A:$A,M22,'FEB 26'!$AM:$AM,"&gt;0")+COUNTIFS('MAR 26'!$A:$A,M22,'MAR 26'!$AM:$AM,"&gt;0")+COUNTIFS('ABR 26'!$A:$A,M22,'ABR 26'!$AM:$AM,"&gt;0")+COUNTIFS('MAY 26'!$A:$A,M22,'MAY 26'!$AM:$AM,"&gt;0")+COUNTIFS('JUN 26'!$A:$A,M22,'JUN 26'!$AM:$AM,"&gt;0")</f>
        <v>21</v>
      </c>
      <c r="O22" s="166">
        <f t="shared" ref="O22:O24" si="13">+IFERROR(N22/$N$26,"-")</f>
        <v>0.22580645161290322</v>
      </c>
      <c r="P22" s="139" t="s">
        <v>500</v>
      </c>
      <c r="Q22" s="154">
        <f>+IFERROR(IF($E$19=60,VLOOKUP(M22,$AK$22:$AM$26,3,0),IF($E$19=120,VLOOKUP(M22,$AH$22:$AJ$26,3,0),0)),0)</f>
        <v>0</v>
      </c>
      <c r="R22" s="157">
        <f t="shared" si="9"/>
        <v>22.58064516129032</v>
      </c>
      <c r="V22" s="177"/>
      <c r="W22" s="177"/>
      <c r="X22" s="177"/>
      <c r="Y22" s="177"/>
      <c r="Z22" s="177"/>
      <c r="AA22" s="177"/>
      <c r="AB22" s="177"/>
      <c r="AC22" s="177"/>
      <c r="AD22" s="177"/>
      <c r="AH22" s="147" t="s">
        <v>454</v>
      </c>
      <c r="AI22" s="151" t="e">
        <f>+COUNTIF(#REF!,AH22)</f>
        <v>#REF!</v>
      </c>
      <c r="AJ22" s="153" t="e">
        <f>+AI22/$AI$27</f>
        <v>#REF!</v>
      </c>
      <c r="AK22" s="165" t="s">
        <v>454</v>
      </c>
      <c r="AL22" s="151" t="e">
        <f>+COUNTIF(#REF!,AK22)</f>
        <v>#REF!</v>
      </c>
      <c r="AM22" s="153" t="e">
        <f>+AL22/$AL$27</f>
        <v>#REF!</v>
      </c>
      <c r="AQ22" s="130" t="s">
        <v>673</v>
      </c>
      <c r="AR22" s="88">
        <f>+COUNTIFS('ENE 26'!$AQ:$AQ,AQ22,'ENE 26'!$AM:$AM,"&gt;0")+COUNTIFS('FEB 26'!$AQ:$AQ,AQ22,'FEB 26'!$AM:$AM,"&gt;0")+COUNTIFS('MAR 26'!$AQ:$AQ,AQ22,'MAR 26'!$AM:$AM,"&gt;0")+COUNTIFS('ABR 26'!$AQ:$AQ,AQ22,'ABR 26'!$AM:$AM,"&gt;0")+COUNTIFS('MAY 26'!$AQ:$AQ,AQ22,'MAY 26'!$AM:$AM,"&gt;0")+COUNTIFS('JUN 26'!$AQ:$AQ,AQ22,'JUN 26'!$AM:$AM,"&gt;0")</f>
        <v>32</v>
      </c>
      <c r="AS22" s="166">
        <f t="shared" si="10"/>
        <v>0.34408602150537637</v>
      </c>
      <c r="AT22" s="240">
        <f>COUNTIFS($C$33:$C$59,AQ22,$F$33:$F$59,"&gt;0")</f>
        <v>6</v>
      </c>
    </row>
    <row r="23" spans="2:46" ht="13.5" thickBot="1" x14ac:dyDescent="0.25">
      <c r="B23" s="304"/>
      <c r="C23" s="304"/>
      <c r="D23" s="237"/>
      <c r="E23" s="238"/>
      <c r="G23" s="129" t="s">
        <v>444</v>
      </c>
      <c r="H23" s="88">
        <f>+COUNTIFS('ENE 26'!$AP:$AP,G23,'ENE 26'!$AM:$AM,"&gt;0")+COUNTIFS('FEB 26'!$AP:$AP,G23,'FEB 26'!$AM:$AM,"&gt;0")+COUNTIFS('MAR 26'!$AP:$AP,G23,'MAR 26'!$AM:$AM,"&gt;0")+COUNTIFS('ABR 26'!$AP:$AP,G23,'ABR 26'!$AM:$AM,"&gt;0")+COUNTIFS('MAY 26'!$AP:$AP,G23,'MAY 26'!$AM:$AM,"&gt;0")+COUNTIFS('JUN 26'!$AP:$AP,G23,'JUN 26'!$AM:$AM,"&gt;0")</f>
        <v>0</v>
      </c>
      <c r="I23" s="166">
        <f t="shared" si="11"/>
        <v>0</v>
      </c>
      <c r="J23" s="154">
        <f t="shared" si="8"/>
        <v>0</v>
      </c>
      <c r="K23" s="157">
        <f t="shared" si="12"/>
        <v>0</v>
      </c>
      <c r="M23" s="131" t="s">
        <v>458</v>
      </c>
      <c r="N23" s="88">
        <f>+COUNTIFS('ENE 26'!$A:$A,M23,'ENE 26'!$AM:$AM,"&gt;0")+COUNTIFS('FEB 26'!$A:$A,M23,'FEB 26'!$AM:$AM,"&gt;0")+COUNTIFS('MAR 26'!$A:$A,M23,'MAR 26'!$AM:$AM,"&gt;0")+COUNTIFS('ABR 26'!$A:$A,M23,'ABR 26'!$AM:$AM,"&gt;0")+COUNTIFS('MAY 26'!$A:$A,M23,'MAY 26'!$AM:$AM,"&gt;0")+COUNTIFS('JUN 26'!$A:$A,M23,'JUN 26'!$AM:$AM,"&gt;0")</f>
        <v>18</v>
      </c>
      <c r="O23" s="166">
        <f t="shared" si="13"/>
        <v>0.19354838709677419</v>
      </c>
      <c r="P23" s="139" t="s">
        <v>499</v>
      </c>
      <c r="Q23" s="154">
        <f>+IFERROR(IF($E$19=60,VLOOKUP(M23,$AK$22:$AM$26,3,0),IF($E$19=120,VLOOKUP(M23,$AH$22:$AJ$26,3,0),0)),0)</f>
        <v>0</v>
      </c>
      <c r="R23" s="157">
        <f t="shared" si="9"/>
        <v>19.35483870967742</v>
      </c>
      <c r="V23" s="177"/>
      <c r="W23" s="177"/>
      <c r="X23" s="177"/>
      <c r="Y23" s="177"/>
      <c r="Z23" s="177"/>
      <c r="AA23" s="177"/>
      <c r="AB23" s="177"/>
      <c r="AC23" s="177"/>
      <c r="AD23" s="177"/>
      <c r="AH23" s="149" t="s">
        <v>456</v>
      </c>
      <c r="AI23" s="151" t="e">
        <f>+COUNTIF(#REF!,AH23)</f>
        <v>#REF!</v>
      </c>
      <c r="AJ23" s="153" t="e">
        <f t="shared" ref="AJ23:AJ27" si="14">+AI23/$AI$27</f>
        <v>#REF!</v>
      </c>
      <c r="AK23" s="149" t="s">
        <v>456</v>
      </c>
      <c r="AL23" s="151" t="e">
        <f>+COUNTIF(#REF!,AK23)</f>
        <v>#REF!</v>
      </c>
      <c r="AM23" s="153" t="e">
        <f t="shared" ref="AM23:AM27" si="15">+AL23/$AL$27</f>
        <v>#REF!</v>
      </c>
      <c r="AQ23" s="131" t="s">
        <v>674</v>
      </c>
      <c r="AR23" s="88">
        <f>+COUNTIFS('ENE 26'!$AQ:$AQ,AQ23,'ENE 26'!$AM:$AM,"&gt;0")+COUNTIFS('FEB 26'!$AQ:$AQ,AQ23,'FEB 26'!$AM:$AM,"&gt;0")+COUNTIFS('MAR 26'!$AQ:$AQ,AQ23,'MAR 26'!$AM:$AM,"&gt;0")+COUNTIFS('ABR 26'!$AQ:$AQ,AQ23,'ABR 26'!$AM:$AM,"&gt;0")+COUNTIFS('MAY 26'!$AQ:$AQ,AQ23,'MAY 26'!$AM:$AM,"&gt;0")+COUNTIFS('JUN 26'!$AQ:$AQ,AQ23,'JUN 26'!$AM:$AM,"&gt;0")</f>
        <v>18</v>
      </c>
      <c r="AS23" s="166">
        <f>+IFERROR(AR23/$AR$25,"-")</f>
        <v>0.19354838709677419</v>
      </c>
      <c r="AT23" s="240">
        <f>COUNTIFS($C$33:$C$59,AQ23,$F$33:$F$59,"&gt;0")</f>
        <v>2</v>
      </c>
    </row>
    <row r="24" spans="2:46" ht="13.5" thickBot="1" x14ac:dyDescent="0.25">
      <c r="B24" s="304"/>
      <c r="C24" s="304"/>
      <c r="D24" s="237"/>
      <c r="E24" s="238"/>
      <c r="G24" s="131" t="s">
        <v>447</v>
      </c>
      <c r="H24" s="88">
        <f>+COUNTIFS('ENE 26'!$AP:$AP,G24,'ENE 26'!$AM:$AM,"&gt;0")+COUNTIFS('FEB 26'!$AP:$AP,G24,'FEB 26'!$AM:$AM,"&gt;0")+COUNTIFS('MAR 26'!$AP:$AP,G24,'MAR 26'!$AM:$AM,"&gt;0")+COUNTIFS('ABR 26'!$AP:$AP,G24,'ABR 26'!$AM:$AM,"&gt;0")+COUNTIFS('MAY 26'!$AP:$AP,G24,'MAY 26'!$AM:$AM,"&gt;0")+COUNTIFS('JUN 26'!$AP:$AP,G24,'JUN 26'!$AM:$AM,"&gt;0")</f>
        <v>15</v>
      </c>
      <c r="I24" s="166">
        <f t="shared" si="11"/>
        <v>0.16129032258064516</v>
      </c>
      <c r="J24" s="154">
        <f t="shared" si="8"/>
        <v>0</v>
      </c>
      <c r="K24" s="157">
        <f t="shared" si="12"/>
        <v>16.129032258064516</v>
      </c>
      <c r="M24" s="102" t="s">
        <v>453</v>
      </c>
      <c r="N24" s="88">
        <f>+COUNTIFS('ENE 26'!$A:$A,M24,'ENE 26'!$AM:$AM,"&gt;0")+COUNTIFS('FEB 26'!$A:$A,M24,'FEB 26'!$AM:$AM,"&gt;0")+COUNTIFS('MAR 26'!$A:$A,M24,'MAR 26'!$AM:$AM,"&gt;0")+COUNTIFS('ABR 26'!$A:$A,M24,'ABR 26'!$AM:$AM,"&gt;0")+COUNTIFS('MAY 26'!$A:$A,M24,'MAY 26'!$AM:$AM,"&gt;0")+COUNTIFS('JUN 26'!$A:$A,M24,'JUN 26'!$AM:$AM,"&gt;0")</f>
        <v>22</v>
      </c>
      <c r="O24" s="166">
        <f t="shared" si="13"/>
        <v>0.23655913978494625</v>
      </c>
      <c r="P24" s="139" t="s">
        <v>502</v>
      </c>
      <c r="Q24" s="154">
        <f>+IFERROR(IF($E$19=60,VLOOKUP(M24,$AK$22:$AM$26,3,0),IF($E$19=120,VLOOKUP(M24,$AH$22:$AJ$26,3,0),0)),0)</f>
        <v>0</v>
      </c>
      <c r="R24" s="157">
        <f t="shared" si="9"/>
        <v>23.655913978494624</v>
      </c>
      <c r="U24" s="160" t="s">
        <v>583</v>
      </c>
      <c r="V24" s="178" t="s">
        <v>549</v>
      </c>
      <c r="W24" s="178" t="s">
        <v>554</v>
      </c>
      <c r="X24" s="178" t="s">
        <v>550</v>
      </c>
      <c r="Y24" s="178" t="s">
        <v>551</v>
      </c>
      <c r="Z24" s="178" t="s">
        <v>552</v>
      </c>
      <c r="AA24" s="178" t="s">
        <v>553</v>
      </c>
      <c r="AB24" s="178" t="s">
        <v>584</v>
      </c>
      <c r="AC24" s="178" t="s">
        <v>585</v>
      </c>
      <c r="AD24" s="178" t="s">
        <v>586</v>
      </c>
      <c r="AH24" s="149" t="s">
        <v>453</v>
      </c>
      <c r="AI24" s="151" t="e">
        <f>+COUNTIF(#REF!,AH24)</f>
        <v>#REF!</v>
      </c>
      <c r="AJ24" s="153" t="e">
        <f t="shared" si="14"/>
        <v>#REF!</v>
      </c>
      <c r="AK24" s="149" t="s">
        <v>453</v>
      </c>
      <c r="AL24" s="151" t="e">
        <f>+COUNTIF(#REF!,AK24)</f>
        <v>#REF!</v>
      </c>
      <c r="AM24" s="153" t="e">
        <f t="shared" si="15"/>
        <v>#REF!</v>
      </c>
      <c r="AQ24" s="102" t="s">
        <v>453</v>
      </c>
      <c r="AR24" s="88">
        <f>+COUNTIFS('ENE 26'!$AQ:$AQ,AQ24,'ENE 26'!$AM:$AM,"&gt;0")+COUNTIFS('FEB 26'!$AQ:$AQ,AQ24,'FEB 26'!$AM:$AM,"&gt;0")+COUNTIFS('MAR 26'!$AQ:$AQ,AQ24,'MAR 26'!$AM:$AM,"&gt;0")+COUNTIFS('ABR 26'!$AQ:$AQ,AQ24,'ABR 26'!$AM:$AM,"&gt;0")+COUNTIFS('MAY 26'!$AQ:$AQ,AQ24,'MAY 26'!$AM:$AM,"&gt;0")+COUNTIFS('JUN 26'!$AQ:$AQ,AQ24,'JUN 26'!$AM:$AM,"&gt;0")</f>
        <v>22</v>
      </c>
      <c r="AS24" s="166">
        <f>+IFERROR(AR24/$AR$25,"-")</f>
        <v>0.23655913978494625</v>
      </c>
      <c r="AT24" s="240">
        <f>COUNTIFS($C$33:$C$59,AQ24,$F$33:$F$59,"&gt;0")</f>
        <v>3</v>
      </c>
    </row>
    <row r="25" spans="2:46" ht="13.5" thickBot="1" x14ac:dyDescent="0.25">
      <c r="G25" s="102" t="s">
        <v>448</v>
      </c>
      <c r="H25" s="88">
        <f>+COUNTIFS('ENE 26'!$AP:$AP,G25,'ENE 26'!$AM:$AM,"&gt;0")+COUNTIFS('FEB 26'!$AP:$AP,G25,'FEB 26'!$AM:$AM,"&gt;0")+COUNTIFS('MAR 26'!$AP:$AP,G25,'MAR 26'!$AM:$AM,"&gt;0")+COUNTIFS('ABR 26'!$AP:$AP,G25,'ABR 26'!$AM:$AM,"&gt;0")+COUNTIFS('MAY 26'!$AP:$AP,G25,'MAY 26'!$AM:$AM,"&gt;0")+COUNTIFS('JUN 26'!$AP:$AP,G25,'JUN 26'!$AM:$AM,"&gt;0")</f>
        <v>8</v>
      </c>
      <c r="I25" s="166">
        <f t="shared" si="11"/>
        <v>8.6021505376344093E-2</v>
      </c>
      <c r="J25" s="154">
        <f t="shared" si="8"/>
        <v>0</v>
      </c>
      <c r="K25" s="157">
        <f t="shared" si="12"/>
        <v>8.6021505376344098</v>
      </c>
      <c r="M25" s="132" t="s">
        <v>454</v>
      </c>
      <c r="N25" s="88">
        <f>+COUNTIFS('ENE 26'!$A:$A,M25,'ENE 26'!$AM:$AM,"&gt;0")+COUNTIFS('FEB 26'!$A:$A,M25,'FEB 26'!$AM:$AM,"&gt;0")+COUNTIFS('MAR 26'!$A:$A,M25,'MAR 26'!$AM:$AM,"&gt;0")+COUNTIFS('ABR 26'!$A:$A,M25,'ABR 26'!$AM:$AM,"&gt;0")+COUNTIFS('MAY 26'!$A:$A,M25,'MAY 26'!$AM:$AM,"&gt;0")+COUNTIFS('JUN 26'!$A:$A,M25,'JUN 26'!$AM:$AM,"&gt;0")</f>
        <v>0</v>
      </c>
      <c r="O25" s="166">
        <f>+IFERROR(N25/$N$26,"-")</f>
        <v>0</v>
      </c>
      <c r="P25" s="139" t="s">
        <v>525</v>
      </c>
      <c r="Q25" s="154">
        <f>+IFERROR(IF($E$19=60,VLOOKUP(M25,$AK$22:$AM$26,3,0),IF($E$19=120,VLOOKUP(M25,$AH$22:$AJ$26,3,0),0)),0)</f>
        <v>0</v>
      </c>
      <c r="R25" s="157">
        <f t="shared" si="9"/>
        <v>0</v>
      </c>
      <c r="T25">
        <v>1</v>
      </c>
      <c r="U25" s="179" t="s">
        <v>493</v>
      </c>
      <c r="V25" s="177" t="e">
        <f>VLOOKUP($U25,'ENE 26'!$C$14:$C$104,1,0)</f>
        <v>#N/A</v>
      </c>
      <c r="W25" s="177" t="e">
        <f>VLOOKUP($U25,'FEB 26'!$C$14:$C$100,1,0)</f>
        <v>#N/A</v>
      </c>
      <c r="X25" s="177" t="e">
        <f>VLOOKUP($U25,'MAR 26'!$C$14:$C$101,1,0)</f>
        <v>#N/A</v>
      </c>
      <c r="Y25" s="177" t="e">
        <f>VLOOKUP($U25,'ABR 26'!$C$14:$C$101,1,0)</f>
        <v>#N/A</v>
      </c>
      <c r="Z25" s="177" t="e">
        <f>VLOOKUP($U25,'MAY 26'!$C$14:$C$100,1,0)</f>
        <v>#N/A</v>
      </c>
      <c r="AA25" s="177" t="e">
        <f>VLOOKUP($U25,'JUN 26'!$C$14:$C$103,1,0)</f>
        <v>#N/A</v>
      </c>
      <c r="AB25" s="177">
        <f t="shared" ref="AB25:AB32" si="16">COUNTIF(V25:AA25,U25)</f>
        <v>0</v>
      </c>
      <c r="AC25" s="177" t="str">
        <f t="shared" ref="AC25:AC32" si="17">IF(AB25&gt;0,"SI","NO")</f>
        <v>NO</v>
      </c>
      <c r="AD25" s="177">
        <f t="shared" ref="AD25:AD32" si="18">IF(AC25="SI",1,0)</f>
        <v>0</v>
      </c>
      <c r="AH25" s="149" t="s">
        <v>457</v>
      </c>
      <c r="AI25" s="151" t="e">
        <f>+COUNTIF(#REF!,AH25)</f>
        <v>#REF!</v>
      </c>
      <c r="AJ25" s="153" t="e">
        <f t="shared" si="14"/>
        <v>#REF!</v>
      </c>
      <c r="AK25" s="149" t="s">
        <v>457</v>
      </c>
      <c r="AL25" s="151" t="e">
        <f>+COUNTIF(#REF!,AK25)</f>
        <v>#REF!</v>
      </c>
      <c r="AM25" s="153" t="e">
        <f t="shared" si="15"/>
        <v>#REF!</v>
      </c>
      <c r="AQ25" s="91" t="s">
        <v>38</v>
      </c>
      <c r="AR25" s="93">
        <f>+SUM(AR21:AR24)</f>
        <v>93</v>
      </c>
      <c r="AS25" s="136">
        <f>+SUM(AS21:AS24)</f>
        <v>1</v>
      </c>
    </row>
    <row r="26" spans="2:46" ht="13.5" thickBot="1" x14ac:dyDescent="0.25">
      <c r="G26" s="133" t="s">
        <v>450</v>
      </c>
      <c r="H26" s="88">
        <f>+COUNTIFS('ENE 26'!$AP:$AP,G26,'ENE 26'!$AM:$AM,"&gt;0")+COUNTIFS('FEB 26'!$AP:$AP,G26,'FEB 26'!$AM:$AM,"&gt;0")+COUNTIFS('MAR 26'!$AP:$AP,G26,'MAR 26'!$AM:$AM,"&gt;0")+COUNTIFS('ABR 26'!$AP:$AP,G26,'ABR 26'!$AM:$AM,"&gt;0")+COUNTIFS('MAY 26'!$AP:$AP,G26,'MAY 26'!$AM:$AM,"&gt;0")+COUNTIFS('JUN 26'!$AP:$AP,G26,'JUN 26'!$AM:$AM,"&gt;0")</f>
        <v>17</v>
      </c>
      <c r="I26" s="166">
        <f t="shared" si="11"/>
        <v>0.18279569892473119</v>
      </c>
      <c r="J26" s="154">
        <f t="shared" si="8"/>
        <v>0</v>
      </c>
      <c r="K26" s="157">
        <f t="shared" si="12"/>
        <v>18.27956989247312</v>
      </c>
      <c r="M26" s="91" t="s">
        <v>38</v>
      </c>
      <c r="N26" s="93">
        <f>+SUM(N21:N25)</f>
        <v>93</v>
      </c>
      <c r="O26" s="136">
        <f>+SUM(O21:O25)</f>
        <v>1</v>
      </c>
      <c r="T26">
        <v>2</v>
      </c>
      <c r="U26" s="179" t="s">
        <v>452</v>
      </c>
      <c r="V26" s="177" t="e">
        <f>VLOOKUP($U26,'ENE 26'!$C$14:$C$104,1,0)</f>
        <v>#N/A</v>
      </c>
      <c r="W26" s="177" t="e">
        <f>VLOOKUP($U26,'FEB 26'!$C$14:$C$100,1,0)</f>
        <v>#N/A</v>
      </c>
      <c r="X26" s="177" t="e">
        <f>VLOOKUP($U26,'MAR 26'!$C$14:$C$101,1,0)</f>
        <v>#N/A</v>
      </c>
      <c r="Y26" s="177" t="e">
        <f>VLOOKUP($U26,'ABR 26'!$C$14:$C$101,1,0)</f>
        <v>#N/A</v>
      </c>
      <c r="Z26" s="177" t="e">
        <f>VLOOKUP($U26,'MAY 26'!$C$14:$C$100,1,0)</f>
        <v>#N/A</v>
      </c>
      <c r="AA26" s="177" t="e">
        <f>VLOOKUP($U26,'JUN 26'!$C$14:$C$103,1,0)</f>
        <v>#N/A</v>
      </c>
      <c r="AB26" s="177">
        <f t="shared" si="16"/>
        <v>0</v>
      </c>
      <c r="AC26" s="177" t="str">
        <f t="shared" si="17"/>
        <v>NO</v>
      </c>
      <c r="AD26" s="177">
        <f t="shared" si="18"/>
        <v>0</v>
      </c>
      <c r="AH26" s="149" t="s">
        <v>458</v>
      </c>
      <c r="AI26" s="151" t="e">
        <f>+COUNTIF(#REF!,AH26)</f>
        <v>#REF!</v>
      </c>
      <c r="AJ26" s="153" t="e">
        <f t="shared" si="14"/>
        <v>#REF!</v>
      </c>
      <c r="AK26" s="149" t="s">
        <v>458</v>
      </c>
      <c r="AL26" s="151" t="e">
        <f>+COUNTIF(#REF!,AK26)</f>
        <v>#REF!</v>
      </c>
      <c r="AM26" s="153" t="e">
        <f t="shared" si="15"/>
        <v>#REF!</v>
      </c>
    </row>
    <row r="27" spans="2:46" ht="13.5" thickBot="1" x14ac:dyDescent="0.25">
      <c r="G27" s="132" t="s">
        <v>515</v>
      </c>
      <c r="H27" s="88">
        <f>+COUNTIFS('ENE 26'!$AP:$AP,G27,'ENE 26'!$AM:$AM,"&gt;0")+COUNTIFS('FEB 26'!$AP:$AP,G27,'FEB 26'!$AM:$AM,"&gt;0")+COUNTIFS('MAR 26'!$AP:$AP,G27,'MAR 26'!$AM:$AM,"&gt;0")+COUNTIFS('ABR 26'!$AP:$AP,G27,'ABR 26'!$AM:$AM,"&gt;0")+COUNTIFS('MAY 26'!$AP:$AP,G27,'MAY 26'!$AM:$AM,"&gt;0")+COUNTIFS('JUN 26'!$AP:$AP,G27,'JUN 26'!$AM:$AM,"&gt;0")</f>
        <v>1</v>
      </c>
      <c r="I27" s="166">
        <f t="shared" si="11"/>
        <v>1.0752688172043012E-2</v>
      </c>
      <c r="J27" s="154">
        <f t="shared" si="8"/>
        <v>0</v>
      </c>
      <c r="K27" s="157">
        <f t="shared" si="12"/>
        <v>1.0752688172043012</v>
      </c>
      <c r="T27">
        <v>3</v>
      </c>
      <c r="U27" s="180" t="s">
        <v>491</v>
      </c>
      <c r="V27" s="177" t="e">
        <f>VLOOKUP($U27,'ENE 26'!$C$14:$C$104,1,0)</f>
        <v>#N/A</v>
      </c>
      <c r="W27" s="177" t="e">
        <f>VLOOKUP($U27,'FEB 26'!$C$14:$C$100,1,0)</f>
        <v>#N/A</v>
      </c>
      <c r="X27" s="177" t="e">
        <f>VLOOKUP($U27,'MAR 26'!$C$14:$C$101,1,0)</f>
        <v>#N/A</v>
      </c>
      <c r="Y27" s="177" t="e">
        <f>VLOOKUP($U27,'ABR 26'!$C$14:$C$101,1,0)</f>
        <v>#N/A</v>
      </c>
      <c r="Z27" s="177" t="e">
        <f>VLOOKUP($U27,'MAY 26'!$C$14:$C$100,1,0)</f>
        <v>#N/A</v>
      </c>
      <c r="AA27" s="177" t="e">
        <f>VLOOKUP($U27,'JUN 26'!$C$14:$C$103,1,0)</f>
        <v>#N/A</v>
      </c>
      <c r="AB27" s="177">
        <f t="shared" si="16"/>
        <v>0</v>
      </c>
      <c r="AC27" s="177" t="str">
        <f t="shared" si="17"/>
        <v>NO</v>
      </c>
      <c r="AD27" s="177">
        <f t="shared" si="18"/>
        <v>0</v>
      </c>
      <c r="AH27" s="150" t="s">
        <v>462</v>
      </c>
      <c r="AI27" s="152" t="e">
        <f>+SUM(AI22:AI26)</f>
        <v>#REF!</v>
      </c>
      <c r="AJ27" s="153" t="e">
        <f t="shared" si="14"/>
        <v>#REF!</v>
      </c>
      <c r="AK27" s="150" t="s">
        <v>462</v>
      </c>
      <c r="AL27" s="152" t="e">
        <f>+SUM(AL22:AL26)</f>
        <v>#REF!</v>
      </c>
      <c r="AM27" s="153" t="e">
        <f t="shared" si="15"/>
        <v>#REF!</v>
      </c>
    </row>
    <row r="28" spans="2:46" ht="13.5" thickBot="1" x14ac:dyDescent="0.25">
      <c r="G28" s="91" t="s">
        <v>38</v>
      </c>
      <c r="H28" s="93">
        <f>+SUM(H21:H27)</f>
        <v>93</v>
      </c>
      <c r="I28" s="136">
        <f>+SUM(I21:I27)</f>
        <v>1</v>
      </c>
      <c r="K28"/>
      <c r="T28">
        <v>4</v>
      </c>
      <c r="U28" s="180" t="s">
        <v>446</v>
      </c>
      <c r="V28" s="177" t="e">
        <f>VLOOKUP($U28,'ENE 26'!$C$14:$C$104,1,0)</f>
        <v>#N/A</v>
      </c>
      <c r="W28" s="177" t="e">
        <f>VLOOKUP($U28,'FEB 26'!$C$14:$C$100,1,0)</f>
        <v>#N/A</v>
      </c>
      <c r="X28" s="177" t="e">
        <f>VLOOKUP($U28,'MAR 26'!$C$14:$C$101,1,0)</f>
        <v>#N/A</v>
      </c>
      <c r="Y28" s="177" t="e">
        <f>VLOOKUP($U28,'ABR 26'!$C$14:$C$101,1,0)</f>
        <v>#N/A</v>
      </c>
      <c r="Z28" s="177" t="e">
        <f>VLOOKUP($U28,'MAY 26'!$C$14:$C$100,1,0)</f>
        <v>#N/A</v>
      </c>
      <c r="AA28" s="177" t="e">
        <f>VLOOKUP($U28,'JUN 26'!$C$14:$C$103,1,0)</f>
        <v>#N/A</v>
      </c>
      <c r="AB28" s="177">
        <f t="shared" si="16"/>
        <v>0</v>
      </c>
      <c r="AC28" s="177" t="str">
        <f t="shared" si="17"/>
        <v>NO</v>
      </c>
      <c r="AD28" s="177">
        <f t="shared" si="18"/>
        <v>0</v>
      </c>
    </row>
    <row r="29" spans="2:46" x14ac:dyDescent="0.2">
      <c r="K29"/>
      <c r="M29" s="159"/>
      <c r="T29">
        <v>5</v>
      </c>
      <c r="U29" s="180" t="s">
        <v>587</v>
      </c>
      <c r="V29" s="177" t="e">
        <f>VLOOKUP($U29,'ENE 26'!$C$14:$C$104,1,0)</f>
        <v>#N/A</v>
      </c>
      <c r="W29" s="177" t="e">
        <f>VLOOKUP($U29,'FEB 26'!$C$14:$C$100,1,0)</f>
        <v>#N/A</v>
      </c>
      <c r="X29" s="177" t="e">
        <f>VLOOKUP($U29,'MAR 26'!$C$14:$C$101,1,0)</f>
        <v>#N/A</v>
      </c>
      <c r="Y29" s="177" t="e">
        <f>VLOOKUP($U29,'ABR 26'!$C$14:$C$101,1,0)</f>
        <v>#N/A</v>
      </c>
      <c r="Z29" s="177" t="e">
        <f>VLOOKUP($U29,'MAY 26'!$C$14:$C$100,1,0)</f>
        <v>#N/A</v>
      </c>
      <c r="AA29" s="177" t="e">
        <f>VLOOKUP($U29,'JUN 26'!$C$14:$C$103,1,0)</f>
        <v>#N/A</v>
      </c>
      <c r="AB29" s="177">
        <f t="shared" si="16"/>
        <v>0</v>
      </c>
      <c r="AC29" s="177" t="str">
        <f t="shared" si="17"/>
        <v>NO</v>
      </c>
      <c r="AD29" s="177">
        <f t="shared" si="18"/>
        <v>0</v>
      </c>
    </row>
    <row r="30" spans="2:46" x14ac:dyDescent="0.2">
      <c r="T30">
        <v>6</v>
      </c>
      <c r="U30" s="180" t="s">
        <v>558</v>
      </c>
      <c r="V30" s="177" t="e">
        <f>VLOOKUP($U30,'ENE 26'!$C$14:$C$104,1,0)</f>
        <v>#N/A</v>
      </c>
      <c r="W30" s="177" t="e">
        <f>VLOOKUP($U30,'FEB 26'!$C$14:$C$100,1,0)</f>
        <v>#N/A</v>
      </c>
      <c r="X30" s="177" t="e">
        <f>VLOOKUP($U30,'MAR 26'!$C$14:$C$101,1,0)</f>
        <v>#N/A</v>
      </c>
      <c r="Y30" s="177" t="e">
        <f>VLOOKUP($U30,'ABR 26'!$C$14:$C$101,1,0)</f>
        <v>#N/A</v>
      </c>
      <c r="Z30" s="177" t="e">
        <f>VLOOKUP($U30,'MAY 26'!$C$14:$C$100,1,0)</f>
        <v>#N/A</v>
      </c>
      <c r="AA30" s="177" t="e">
        <f>VLOOKUP($U30,'JUN 26'!$C$14:$C$103,1,0)</f>
        <v>#N/A</v>
      </c>
      <c r="AB30" s="177">
        <f t="shared" si="16"/>
        <v>0</v>
      </c>
      <c r="AC30" s="177" t="str">
        <f t="shared" si="17"/>
        <v>NO</v>
      </c>
      <c r="AD30" s="177">
        <f t="shared" si="18"/>
        <v>0</v>
      </c>
    </row>
    <row r="31" spans="2:46" x14ac:dyDescent="0.2">
      <c r="B31" s="303" t="s">
        <v>724</v>
      </c>
      <c r="C31" s="303"/>
      <c r="D31" s="303"/>
      <c r="E31" s="303"/>
      <c r="F31" s="303"/>
      <c r="T31">
        <v>7</v>
      </c>
      <c r="U31" s="179" t="s">
        <v>494</v>
      </c>
      <c r="V31" s="177" t="e">
        <f>VLOOKUP($U31,'ENE 26'!$C$14:$C$104,1,0)</f>
        <v>#N/A</v>
      </c>
      <c r="W31" s="177" t="e">
        <f>VLOOKUP($U31,'FEB 26'!$C$14:$C$100,1,0)</f>
        <v>#N/A</v>
      </c>
      <c r="X31" s="177" t="e">
        <f>VLOOKUP($U31,'MAR 26'!$C$14:$C$101,1,0)</f>
        <v>#N/A</v>
      </c>
      <c r="Y31" s="177" t="e">
        <f>VLOOKUP($U31,'ABR 26'!$C$14:$C$101,1,0)</f>
        <v>#N/A</v>
      </c>
      <c r="Z31" s="177" t="e">
        <f>VLOOKUP($U31,'MAY 26'!$C$14:$C$100,1,0)</f>
        <v>#N/A</v>
      </c>
      <c r="AA31" s="177" t="e">
        <f>VLOOKUP($U31,'JUN 26'!$C$14:$C$103,1,0)</f>
        <v>#N/A</v>
      </c>
      <c r="AB31" s="177">
        <f>COUNTIF(V31:AA31,U31)</f>
        <v>0</v>
      </c>
      <c r="AC31" s="177" t="str">
        <f t="shared" si="17"/>
        <v>NO</v>
      </c>
      <c r="AD31" s="177">
        <f t="shared" si="18"/>
        <v>0</v>
      </c>
    </row>
    <row r="32" spans="2:46" ht="15" x14ac:dyDescent="0.25">
      <c r="B32" s="243" t="s">
        <v>721</v>
      </c>
      <c r="C32" s="243" t="s">
        <v>460</v>
      </c>
      <c r="D32" s="244"/>
      <c r="E32" s="245" t="s">
        <v>722</v>
      </c>
      <c r="F32" s="244" t="s">
        <v>723</v>
      </c>
      <c r="T32">
        <v>8</v>
      </c>
      <c r="U32" s="179" t="s">
        <v>559</v>
      </c>
      <c r="V32" s="177" t="e">
        <f>VLOOKUP($U32,'ENE 26'!$C$14:$C$104,1,0)</f>
        <v>#N/A</v>
      </c>
      <c r="W32" s="177" t="e">
        <f>VLOOKUP($U32,'FEB 26'!$C$14:$C$100,1,0)</f>
        <v>#N/A</v>
      </c>
      <c r="X32" s="177" t="e">
        <f>VLOOKUP($U32,'MAR 26'!$C$14:$C$101,1,0)</f>
        <v>#N/A</v>
      </c>
      <c r="Y32" s="177" t="e">
        <f>VLOOKUP($U32,'ABR 26'!$C$14:$C$101,1,0)</f>
        <v>#N/A</v>
      </c>
      <c r="Z32" s="177" t="e">
        <f>VLOOKUP($U32,'MAY 26'!$C$14:$C$100,1,0)</f>
        <v>#N/A</v>
      </c>
      <c r="AA32" s="177" t="e">
        <f>VLOOKUP($U32,'JUN 26'!$C$14:$C$103,1,0)</f>
        <v>#N/A</v>
      </c>
      <c r="AB32" s="177">
        <f t="shared" si="16"/>
        <v>0</v>
      </c>
      <c r="AC32" s="177" t="str">
        <f t="shared" si="17"/>
        <v>NO</v>
      </c>
      <c r="AD32" s="177">
        <f t="shared" si="18"/>
        <v>0</v>
      </c>
    </row>
    <row r="33" spans="2:15" ht="15" x14ac:dyDescent="0.25">
      <c r="B33" s="255" t="s">
        <v>611</v>
      </c>
      <c r="C33" s="256" t="s">
        <v>526</v>
      </c>
      <c r="E33" s="257" t="s">
        <v>520</v>
      </c>
      <c r="F33" s="240">
        <f>+SUMIF('ENE 26'!$C$14:$C$111,'RESUMEN CATEGORIAS'!E33,'ENE 26'!$AM$14:$AM$111)+SUMIF('FEB 26'!$C$14:$C$101,'RESUMEN CATEGORIAS'!E33,'FEB 26'!$AM$14:$AM$101)+SUMIF('MAR 26'!$C$14:$C$101,'RESUMEN CATEGORIAS'!E33,'FEB 26'!$AM$14:$AM$101)+SUMIF('ABR 26'!$C$14:$C$101,'RESUMEN CATEGORIAS'!E33,'ABR 26'!$AM$14:$AM$101)+SUMIF('MAY 26'!$C$14:$C$100,'RESUMEN CATEGORIAS'!E33,'MAY 26'!$AM$14:$AM$100)+SUMIF('JUN 26'!$C$14:$C$103,'RESUMEN CATEGORIAS'!E33,'JUN 26'!$AM$14:$AM$103)</f>
        <v>0</v>
      </c>
      <c r="L33" s="264"/>
      <c r="M33" s="264"/>
      <c r="N33" s="264"/>
      <c r="O33" s="264"/>
    </row>
    <row r="34" spans="2:15" ht="15" x14ac:dyDescent="0.25">
      <c r="B34" s="255" t="s">
        <v>611</v>
      </c>
      <c r="C34" s="256" t="s">
        <v>526</v>
      </c>
      <c r="E34" s="263" t="s">
        <v>785</v>
      </c>
      <c r="F34" s="240">
        <f>+SUMIF('ENE 26'!$C$14:$C$111,'RESUMEN CATEGORIAS'!E34,'ENE 26'!$AM$14:$AM$111)+SUMIF('FEB 26'!$C$14:$C$101,'RESUMEN CATEGORIAS'!E34,'FEB 26'!$AM$14:$AM$101)+SUMIF('MAR 26'!$C$14:$C$101,'RESUMEN CATEGORIAS'!E34,'FEB 26'!$AM$14:$AM$101)+SUMIF('ABR 26'!$C$14:$C$101,'RESUMEN CATEGORIAS'!E34,'ABR 26'!$AM$14:$AM$101)+SUMIF('MAY 26'!$C$14:$C$100,'RESUMEN CATEGORIAS'!E34,'MAY 26'!$AM$14:$AM$100)+SUMIF('JUN 26'!$C$14:$C$103,'RESUMEN CATEGORIAS'!E34,'JUN 26'!$AM$14:$AM$103)</f>
        <v>0</v>
      </c>
      <c r="L34" s="264"/>
      <c r="M34" s="264"/>
      <c r="N34" s="264"/>
      <c r="O34" s="264"/>
    </row>
    <row r="35" spans="2:15" ht="15" x14ac:dyDescent="0.25">
      <c r="B35" s="255" t="s">
        <v>611</v>
      </c>
      <c r="C35" s="256" t="s">
        <v>526</v>
      </c>
      <c r="E35" s="263" t="s">
        <v>557</v>
      </c>
      <c r="F35" s="240">
        <f>+SUMIF('ENE 26'!$C$14:$C$111,'RESUMEN CATEGORIAS'!E35,'ENE 26'!$AM$14:$AM$111)+SUMIF('FEB 26'!$C$14:$C$101,'RESUMEN CATEGORIAS'!E35,'FEB 26'!$AM$14:$AM$101)+SUMIF('MAR 26'!$C$14:$C$101,'RESUMEN CATEGORIAS'!E35,'FEB 26'!$AM$14:$AM$101)+SUMIF('ABR 26'!$C$14:$C$101,'RESUMEN CATEGORIAS'!E35,'ABR 26'!$AM$14:$AM$101)+SUMIF('MAY 26'!$C$14:$C$100,'RESUMEN CATEGORIAS'!E35,'MAY 26'!$AM$14:$AM$100)+SUMIF('JUN 26'!$C$14:$C$103,'RESUMEN CATEGORIAS'!E35,'JUN 26'!$AM$14:$AM$103)</f>
        <v>0</v>
      </c>
      <c r="L35" s="264"/>
      <c r="M35" s="264"/>
      <c r="N35" s="264"/>
      <c r="O35" s="264"/>
    </row>
    <row r="36" spans="2:15" ht="15" x14ac:dyDescent="0.25">
      <c r="B36" s="255" t="s">
        <v>611</v>
      </c>
      <c r="C36" s="256" t="s">
        <v>526</v>
      </c>
      <c r="E36" s="263" t="s">
        <v>881</v>
      </c>
      <c r="F36" s="240">
        <f>+SUMIF('ENE 26'!$C$14:$C$111,'RESUMEN CATEGORIAS'!E36,'ENE 26'!$AM$14:$AM$111)+SUMIF('FEB 26'!$C$14:$C$101,'RESUMEN CATEGORIAS'!E36,'FEB 26'!$AM$14:$AM$101)+SUMIF('MAR 26'!$C$14:$C$101,'RESUMEN CATEGORIAS'!E36,'FEB 26'!$AM$14:$AM$101)+SUMIF('ABR 26'!$C$14:$C$101,'RESUMEN CATEGORIAS'!E36,'ABR 26'!$AM$14:$AM$101)+SUMIF('MAY 26'!$C$14:$C$100,'RESUMEN CATEGORIAS'!E36,'MAY 26'!$AM$14:$AM$100)+SUMIF('JUN 26'!$C$14:$C$103,'RESUMEN CATEGORIAS'!E36,'JUN 26'!$AM$14:$AM$103)</f>
        <v>0</v>
      </c>
      <c r="L36" s="264"/>
      <c r="M36" s="264"/>
      <c r="N36" s="264"/>
      <c r="O36" s="264"/>
    </row>
    <row r="37" spans="2:15" ht="15" x14ac:dyDescent="0.25">
      <c r="B37" s="255" t="s">
        <v>611</v>
      </c>
      <c r="C37" s="256" t="s">
        <v>526</v>
      </c>
      <c r="E37" s="263" t="s">
        <v>873</v>
      </c>
      <c r="F37" s="240">
        <f>+SUMIF('ENE 26'!$C$14:$C$111,'RESUMEN CATEGORIAS'!E37,'ENE 26'!$AM$14:$AM$111)+SUMIF('FEB 26'!$C$14:$C$101,'RESUMEN CATEGORIAS'!E37,'FEB 26'!$AM$14:$AM$101)+SUMIF('MAR 26'!$C$14:$C$101,'RESUMEN CATEGORIAS'!E37,'FEB 26'!$AM$14:$AM$101)+SUMIF('ABR 26'!$C$14:$C$101,'RESUMEN CATEGORIAS'!E37,'ABR 26'!$AM$14:$AM$101)+SUMIF('MAY 26'!$C$14:$C$100,'RESUMEN CATEGORIAS'!E37,'MAY 26'!$AM$14:$AM$100)+SUMIF('JUN 26'!$C$14:$C$103,'RESUMEN CATEGORIAS'!E37,'JUN 26'!$AM$14:$AM$103)</f>
        <v>36</v>
      </c>
      <c r="L37" s="264"/>
      <c r="M37" s="264"/>
      <c r="N37" s="264"/>
      <c r="O37" s="264"/>
    </row>
    <row r="38" spans="2:15" ht="15" x14ac:dyDescent="0.25">
      <c r="B38" s="255" t="s">
        <v>611</v>
      </c>
      <c r="C38" s="256" t="s">
        <v>526</v>
      </c>
      <c r="E38" s="263" t="s">
        <v>771</v>
      </c>
      <c r="F38" s="240">
        <f>+SUMIF('ENE 26'!$C$14:$C$111,'RESUMEN CATEGORIAS'!E38,'ENE 26'!$AM$14:$AM$111)+SUMIF('FEB 26'!$C$14:$C$101,'RESUMEN CATEGORIAS'!E38,'FEB 26'!$AM$14:$AM$101)+SUMIF('MAR 26'!$C$14:$C$101,'RESUMEN CATEGORIAS'!E38,'FEB 26'!$AM$14:$AM$101)+SUMIF('ABR 26'!$C$14:$C$101,'RESUMEN CATEGORIAS'!E38,'ABR 26'!$AM$14:$AM$101)+SUMIF('MAY 26'!$C$14:$C$100,'RESUMEN CATEGORIAS'!E38,'MAY 26'!$AM$14:$AM$100)+SUMIF('JUN 26'!$C$14:$C$103,'RESUMEN CATEGORIAS'!E38,'JUN 26'!$AM$14:$AM$103)</f>
        <v>0</v>
      </c>
      <c r="L38" s="264"/>
      <c r="M38" s="264"/>
      <c r="N38" s="264"/>
      <c r="O38" s="264"/>
    </row>
    <row r="39" spans="2:15" ht="15" x14ac:dyDescent="0.25">
      <c r="B39" s="255" t="s">
        <v>611</v>
      </c>
      <c r="C39" s="256" t="s">
        <v>526</v>
      </c>
      <c r="E39" s="263" t="s">
        <v>869</v>
      </c>
      <c r="F39" s="240">
        <f>+SUMIF('ENE 26'!$C$14:$C$111,'RESUMEN CATEGORIAS'!E39,'ENE 26'!$AM$14:$AM$111)+SUMIF('FEB 26'!$C$14:$C$101,'RESUMEN CATEGORIAS'!E39,'FEB 26'!$AM$14:$AM$101)+SUMIF('MAR 26'!$C$14:$C$101,'RESUMEN CATEGORIAS'!E39,'FEB 26'!$AM$14:$AM$101)+SUMIF('ABR 26'!$C$14:$C$101,'RESUMEN CATEGORIAS'!E39,'ABR 26'!$AM$14:$AM$101)+SUMIF('MAY 26'!$C$14:$C$100,'RESUMEN CATEGORIAS'!E39,'MAY 26'!$AM$14:$AM$100)+SUMIF('JUN 26'!$C$14:$C$103,'RESUMEN CATEGORIAS'!E39,'JUN 26'!$AM$14:$AM$103)</f>
        <v>0</v>
      </c>
      <c r="L39" s="264"/>
      <c r="M39" s="264"/>
      <c r="N39" s="264"/>
      <c r="O39" s="264"/>
    </row>
    <row r="40" spans="2:15" ht="15" x14ac:dyDescent="0.25">
      <c r="B40" s="255" t="s">
        <v>611</v>
      </c>
      <c r="C40" s="272" t="s">
        <v>719</v>
      </c>
      <c r="E40" s="259" t="s">
        <v>837</v>
      </c>
      <c r="F40" s="240">
        <f>+SUMIF('ENE 26'!$C$14:$C$111,'RESUMEN CATEGORIAS'!E40,'ENE 26'!$AM$14:$AM$111)+SUMIF('FEB 26'!$C$14:$C$101,'RESUMEN CATEGORIAS'!E40,'FEB 26'!$AM$14:$AM$101)+SUMIF('MAR 26'!$C$14:$C$101,'RESUMEN CATEGORIAS'!E40,'FEB 26'!$AM$14:$AM$101)+SUMIF('ABR 26'!$C$14:$C$101,'RESUMEN CATEGORIAS'!E40,'ABR 26'!$AM$14:$AM$101)+SUMIF('MAY 26'!$C$14:$C$100,'RESUMEN CATEGORIAS'!E40,'MAY 26'!$AM$14:$AM$100)+SUMIF('JUN 26'!$C$14:$C$103,'RESUMEN CATEGORIAS'!E40,'JUN 26'!$AM$14:$AM$103)</f>
        <v>146</v>
      </c>
      <c r="L40" s="264"/>
      <c r="M40" s="264"/>
      <c r="N40" s="264"/>
      <c r="O40" s="264"/>
    </row>
    <row r="41" spans="2:15" ht="15" x14ac:dyDescent="0.25">
      <c r="B41" s="255" t="s">
        <v>611</v>
      </c>
      <c r="C41" s="272" t="s">
        <v>719</v>
      </c>
      <c r="E41" s="259" t="s">
        <v>596</v>
      </c>
      <c r="F41" s="240">
        <f>+SUMIF('ENE 26'!$C$14:$C$111,'RESUMEN CATEGORIAS'!E41,'ENE 26'!$AM$14:$AM$111)+SUMIF('FEB 26'!$C$14:$C$101,'RESUMEN CATEGORIAS'!E41,'FEB 26'!$AM$14:$AM$101)+SUMIF('MAR 26'!$C$14:$C$101,'RESUMEN CATEGORIAS'!E41,'FEB 26'!$AM$14:$AM$101)+SUMIF('ABR 26'!$C$14:$C$101,'RESUMEN CATEGORIAS'!E41,'ABR 26'!$AM$14:$AM$101)+SUMIF('MAY 26'!$C$14:$C$100,'RESUMEN CATEGORIAS'!E41,'MAY 26'!$AM$14:$AM$100)+SUMIF('JUN 26'!$C$14:$C$103,'RESUMEN CATEGORIAS'!E41,'JUN 26'!$AM$14:$AM$103)</f>
        <v>104</v>
      </c>
      <c r="L41" s="264"/>
      <c r="M41" s="264"/>
      <c r="N41" s="264"/>
      <c r="O41" s="264"/>
    </row>
    <row r="42" spans="2:15" ht="15" x14ac:dyDescent="0.25">
      <c r="B42" s="258" t="s">
        <v>611</v>
      </c>
      <c r="C42" s="272" t="s">
        <v>719</v>
      </c>
      <c r="E42" s="259" t="s">
        <v>682</v>
      </c>
      <c r="F42" s="240">
        <f>+SUMIF('ENE 26'!$C$14:$C$111,'RESUMEN CATEGORIAS'!E42,'ENE 26'!$AM$14:$AM$111)+SUMIF('FEB 26'!$C$14:$C$101,'RESUMEN CATEGORIAS'!E42,'FEB 26'!$AM$14:$AM$101)+SUMIF('MAR 26'!$C$14:$C$101,'RESUMEN CATEGORIAS'!E42,'FEB 26'!$AM$14:$AM$101)+SUMIF('ABR 26'!$C$14:$C$101,'RESUMEN CATEGORIAS'!E42,'ABR 26'!$AM$14:$AM$101)+SUMIF('MAY 26'!$C$14:$C$100,'RESUMEN CATEGORIAS'!E42,'MAY 26'!$AM$14:$AM$100)+SUMIF('JUN 26'!$C$14:$C$103,'RESUMEN CATEGORIAS'!E42,'JUN 26'!$AM$14:$AM$103)</f>
        <v>30</v>
      </c>
      <c r="L42" s="264"/>
      <c r="M42" s="264"/>
      <c r="N42" s="264"/>
      <c r="O42" s="264"/>
    </row>
    <row r="43" spans="2:15" ht="15" x14ac:dyDescent="0.25">
      <c r="B43" s="258" t="s">
        <v>611</v>
      </c>
      <c r="C43" s="272" t="s">
        <v>719</v>
      </c>
      <c r="E43" s="267" t="s">
        <v>681</v>
      </c>
      <c r="F43" s="240">
        <f>+SUMIF('ENE 26'!$C$14:$C$111,'RESUMEN CATEGORIAS'!E43,'ENE 26'!$AM$14:$AM$111)+SUMIF('FEB 26'!$C$14:$C$101,'RESUMEN CATEGORIAS'!E43,'FEB 26'!$AM$14:$AM$101)+SUMIF('MAR 26'!$C$14:$C$101,'RESUMEN CATEGORIAS'!E43,'FEB 26'!$AM$14:$AM$101)+SUMIF('ABR 26'!$C$14:$C$101,'RESUMEN CATEGORIAS'!E43,'ABR 26'!$AM$14:$AM$101)+SUMIF('MAY 26'!$C$14:$C$100,'RESUMEN CATEGORIAS'!E43,'MAY 26'!$AM$14:$AM$100)+SUMIF('JUN 26'!$C$14:$C$103,'RESUMEN CATEGORIAS'!E43,'JUN 26'!$AM$14:$AM$103)</f>
        <v>90</v>
      </c>
      <c r="L43" s="264"/>
      <c r="M43" s="264"/>
      <c r="N43" s="264"/>
      <c r="O43" s="264"/>
    </row>
    <row r="44" spans="2:15" ht="15" x14ac:dyDescent="0.25">
      <c r="B44" s="258" t="s">
        <v>611</v>
      </c>
      <c r="C44" s="272" t="s">
        <v>719</v>
      </c>
      <c r="E44" s="259" t="s">
        <v>828</v>
      </c>
      <c r="F44" s="240">
        <f>+SUMIF('ENE 26'!$C$14:$C$111,'RESUMEN CATEGORIAS'!E44,'ENE 26'!$AM$14:$AM$111)+SUMIF('FEB 26'!$C$14:$C$101,'RESUMEN CATEGORIAS'!E44,'FEB 26'!$AM$14:$AM$101)+SUMIF('MAR 26'!$C$14:$C$101,'RESUMEN CATEGORIAS'!E44,'FEB 26'!$AM$14:$AM$101)+SUMIF('ABR 26'!$C$14:$C$101,'RESUMEN CATEGORIAS'!E44,'ABR 26'!$AM$14:$AM$101)+SUMIF('MAY 26'!$C$14:$C$100,'RESUMEN CATEGORIAS'!E44,'MAY 26'!$AM$14:$AM$100)+SUMIF('JUN 26'!$C$14:$C$103,'RESUMEN CATEGORIAS'!E44,'JUN 26'!$AM$14:$AM$103)</f>
        <v>118</v>
      </c>
      <c r="L44" s="264"/>
      <c r="M44" s="264"/>
      <c r="N44" s="264"/>
      <c r="O44" s="264"/>
    </row>
    <row r="45" spans="2:15" ht="15" x14ac:dyDescent="0.25">
      <c r="B45" s="258" t="s">
        <v>611</v>
      </c>
      <c r="C45" s="272" t="s">
        <v>719</v>
      </c>
      <c r="E45" s="259" t="s">
        <v>680</v>
      </c>
      <c r="F45" s="240">
        <f>+SUMIF('ENE 26'!$C$14:$C$111,'RESUMEN CATEGORIAS'!E45,'ENE 26'!$AM$14:$AM$111)+SUMIF('FEB 26'!$C$14:$C$101,'RESUMEN CATEGORIAS'!E45,'FEB 26'!$AM$14:$AM$101)+SUMIF('MAR 26'!$C$14:$C$101,'RESUMEN CATEGORIAS'!E45,'FEB 26'!$AM$14:$AM$101)+SUMIF('ABR 26'!$C$14:$C$101,'RESUMEN CATEGORIAS'!E45,'ABR 26'!$AM$14:$AM$101)+SUMIF('MAY 26'!$C$14:$C$100,'RESUMEN CATEGORIAS'!E45,'MAY 26'!$AM$14:$AM$100)+SUMIF('JUN 26'!$C$14:$C$103,'RESUMEN CATEGORIAS'!E45,'JUN 26'!$AM$14:$AM$103)</f>
        <v>86</v>
      </c>
      <c r="L45" s="264"/>
      <c r="M45" s="264"/>
      <c r="N45" s="264"/>
      <c r="O45" s="264"/>
    </row>
    <row r="46" spans="2:15" ht="15" x14ac:dyDescent="0.25">
      <c r="B46" s="258" t="s">
        <v>611</v>
      </c>
      <c r="C46" s="272" t="s">
        <v>720</v>
      </c>
      <c r="E46" s="260" t="s">
        <v>495</v>
      </c>
      <c r="F46" s="240">
        <f>+SUMIF('ENE 26'!$C$14:$C$111,'RESUMEN CATEGORIAS'!E46,'ENE 26'!$AM$14:$AM$111)+SUMIF('FEB 26'!$C$14:$C$101,'RESUMEN CATEGORIAS'!E46,'FEB 26'!$AM$14:$AM$101)+SUMIF('MAR 26'!$C$14:$C$101,'RESUMEN CATEGORIAS'!E46,'FEB 26'!$AM$14:$AM$101)+SUMIF('ABR 26'!$C$14:$C$101,'RESUMEN CATEGORIAS'!E46,'ABR 26'!$AM$14:$AM$101)+SUMIF('MAY 26'!$C$14:$C$100,'RESUMEN CATEGORIAS'!E46,'MAY 26'!$AM$14:$AM$100)+SUMIF('JUN 26'!$C$14:$C$103,'RESUMEN CATEGORIAS'!E46,'JUN 26'!$AM$14:$AM$103)</f>
        <v>30</v>
      </c>
      <c r="L46" s="264"/>
      <c r="M46" s="264"/>
      <c r="N46" s="264"/>
      <c r="O46" s="264"/>
    </row>
    <row r="47" spans="2:15" ht="15" x14ac:dyDescent="0.25">
      <c r="B47" s="258" t="s">
        <v>611</v>
      </c>
      <c r="C47" s="272" t="s">
        <v>720</v>
      </c>
      <c r="E47" s="260" t="s">
        <v>521</v>
      </c>
      <c r="F47" s="240">
        <f>+SUMIF('ENE 26'!$C$14:$C$111,'RESUMEN CATEGORIAS'!E47,'ENE 26'!$AM$14:$AM$111)+SUMIF('FEB 26'!$C$14:$C$101,'RESUMEN CATEGORIAS'!E47,'FEB 26'!$AM$14:$AM$101)+SUMIF('MAR 26'!$C$14:$C$101,'RESUMEN CATEGORIAS'!E47,'FEB 26'!$AM$14:$AM$101)+SUMIF('ABR 26'!$C$14:$C$101,'RESUMEN CATEGORIAS'!E47,'ABR 26'!$AM$14:$AM$101)+SUMIF('MAY 26'!$C$14:$C$100,'RESUMEN CATEGORIAS'!E47,'MAY 26'!$AM$14:$AM$100)+SUMIF('JUN 26'!$C$14:$C$103,'RESUMEN CATEGORIAS'!E47,'JUN 26'!$AM$14:$AM$103)</f>
        <v>0</v>
      </c>
      <c r="L47" s="264"/>
      <c r="M47" s="264"/>
      <c r="N47" s="264"/>
      <c r="O47" s="264"/>
    </row>
    <row r="48" spans="2:15" ht="15" x14ac:dyDescent="0.25">
      <c r="B48" s="258" t="s">
        <v>611</v>
      </c>
      <c r="C48" s="272" t="s">
        <v>720</v>
      </c>
      <c r="E48" s="260" t="s">
        <v>850</v>
      </c>
      <c r="F48" s="240">
        <f>+SUMIF('ENE 26'!$C$14:$C$111,'RESUMEN CATEGORIAS'!E48,'ENE 26'!$AM$14:$AM$111)+SUMIF('FEB 26'!$C$14:$C$101,'RESUMEN CATEGORIAS'!E48,'FEB 26'!$AM$14:$AM$101)+SUMIF('MAR 26'!$C$14:$C$101,'RESUMEN CATEGORIAS'!E48,'FEB 26'!$AM$14:$AM$101)+SUMIF('ABR 26'!$C$14:$C$101,'RESUMEN CATEGORIAS'!E48,'ABR 26'!$AM$14:$AM$101)+SUMIF('MAY 26'!$C$14:$C$100,'RESUMEN CATEGORIAS'!E48,'MAY 26'!$AM$14:$AM$100)+SUMIF('JUN 26'!$C$14:$C$103,'RESUMEN CATEGORIAS'!E48,'JUN 26'!$AM$14:$AM$103)</f>
        <v>0</v>
      </c>
      <c r="L48" s="264"/>
      <c r="M48" s="264"/>
      <c r="N48" s="264"/>
      <c r="O48" s="264"/>
    </row>
    <row r="49" spans="2:15" ht="15" x14ac:dyDescent="0.25">
      <c r="B49" s="258" t="s">
        <v>611</v>
      </c>
      <c r="C49" s="272" t="s">
        <v>720</v>
      </c>
      <c r="E49" s="260" t="s">
        <v>492</v>
      </c>
      <c r="F49" s="240">
        <f>+SUMIF('ENE 26'!$C$14:$C$111,'RESUMEN CATEGORIAS'!E49,'ENE 26'!$AM$14:$AM$111)+SUMIF('FEB 26'!$C$14:$C$101,'RESUMEN CATEGORIAS'!E49,'FEB 26'!$AM$14:$AM$101)+SUMIF('MAR 26'!$C$14:$C$101,'RESUMEN CATEGORIAS'!E49,'FEB 26'!$AM$14:$AM$101)+SUMIF('ABR 26'!$C$14:$C$101,'RESUMEN CATEGORIAS'!E49,'ABR 26'!$AM$14:$AM$101)+SUMIF('MAY 26'!$C$14:$C$100,'RESUMEN CATEGORIAS'!E49,'MAY 26'!$AM$14:$AM$100)+SUMIF('JUN 26'!$C$14:$C$103,'RESUMEN CATEGORIAS'!E49,'JUN 26'!$AM$14:$AM$103)</f>
        <v>48</v>
      </c>
      <c r="L49" s="264"/>
      <c r="M49" s="264"/>
      <c r="N49" s="264"/>
      <c r="O49" s="264"/>
    </row>
    <row r="50" spans="2:15" ht="15" x14ac:dyDescent="0.25">
      <c r="B50" s="258" t="s">
        <v>502</v>
      </c>
      <c r="C50" s="272" t="s">
        <v>502</v>
      </c>
      <c r="E50" s="261" t="s">
        <v>910</v>
      </c>
      <c r="F50" s="240">
        <f>+SUMIF('ENE 26'!$C$14:$C$111,'RESUMEN CATEGORIAS'!E50,'ENE 26'!$AM$14:$AM$111)+SUMIF('FEB 26'!$C$14:$C$101,'RESUMEN CATEGORIAS'!E50,'FEB 26'!$AM$14:$AM$101)+SUMIF('MAR 26'!$C$14:$C$101,'RESUMEN CATEGORIAS'!E50,'FEB 26'!$AM$14:$AM$101)+SUMIF('ABR 26'!$C$14:$C$101,'RESUMEN CATEGORIAS'!E50,'ABR 26'!$AM$14:$AM$101)+SUMIF('MAY 26'!$C$14:$C$100,'RESUMEN CATEGORIAS'!E50,'MAY 26'!$AM$14:$AM$100)+SUMIF('JUN 26'!$C$14:$C$103,'RESUMEN CATEGORIAS'!E50,'JUN 26'!$AM$14:$AM$103)</f>
        <v>0</v>
      </c>
      <c r="L50" s="264"/>
      <c r="M50" s="264"/>
      <c r="N50" s="264"/>
      <c r="O50" s="264"/>
    </row>
    <row r="51" spans="2:15" ht="15" x14ac:dyDescent="0.25">
      <c r="B51" s="258" t="s">
        <v>502</v>
      </c>
      <c r="C51" s="272" t="s">
        <v>502</v>
      </c>
      <c r="E51" s="261" t="s">
        <v>697</v>
      </c>
      <c r="F51" s="240">
        <f>+SUMIF('ENE 26'!$C$14:$C$111,'RESUMEN CATEGORIAS'!E51,'ENE 26'!$AM$14:$AM$111)+SUMIF('FEB 26'!$C$14:$C$101,'RESUMEN CATEGORIAS'!E51,'FEB 26'!$AM$14:$AM$101)+SUMIF('MAR 26'!$C$14:$C$101,'RESUMEN CATEGORIAS'!E51,'FEB 26'!$AM$14:$AM$101)+SUMIF('ABR 26'!$C$14:$C$101,'RESUMEN CATEGORIAS'!E51,'ABR 26'!$AM$14:$AM$101)+SUMIF('MAY 26'!$C$14:$C$100,'RESUMEN CATEGORIAS'!E51,'MAY 26'!$AM$14:$AM$100)+SUMIF('JUN 26'!$C$14:$C$103,'RESUMEN CATEGORIAS'!E51,'JUN 26'!$AM$14:$AM$103)</f>
        <v>0</v>
      </c>
    </row>
    <row r="52" spans="2:15" ht="15" x14ac:dyDescent="0.25">
      <c r="B52" s="258" t="s">
        <v>502</v>
      </c>
      <c r="C52" s="272" t="s">
        <v>502</v>
      </c>
      <c r="E52" s="261" t="s">
        <v>907</v>
      </c>
      <c r="F52" s="240">
        <f>+SUMIF('ENE 26'!$C$14:$C$111,'RESUMEN CATEGORIAS'!E52,'ENE 26'!$AM$14:$AM$111)+SUMIF('FEB 26'!$C$14:$C$101,'RESUMEN CATEGORIAS'!E52,'FEB 26'!$AM$14:$AM$101)+SUMIF('MAR 26'!$C$14:$C$101,'RESUMEN CATEGORIAS'!E52,'FEB 26'!$AM$14:$AM$101)+SUMIF('ABR 26'!$C$14:$C$101,'RESUMEN CATEGORIAS'!E52,'ABR 26'!$AM$14:$AM$101)+SUMIF('MAY 26'!$C$14:$C$100,'RESUMEN CATEGORIAS'!E52,'MAY 26'!$AM$14:$AM$100)+SUMIF('JUN 26'!$C$14:$C$103,'RESUMEN CATEGORIAS'!E52,'JUN 26'!$AM$14:$AM$103)</f>
        <v>0</v>
      </c>
    </row>
    <row r="53" spans="2:15" ht="15" x14ac:dyDescent="0.25">
      <c r="B53" s="258" t="s">
        <v>502</v>
      </c>
      <c r="C53" s="272" t="s">
        <v>502</v>
      </c>
      <c r="E53" s="261" t="s">
        <v>639</v>
      </c>
      <c r="F53" s="240">
        <f>+SUMIF('ENE 26'!$C$14:$C$111,'RESUMEN CATEGORIAS'!E53,'ENE 26'!$AM$14:$AM$111)+SUMIF('FEB 26'!$C$14:$C$101,'RESUMEN CATEGORIAS'!E53,'FEB 26'!$AM$14:$AM$101)+SUMIF('MAR 26'!$C$14:$C$101,'RESUMEN CATEGORIAS'!E53,'FEB 26'!$AM$14:$AM$101)+SUMIF('ABR 26'!$C$14:$C$101,'RESUMEN CATEGORIAS'!E53,'ABR 26'!$AM$14:$AM$101)+SUMIF('MAY 26'!$C$14:$C$100,'RESUMEN CATEGORIAS'!E53,'MAY 26'!$AM$14:$AM$100)+SUMIF('JUN 26'!$C$14:$C$103,'RESUMEN CATEGORIAS'!E53,'JUN 26'!$AM$14:$AM$103)</f>
        <v>0</v>
      </c>
    </row>
    <row r="54" spans="2:15" ht="15" x14ac:dyDescent="0.25">
      <c r="B54" s="258" t="s">
        <v>502</v>
      </c>
      <c r="C54" s="272" t="s">
        <v>502</v>
      </c>
      <c r="E54" s="261" t="s">
        <v>903</v>
      </c>
      <c r="F54" s="240">
        <f>+SUMIF('ENE 26'!$C$14:$C$111,'RESUMEN CATEGORIAS'!E54,'ENE 26'!$AM$14:$AM$111)+SUMIF('FEB 26'!$C$14:$C$101,'RESUMEN CATEGORIAS'!E54,'FEB 26'!$AM$14:$AM$101)+SUMIF('MAR 26'!$C$14:$C$101,'RESUMEN CATEGORIAS'!E54,'FEB 26'!$AM$14:$AM$101)+SUMIF('ABR 26'!$C$14:$C$101,'RESUMEN CATEGORIAS'!E54,'ABR 26'!$AM$14:$AM$101)+SUMIF('MAY 26'!$C$14:$C$100,'RESUMEN CATEGORIAS'!E54,'MAY 26'!$AM$14:$AM$100)+SUMIF('JUN 26'!$C$14:$C$103,'RESUMEN CATEGORIAS'!E54,'JUN 26'!$AM$14:$AM$103)</f>
        <v>0</v>
      </c>
    </row>
    <row r="55" spans="2:15" ht="15" x14ac:dyDescent="0.25">
      <c r="B55" s="258" t="s">
        <v>502</v>
      </c>
      <c r="C55" s="272" t="s">
        <v>502</v>
      </c>
      <c r="E55" s="261" t="s">
        <v>889</v>
      </c>
      <c r="F55" s="240">
        <f>+SUMIF('ENE 26'!$C$14:$C$111,'RESUMEN CATEGORIAS'!E55,'ENE 26'!$AM$14:$AM$111)+SUMIF('FEB 26'!$C$14:$C$101,'RESUMEN CATEGORIAS'!E55,'FEB 26'!$AM$14:$AM$101)+SUMIF('MAR 26'!$C$14:$C$101,'RESUMEN CATEGORIAS'!E55,'FEB 26'!$AM$14:$AM$101)+SUMIF('ABR 26'!$C$14:$C$101,'RESUMEN CATEGORIAS'!E55,'ABR 26'!$AM$14:$AM$101)+SUMIF('MAY 26'!$C$14:$C$100,'RESUMEN CATEGORIAS'!E55,'MAY 26'!$AM$14:$AM$100)+SUMIF('JUN 26'!$C$14:$C$103,'RESUMEN CATEGORIAS'!E55,'JUN 26'!$AM$14:$AM$103)</f>
        <v>0</v>
      </c>
    </row>
    <row r="56" spans="2:15" ht="15" x14ac:dyDescent="0.25">
      <c r="B56" s="258" t="s">
        <v>502</v>
      </c>
      <c r="C56" s="272" t="s">
        <v>502</v>
      </c>
      <c r="E56" s="261" t="s">
        <v>692</v>
      </c>
      <c r="F56" s="240">
        <f>+SUMIF('ENE 26'!$C$14:$C$111,'RESUMEN CATEGORIAS'!E56,'ENE 26'!$AM$14:$AM$111)+SUMIF('FEB 26'!$C$14:$C$101,'RESUMEN CATEGORIAS'!E56,'FEB 26'!$AM$14:$AM$101)+SUMIF('MAR 26'!$C$14:$C$101,'RESUMEN CATEGORIAS'!E56,'FEB 26'!$AM$14:$AM$101)+SUMIF('ABR 26'!$C$14:$C$101,'RESUMEN CATEGORIAS'!E56,'ABR 26'!$AM$14:$AM$101)+SUMIF('MAY 26'!$C$14:$C$100,'RESUMEN CATEGORIAS'!E56,'MAY 26'!$AM$14:$AM$100)+SUMIF('JUN 26'!$C$14:$C$103,'RESUMEN CATEGORIAS'!E56,'JUN 26'!$AM$14:$AM$103)</f>
        <v>86</v>
      </c>
    </row>
    <row r="57" spans="2:15" ht="15" x14ac:dyDescent="0.25">
      <c r="B57" s="258" t="s">
        <v>502</v>
      </c>
      <c r="C57" s="272" t="s">
        <v>502</v>
      </c>
      <c r="E57" s="261" t="s">
        <v>794</v>
      </c>
      <c r="F57" s="240">
        <f>+SUMIF('ENE 26'!$C$14:$C$111,'RESUMEN CATEGORIAS'!E57,'ENE 26'!$AM$14:$AM$111)+SUMIF('FEB 26'!$C$14:$C$101,'RESUMEN CATEGORIAS'!E57,'FEB 26'!$AM$14:$AM$101)+SUMIF('MAR 26'!$C$14:$C$101,'RESUMEN CATEGORIAS'!E57,'FEB 26'!$AM$14:$AM$101)+SUMIF('ABR 26'!$C$14:$C$101,'RESUMEN CATEGORIAS'!E57,'ABR 26'!$AM$14:$AM$101)+SUMIF('MAY 26'!$C$14:$C$100,'RESUMEN CATEGORIAS'!E57,'MAY 26'!$AM$14:$AM$100)+SUMIF('JUN 26'!$C$14:$C$103,'RESUMEN CATEGORIAS'!E57,'JUN 26'!$AM$14:$AM$103)</f>
        <v>40</v>
      </c>
    </row>
    <row r="58" spans="2:15" ht="15" x14ac:dyDescent="0.25">
      <c r="B58" s="258" t="s">
        <v>502</v>
      </c>
      <c r="C58" s="272" t="s">
        <v>502</v>
      </c>
      <c r="E58" s="262" t="s">
        <v>801</v>
      </c>
      <c r="F58" s="240">
        <f>+SUMIF('ENE 26'!$C$14:$C$111,'RESUMEN CATEGORIAS'!E58,'ENE 26'!$AM$14:$AM$111)+SUMIF('FEB 26'!$C$14:$C$101,'RESUMEN CATEGORIAS'!E58,'FEB 26'!$AM$14:$AM$101)+SUMIF('MAR 26'!$C$14:$C$101,'RESUMEN CATEGORIAS'!E58,'FEB 26'!$AM$14:$AM$101)+SUMIF('ABR 26'!$C$14:$C$101,'RESUMEN CATEGORIAS'!E58,'ABR 26'!$AM$14:$AM$101)+SUMIF('MAY 26'!$C$14:$C$100,'RESUMEN CATEGORIAS'!E58,'MAY 26'!$AM$14:$AM$100)+SUMIF('JUN 26'!$C$14:$C$103,'RESUMEN CATEGORIAS'!E58,'JUN 26'!$AM$14:$AM$103)</f>
        <v>34</v>
      </c>
    </row>
    <row r="59" spans="2:15" ht="15" x14ac:dyDescent="0.25">
      <c r="B59" s="258" t="s">
        <v>502</v>
      </c>
      <c r="C59" s="272" t="s">
        <v>502</v>
      </c>
      <c r="E59" s="275" t="s">
        <v>691</v>
      </c>
      <c r="F59" s="240">
        <f>+SUMIF('ENE 26'!$C$14:$C$111,'RESUMEN CATEGORIAS'!E59,'ENE 26'!$AM$14:$AM$111)+SUMIF('FEB 26'!$C$14:$C$101,'RESUMEN CATEGORIAS'!E59,'FEB 26'!$AM$14:$AM$101)+SUMIF('MAR 26'!$C$14:$C$101,'RESUMEN CATEGORIAS'!E59,'FEB 26'!$AM$14:$AM$101)+SUMIF('ABR 26'!$C$14:$C$101,'RESUMEN CATEGORIAS'!E59,'ABR 26'!$AM$14:$AM$101)+SUMIF('MAY 26'!$C$14:$C$100,'RESUMEN CATEGORIAS'!E59,'MAY 26'!$AM$14:$AM$100)+SUMIF('JUN 26'!$C$14:$C$103,'RESUMEN CATEGORIAS'!E59,'JUN 26'!$AM$14:$AM$103)</f>
        <v>0</v>
      </c>
    </row>
  </sheetData>
  <autoFilter ref="B32:F32"/>
  <mergeCells count="5">
    <mergeCell ref="B31:F31"/>
    <mergeCell ref="B22:C22"/>
    <mergeCell ref="B21:C21"/>
    <mergeCell ref="B23:C23"/>
    <mergeCell ref="B24:C24"/>
  </mergeCells>
  <phoneticPr fontId="58" type="noConversion"/>
  <conditionalFormatting sqref="R7:R11 K7:K13 R21:R25 K21:K27">
    <cfRule type="cellIs" dxfId="254" priority="34" operator="greaterThan">
      <formula>$AD$15</formula>
    </cfRule>
    <cfRule type="cellIs" dxfId="253" priority="35" operator="between">
      <formula>$AD$15</formula>
      <formula>$AD$14</formula>
    </cfRule>
    <cfRule type="cellIs" dxfId="252" priority="36" operator="lessThan">
      <formula>$AD$14</formula>
    </cfRule>
  </conditionalFormatting>
  <conditionalFormatting sqref="AS7:AS10">
    <cfRule type="cellIs" dxfId="251" priority="5" operator="lessThan">
      <formula>0.2</formula>
    </cfRule>
    <cfRule type="cellIs" dxfId="250" priority="6" operator="greaterThan">
      <formula>0.3</formula>
    </cfRule>
  </conditionalFormatting>
  <conditionalFormatting sqref="AS21:AS24">
    <cfRule type="cellIs" dxfId="249" priority="3" operator="lessThan">
      <formula>0.2</formula>
    </cfRule>
    <cfRule type="cellIs" dxfId="248" priority="4" operator="greaterThan">
      <formula>0.3</formula>
    </cfRule>
  </conditionalFormatting>
  <conditionalFormatting sqref="AT21:AT24">
    <cfRule type="cellIs" dxfId="247" priority="1" operator="lessThan">
      <formula>3</formula>
    </cfRule>
    <cfRule type="cellIs" dxfId="246" priority="2" operator="greaterThanOrEqual">
      <formula>3</formula>
    </cfRule>
  </conditionalFormatting>
  <pageMargins left="0.7" right="0.7" top="0.75" bottom="0.75" header="0.3" footer="0.3"/>
  <pageSetup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">
    <tabColor rgb="FF92D050"/>
    <pageSetUpPr fitToPage="1"/>
  </sheetPr>
  <dimension ref="A1:XER227"/>
  <sheetViews>
    <sheetView showGridLines="0" zoomScale="60" zoomScaleNormal="60" workbookViewId="0">
      <pane xSplit="11" ySplit="13" topLeftCell="L14" activePane="bottomRight" state="frozen"/>
      <selection activeCell="L14" sqref="L14"/>
      <selection pane="topRight" activeCell="L14" sqref="L14"/>
      <selection pane="bottomLeft" activeCell="L14" sqref="L14"/>
      <selection pane="bottomRight" activeCell="U22" sqref="U22"/>
    </sheetView>
  </sheetViews>
  <sheetFormatPr baseColWidth="10" defaultColWidth="11.42578125" defaultRowHeight="12.75" x14ac:dyDescent="0.2"/>
  <cols>
    <col min="1" max="1" width="11.42578125" style="7"/>
    <col min="2" max="2" width="8.42578125" style="7" customWidth="1"/>
    <col min="3" max="3" width="40.7109375" style="7" customWidth="1"/>
    <col min="4" max="4" width="36" style="7" bestFit="1" customWidth="1"/>
    <col min="5" max="5" width="20.28515625" style="7" bestFit="1" customWidth="1"/>
    <col min="6" max="7" width="16.42578125" style="7" customWidth="1"/>
    <col min="8" max="8" width="3.42578125" style="7" customWidth="1"/>
    <col min="9" max="9" width="14" style="7" bestFit="1" customWidth="1"/>
    <col min="10" max="10" width="17.7109375" style="7" bestFit="1" customWidth="1"/>
    <col min="11" max="11" width="4.7109375" style="7" hidden="1" customWidth="1"/>
    <col min="12" max="26" width="7.28515625" style="7" customWidth="1"/>
    <col min="27" max="28" width="6.85546875" style="7" bestFit="1" customWidth="1"/>
    <col min="29" max="32" width="8.42578125" style="7" bestFit="1" customWidth="1"/>
    <col min="33" max="33" width="6.85546875" style="7" bestFit="1" customWidth="1"/>
    <col min="34" max="38" width="7.28515625" style="7" customWidth="1"/>
    <col min="39" max="39" width="13.28515625" style="7" customWidth="1"/>
    <col min="40" max="40" width="12.7109375" style="7" customWidth="1"/>
    <col min="41" max="41" width="23.28515625" style="7" customWidth="1"/>
    <col min="42" max="42" width="19.28515625" style="7" hidden="1" customWidth="1"/>
    <col min="43" max="43" width="5" style="7" customWidth="1"/>
    <col min="44" max="16368" width="11.42578125" style="7"/>
    <col min="16369" max="16372" width="11.42578125" style="7" hidden="1" customWidth="1"/>
    <col min="16373" max="16373" width="11.42578125" style="7" customWidth="1"/>
    <col min="16374" max="16384" width="11.42578125" style="7"/>
  </cols>
  <sheetData>
    <row r="1" spans="1:249 16369:16372" ht="27.75" customHeight="1" x14ac:dyDescent="0.2">
      <c r="B1" s="75"/>
      <c r="C1" s="84" t="s">
        <v>817</v>
      </c>
      <c r="D1" s="85"/>
      <c r="E1" s="85"/>
      <c r="F1" s="85"/>
      <c r="G1" s="85"/>
      <c r="H1" s="85"/>
      <c r="I1" s="85"/>
      <c r="J1" s="85"/>
    </row>
    <row r="2" spans="1:249 16369:16372" ht="6" customHeight="1" x14ac:dyDescent="0.2"/>
    <row r="3" spans="1:249 16369:16372" ht="20.25" x14ac:dyDescent="0.2">
      <c r="C3" s="31" t="s">
        <v>54</v>
      </c>
      <c r="D3" s="83" t="s">
        <v>2</v>
      </c>
      <c r="I3" s="32"/>
      <c r="J3" s="32"/>
    </row>
    <row r="4" spans="1:249 16369:16372" ht="6" customHeight="1" x14ac:dyDescent="0.2"/>
    <row r="5" spans="1:249 16369:16372" ht="23.25" x14ac:dyDescent="0.2">
      <c r="C5" s="31" t="s">
        <v>4</v>
      </c>
      <c r="D5" s="305" t="str">
        <f>+IF(D7="","",(VLOOKUP(D7,AUX!$A$1:$B$5610,2,FALSE)))</f>
        <v/>
      </c>
      <c r="E5" s="306"/>
      <c r="F5" s="306"/>
      <c r="G5" s="306"/>
      <c r="H5" s="306"/>
      <c r="I5" s="306"/>
      <c r="J5" s="307"/>
    </row>
    <row r="6" spans="1:249 16369:16372" ht="6" customHeight="1" thickBot="1" x14ac:dyDescent="0.25"/>
    <row r="7" spans="1:249 16369:16372" ht="23.25" x14ac:dyDescent="0.35">
      <c r="C7" s="31" t="s">
        <v>53</v>
      </c>
      <c r="D7" s="86"/>
      <c r="E7" s="33"/>
      <c r="F7" s="33"/>
      <c r="G7" s="33"/>
      <c r="H7" s="34"/>
      <c r="I7" s="314" t="s">
        <v>55</v>
      </c>
      <c r="J7" s="315"/>
      <c r="K7" s="315"/>
      <c r="L7" s="315"/>
      <c r="M7" s="315"/>
      <c r="N7" s="315"/>
      <c r="O7" s="316"/>
    </row>
    <row r="8" spans="1:249 16369:16372" ht="6" customHeight="1" thickBot="1" x14ac:dyDescent="0.25">
      <c r="I8" s="317"/>
      <c r="J8" s="318"/>
      <c r="K8" s="318"/>
      <c r="L8" s="318"/>
      <c r="M8" s="319"/>
      <c r="N8" s="319"/>
      <c r="O8" s="320"/>
    </row>
    <row r="9" spans="1:249 16369:16372" ht="27" customHeight="1" thickBot="1" x14ac:dyDescent="0.25">
      <c r="C9" s="31"/>
      <c r="D9" s="124" t="str">
        <f>+AUX!J3</f>
        <v>ENE 2026</v>
      </c>
      <c r="I9" s="35" t="s">
        <v>52</v>
      </c>
      <c r="J9" s="321">
        <f>+AM9</f>
        <v>302</v>
      </c>
      <c r="K9" s="322"/>
      <c r="L9" s="273" t="s">
        <v>35</v>
      </c>
      <c r="M9" s="323">
        <f>+AM9</f>
        <v>302</v>
      </c>
      <c r="N9" s="324"/>
      <c r="O9" s="324"/>
      <c r="P9" s="324"/>
      <c r="Q9" s="325"/>
      <c r="R9" s="274"/>
      <c r="S9" s="274"/>
      <c r="AM9" s="77">
        <f>SUM(AM14:AM104)</f>
        <v>302</v>
      </c>
      <c r="AO9" s="78">
        <f>SUM(AO14:AO104)</f>
        <v>10926096.256684493</v>
      </c>
    </row>
    <row r="10" spans="1:249 16369:16372" ht="6" customHeight="1" thickBot="1" x14ac:dyDescent="0.25"/>
    <row r="11" spans="1:249 16369:16372" ht="21" thickBot="1" x14ac:dyDescent="0.25">
      <c r="C11" s="1"/>
      <c r="D11" s="1"/>
      <c r="E11" s="1"/>
      <c r="F11" s="1"/>
      <c r="G11" s="1"/>
      <c r="H11" s="308" t="s">
        <v>6</v>
      </c>
      <c r="I11" s="309"/>
      <c r="J11" s="3" t="s">
        <v>51</v>
      </c>
      <c r="K11" s="4"/>
      <c r="L11" s="5" t="s">
        <v>7</v>
      </c>
      <c r="M11" s="6" t="s">
        <v>8</v>
      </c>
      <c r="N11" s="6" t="s">
        <v>9</v>
      </c>
      <c r="O11" s="6" t="s">
        <v>10</v>
      </c>
      <c r="P11" s="6" t="s">
        <v>11</v>
      </c>
      <c r="Q11" s="5" t="s">
        <v>12</v>
      </c>
      <c r="R11" s="6" t="s">
        <v>13</v>
      </c>
      <c r="S11" s="6" t="s">
        <v>14</v>
      </c>
      <c r="T11" s="6" t="s">
        <v>15</v>
      </c>
      <c r="U11" s="6" t="s">
        <v>16</v>
      </c>
      <c r="V11" s="6" t="s">
        <v>17</v>
      </c>
      <c r="W11" s="6" t="s">
        <v>18</v>
      </c>
      <c r="X11" s="6" t="s">
        <v>19</v>
      </c>
      <c r="Y11" s="6" t="s">
        <v>20</v>
      </c>
      <c r="Z11" s="6" t="s">
        <v>21</v>
      </c>
      <c r="AA11" s="5" t="s">
        <v>22</v>
      </c>
      <c r="AB11" s="6" t="s">
        <v>23</v>
      </c>
      <c r="AC11" s="6" t="s">
        <v>24</v>
      </c>
      <c r="AD11" s="6" t="s">
        <v>25</v>
      </c>
      <c r="AE11" s="6" t="s">
        <v>26</v>
      </c>
      <c r="AF11" s="6" t="s">
        <v>27</v>
      </c>
      <c r="AG11" s="6" t="s">
        <v>28</v>
      </c>
      <c r="AH11" s="6" t="s">
        <v>29</v>
      </c>
      <c r="AI11" s="6" t="s">
        <v>30</v>
      </c>
      <c r="AJ11" s="6" t="s">
        <v>31</v>
      </c>
      <c r="AK11" s="6" t="s">
        <v>32</v>
      </c>
      <c r="AL11" s="6" t="s">
        <v>33</v>
      </c>
      <c r="AM11" s="81" t="s">
        <v>34</v>
      </c>
      <c r="AN11" s="2" t="s">
        <v>5</v>
      </c>
      <c r="AO11" s="79" t="s">
        <v>35</v>
      </c>
    </row>
    <row r="12" spans="1:249 16369:16372" ht="21" thickBot="1" x14ac:dyDescent="0.25">
      <c r="H12" s="310" t="s">
        <v>37</v>
      </c>
      <c r="I12" s="311"/>
      <c r="J12" s="9" t="s">
        <v>670</v>
      </c>
      <c r="K12" s="10"/>
      <c r="L12" s="226"/>
      <c r="M12" s="189"/>
      <c r="N12" s="189"/>
      <c r="O12" s="189"/>
      <c r="P12" s="189"/>
      <c r="Q12" s="95"/>
      <c r="R12" s="189"/>
      <c r="S12" s="189"/>
      <c r="T12" s="189"/>
      <c r="U12" s="227"/>
      <c r="V12" s="189"/>
      <c r="W12" s="189"/>
      <c r="X12" s="189"/>
      <c r="Y12" s="189"/>
      <c r="Z12" s="228"/>
      <c r="AA12" s="229"/>
      <c r="AB12" s="189"/>
      <c r="AC12" s="189"/>
      <c r="AD12" s="189"/>
      <c r="AE12" s="189"/>
      <c r="AF12" s="230"/>
      <c r="AG12" s="230"/>
      <c r="AH12" s="230"/>
      <c r="AI12" s="231"/>
      <c r="AJ12" s="95"/>
      <c r="AK12" s="230"/>
      <c r="AL12" s="230"/>
      <c r="AM12" s="82" t="s">
        <v>38</v>
      </c>
      <c r="AN12" s="8" t="s">
        <v>36</v>
      </c>
      <c r="AO12" s="80" t="s">
        <v>38</v>
      </c>
      <c r="HQ12" s="123"/>
      <c r="HR12" s="123"/>
      <c r="HS12" s="123"/>
      <c r="HT12" s="123"/>
      <c r="HU12" s="123"/>
      <c r="HV12" s="123"/>
      <c r="HW12" s="123"/>
      <c r="HX12" s="123"/>
      <c r="HY12" s="123"/>
      <c r="HZ12" s="123"/>
      <c r="IA12" s="123"/>
      <c r="IB12" s="123"/>
      <c r="ID12" s="123"/>
      <c r="IE12" s="123"/>
      <c r="IF12" s="123"/>
      <c r="IG12" s="123"/>
      <c r="IH12" s="123"/>
      <c r="II12" s="123"/>
      <c r="IJ12" s="123"/>
      <c r="IK12" s="123"/>
      <c r="IL12" s="123"/>
      <c r="IM12" s="123"/>
      <c r="IN12" s="123"/>
      <c r="IO12" s="123"/>
      <c r="XEO12" s="7">
        <f>+SUM(XEO14:XEO104)</f>
        <v>64</v>
      </c>
      <c r="XEP12" s="7">
        <f>+SUM(XEP14:XEP104)</f>
        <v>0</v>
      </c>
      <c r="XEQ12" s="7">
        <f>+SUM(XEQ14:XEQ104)</f>
        <v>0</v>
      </c>
      <c r="XER12" s="7">
        <f>+SUM(XER14:XER104)</f>
        <v>66</v>
      </c>
    </row>
    <row r="13" spans="1:249 16369:16372" ht="20.25" x14ac:dyDescent="0.2">
      <c r="A13" s="75" t="s">
        <v>437</v>
      </c>
      <c r="B13" s="75"/>
      <c r="C13" s="75" t="s">
        <v>39</v>
      </c>
      <c r="D13" s="75" t="s">
        <v>40</v>
      </c>
      <c r="E13" s="75" t="s">
        <v>56</v>
      </c>
      <c r="F13" s="75" t="s">
        <v>373</v>
      </c>
      <c r="G13" s="75" t="s">
        <v>380</v>
      </c>
      <c r="H13" s="185"/>
      <c r="I13" s="186"/>
      <c r="J13" s="187"/>
      <c r="K13" s="188"/>
      <c r="L13" s="312"/>
      <c r="M13" s="313"/>
      <c r="N13" s="189"/>
      <c r="O13" s="190"/>
      <c r="P13" s="191"/>
      <c r="Q13" s="192"/>
      <c r="R13" s="189"/>
      <c r="S13" s="189"/>
      <c r="T13" s="189"/>
      <c r="U13" s="189"/>
      <c r="V13" s="189"/>
      <c r="W13" s="189"/>
      <c r="X13" s="189"/>
      <c r="Y13" s="190"/>
      <c r="Z13" s="191"/>
      <c r="AA13" s="193"/>
      <c r="AB13" s="189"/>
      <c r="AC13" s="189"/>
      <c r="AD13" s="189"/>
      <c r="AE13" s="189"/>
      <c r="AF13" s="189"/>
      <c r="AG13" s="189"/>
      <c r="AH13" s="189"/>
      <c r="AI13" s="194"/>
      <c r="AJ13" s="189"/>
      <c r="AK13" s="189"/>
      <c r="AL13" s="189"/>
      <c r="AM13" s="195"/>
      <c r="AN13" s="11"/>
      <c r="AO13" s="196"/>
      <c r="AP13" s="75" t="s">
        <v>442</v>
      </c>
      <c r="AQ13" s="75" t="s">
        <v>616</v>
      </c>
      <c r="HZ13" s="123"/>
      <c r="IA13" s="123"/>
      <c r="IB13" s="123"/>
      <c r="IM13" s="123"/>
      <c r="IN13" s="123"/>
      <c r="IO13" s="123"/>
      <c r="XEO13" s="7" t="s">
        <v>451</v>
      </c>
      <c r="XEP13" s="7" t="s">
        <v>617</v>
      </c>
      <c r="XEQ13" s="7" t="s">
        <v>618</v>
      </c>
      <c r="XER13" s="7" t="s">
        <v>453</v>
      </c>
    </row>
    <row r="14" spans="1:249 16369:16372" s="277" customFormat="1" ht="23.25" customHeight="1" x14ac:dyDescent="0.25">
      <c r="A14" s="276" t="str">
        <f>IF($I14&gt;0,VLOOKUP(I14,'Lista de Precios'!$A$3:$L$2883,9,0),0)</f>
        <v>Hombre</v>
      </c>
      <c r="B14" s="276" t="str">
        <f>IF($I14&gt;0,VLOOKUP(I14,'Lista de Precios'!$A$3:$H$2883,7,0),0)</f>
        <v>CONT</v>
      </c>
      <c r="C14" s="277" t="str">
        <f>IF($I14&gt;0,VLOOKUP(I14,'Lista de Precios'!$A$3:$H$2883,2,0),"")</f>
        <v>FAST 2.0</v>
      </c>
      <c r="D14" s="277" t="str">
        <f>IF($I14&gt;0,VLOOKUP(I14,'Lista de Precios'!$A$3:$H$2883,3,0),"")</f>
        <v>NEGRO/GRIS MAGNET/BLANCO</v>
      </c>
      <c r="E14" s="278" t="str">
        <f>IF($I14&gt;0,VLOOKUP(I14,'Lista de Precios'!$A$3:$H$2883,6,0),"")</f>
        <v>ENERO</v>
      </c>
      <c r="F14" s="278" t="str">
        <f>IF($I14&gt;0,VLOOKUP(I14,'Lista de Precios'!$A$3:$H$2883,8,0),"")</f>
        <v>35 AL 46</v>
      </c>
      <c r="G14" s="279">
        <f>IF(AN14="","",AN14*1.87)</f>
        <v>74900</v>
      </c>
      <c r="H14" s="280" t="s">
        <v>3</v>
      </c>
      <c r="I14" s="281">
        <v>25860</v>
      </c>
      <c r="J14" s="282" t="str">
        <f t="shared" ref="J14:J59" si="0">+E14</f>
        <v>ENERO</v>
      </c>
      <c r="K14" s="283"/>
      <c r="L14" s="284"/>
      <c r="M14" s="284"/>
      <c r="N14" s="284"/>
      <c r="O14" s="284"/>
      <c r="P14" s="285"/>
      <c r="Q14" s="286"/>
      <c r="R14" s="284"/>
      <c r="S14" s="284"/>
      <c r="T14" s="284"/>
      <c r="U14" s="284"/>
      <c r="V14" s="284"/>
      <c r="W14" s="284"/>
      <c r="X14" s="284"/>
      <c r="Y14" s="284"/>
      <c r="Z14" s="285"/>
      <c r="AA14" s="287"/>
      <c r="AB14" s="284"/>
      <c r="AC14" s="284"/>
      <c r="AD14" s="284"/>
      <c r="AE14" s="284"/>
      <c r="AF14" s="284">
        <v>4</v>
      </c>
      <c r="AG14" s="284">
        <v>6</v>
      </c>
      <c r="AH14" s="284">
        <v>4</v>
      </c>
      <c r="AI14" s="284">
        <v>4</v>
      </c>
      <c r="AJ14" s="284"/>
      <c r="AK14" s="288">
        <v>2</v>
      </c>
      <c r="AL14" s="288">
        <v>2</v>
      </c>
      <c r="AM14" s="289">
        <f t="shared" ref="AM14:AM53" si="1">+IF(I14&gt;0,SUM(L14:AL14),0)</f>
        <v>22</v>
      </c>
      <c r="AN14" s="290">
        <f>+IF($I14&gt;0,VLOOKUP($I14,'Lista de Precios'!$A$3:$H$2883,4,0),"")</f>
        <v>40053.475935828872</v>
      </c>
      <c r="AO14" s="291">
        <f t="shared" ref="AO14:AO59" si="2">+IF(AM14&gt;0,AN14*AM14,"")</f>
        <v>881176.47058823518</v>
      </c>
      <c r="AP14" s="277" t="str">
        <f>IF($I14&gt;0,VLOOKUP($I14,'Lista de Precios'!$A$3:$K$2883,10,0),"")</f>
        <v>Running</v>
      </c>
      <c r="AQ14" s="277" t="str">
        <f>IF($I14&gt;0,VLOOKUP($I14,'Lista de Precios'!$A$3:$M$49893,13,0),"")</f>
        <v>Running+Training</v>
      </c>
      <c r="HQ14" s="292"/>
      <c r="HR14" s="292"/>
      <c r="HS14" s="292"/>
      <c r="HT14" s="292"/>
      <c r="HU14" s="292"/>
      <c r="HV14" s="292"/>
      <c r="HW14" s="292"/>
      <c r="HX14" s="292"/>
      <c r="HY14" s="292"/>
      <c r="HZ14" s="292"/>
      <c r="IA14" s="292"/>
      <c r="IB14" s="292"/>
      <c r="ID14" s="292"/>
      <c r="IE14" s="292"/>
      <c r="IF14" s="292"/>
      <c r="IG14" s="292"/>
      <c r="IH14" s="292"/>
      <c r="II14" s="292"/>
      <c r="IJ14" s="292"/>
      <c r="IK14" s="292"/>
      <c r="IL14" s="292"/>
      <c r="IM14" s="293"/>
      <c r="IN14" s="293"/>
      <c r="IO14" s="293"/>
      <c r="XEO14" s="277" t="str">
        <f t="shared" ref="XEO14:XEO53" si="3">+IF($AQ14=$XEO$13,$AM14,"")</f>
        <v/>
      </c>
      <c r="XEP14" s="277" t="str">
        <f t="shared" ref="XEP14:XEP53" si="4">+IF($AQ14=$XEP$13,$AM14,"")</f>
        <v/>
      </c>
      <c r="XEQ14" s="277" t="str">
        <f t="shared" ref="XEQ14:XEQ53" si="5">+IF($AQ14=$XEQ$13,$AM14,"")</f>
        <v/>
      </c>
      <c r="XER14" s="277" t="str">
        <f t="shared" ref="XER14:XER53" si="6">+IF($AQ14=$XER$13,$AM14,"")</f>
        <v/>
      </c>
    </row>
    <row r="15" spans="1:249 16369:16372" ht="23.25" customHeight="1" x14ac:dyDescent="0.25">
      <c r="A15" s="74" t="str">
        <f>IF($I15&gt;0,VLOOKUP(I15,'Lista de Precios'!$A$3:$L$2883,9,0),0)</f>
        <v>Hombre</v>
      </c>
      <c r="B15" s="74" t="str">
        <f>IF($I15&gt;0,VLOOKUP(I15,'Lista de Precios'!$A$3:$H$2883,7,0),0)</f>
        <v>CONT</v>
      </c>
      <c r="C15" s="7" t="str">
        <f>IF($I15&gt;0,VLOOKUP(I15,'Lista de Precios'!$A$3:$H$2883,2,0),"")</f>
        <v>WIND 5</v>
      </c>
      <c r="D15" s="7" t="str">
        <f>IF($I15&gt;0,VLOOKUP(I15,'Lista de Precios'!$A$3:$H$2883,3,0),"")</f>
        <v>NEGRO/GRIS</v>
      </c>
      <c r="E15" s="76" t="str">
        <f>IF($I15&gt;0,VLOOKUP(I15,'Lista de Precios'!$A$3:$H$2883,6,0),"")</f>
        <v>ENERO</v>
      </c>
      <c r="F15" s="76" t="str">
        <f>IF($I15&gt;0,VLOOKUP(I15,'Lista de Precios'!$A$3:$H$2883,8,0),"")</f>
        <v>35 AL 45</v>
      </c>
      <c r="G15" s="101">
        <f t="shared" ref="G15:G59" si="7">IF(AN15="","",AN15*1.87)</f>
        <v>68900</v>
      </c>
      <c r="H15" s="20" t="s">
        <v>3</v>
      </c>
      <c r="I15" s="18">
        <v>25787</v>
      </c>
      <c r="J15" s="28" t="str">
        <f t="shared" si="0"/>
        <v>ENERO</v>
      </c>
      <c r="K15" s="24"/>
      <c r="L15" s="37"/>
      <c r="M15" s="37"/>
      <c r="N15" s="37"/>
      <c r="O15" s="37"/>
      <c r="P15" s="40"/>
      <c r="Q15" s="39"/>
      <c r="R15" s="37"/>
      <c r="S15" s="37"/>
      <c r="T15" s="37"/>
      <c r="U15" s="37"/>
      <c r="V15" s="37"/>
      <c r="W15" s="37"/>
      <c r="X15" s="37"/>
      <c r="Y15" s="37"/>
      <c r="Z15" s="40"/>
      <c r="AA15" s="41">
        <v>2</v>
      </c>
      <c r="AB15" s="37">
        <v>4</v>
      </c>
      <c r="AC15" s="37">
        <v>6</v>
      </c>
      <c r="AD15" s="37">
        <v>8</v>
      </c>
      <c r="AE15" s="37">
        <v>8</v>
      </c>
      <c r="AF15" s="37">
        <v>6</v>
      </c>
      <c r="AG15" s="37"/>
      <c r="AH15" s="36"/>
      <c r="AI15" s="36"/>
      <c r="AJ15" s="36"/>
      <c r="AK15" s="42">
        <v>2</v>
      </c>
      <c r="AL15" s="42">
        <v>2</v>
      </c>
      <c r="AM15" s="73">
        <f t="shared" si="1"/>
        <v>38</v>
      </c>
      <c r="AN15" s="71">
        <f>+IF($I15&gt;0,VLOOKUP($I15,'Lista de Precios'!$A$3:$H$2883,4,0),"")</f>
        <v>36844.919786096252</v>
      </c>
      <c r="AO15" s="68">
        <f t="shared" si="2"/>
        <v>1400106.9518716575</v>
      </c>
      <c r="AP15" s="7" t="str">
        <f>IF($I15&gt;0,VLOOKUP($I15,'Lista de Precios'!$A$3:$K$2883,10,0),"")</f>
        <v>Running</v>
      </c>
      <c r="AQ15" s="7" t="str">
        <f>IF($I15&gt;0,VLOOKUP($I15,'Lista de Precios'!$A$3:$M$49893,13,0),"")</f>
        <v>Running+Training</v>
      </c>
      <c r="HQ15" s="134"/>
      <c r="HR15" s="134"/>
      <c r="HS15" s="134"/>
      <c r="HT15" s="134"/>
      <c r="HU15" s="134"/>
      <c r="HV15" s="134"/>
      <c r="HW15" s="134"/>
      <c r="HX15" s="134"/>
      <c r="HY15" s="134"/>
      <c r="HZ15" s="134"/>
      <c r="IA15" s="134"/>
      <c r="IB15" s="134"/>
      <c r="ID15" s="134"/>
      <c r="IE15" s="134"/>
      <c r="IF15" s="134"/>
      <c r="IG15" s="134"/>
      <c r="IH15" s="134"/>
      <c r="II15" s="134"/>
      <c r="IJ15" s="134"/>
      <c r="IK15" s="134"/>
      <c r="IL15" s="134"/>
      <c r="IM15" s="135"/>
      <c r="IN15" s="135"/>
      <c r="IO15" s="135"/>
      <c r="XEO15" s="7" t="str">
        <f t="shared" si="3"/>
        <v/>
      </c>
      <c r="XEP15" s="7" t="str">
        <f t="shared" si="4"/>
        <v/>
      </c>
      <c r="XEQ15" s="7" t="str">
        <f t="shared" si="5"/>
        <v/>
      </c>
      <c r="XER15" s="7" t="str">
        <f t="shared" si="6"/>
        <v/>
      </c>
    </row>
    <row r="16" spans="1:249 16369:16372" ht="23.25" customHeight="1" x14ac:dyDescent="0.25">
      <c r="A16" s="74" t="str">
        <f>IF($I16&gt;0,VLOOKUP(I16,'Lista de Precios'!$A$3:$L$2883,9,0),0)</f>
        <v>Hombre</v>
      </c>
      <c r="B16" s="74" t="str">
        <f>IF($I16&gt;0,VLOOKUP(I16,'Lista de Precios'!$A$3:$H$2883,7,0),0)</f>
        <v>CONT</v>
      </c>
      <c r="C16" s="7" t="str">
        <f>IF($I16&gt;0,VLOOKUP(I16,'Lista de Precios'!$A$3:$H$2883,2,0),"")</f>
        <v>WIND 5</v>
      </c>
      <c r="D16" s="7" t="str">
        <f>IF($I16&gt;0,VLOOKUP(I16,'Lista de Precios'!$A$3:$H$2883,3,0),"")</f>
        <v>AZUL PAG/BLANCO</v>
      </c>
      <c r="E16" s="76" t="str">
        <f>IF($I16&gt;0,VLOOKUP(I16,'Lista de Precios'!$A$3:$H$2883,6,0),"")</f>
        <v>ENERO</v>
      </c>
      <c r="F16" s="76" t="str">
        <f>IF($I16&gt;0,VLOOKUP(I16,'Lista de Precios'!$A$3:$H$2883,8,0),"")</f>
        <v>35 AL 45</v>
      </c>
      <c r="G16" s="101">
        <f t="shared" si="7"/>
        <v>68900</v>
      </c>
      <c r="H16" s="20" t="s">
        <v>3</v>
      </c>
      <c r="I16" s="18">
        <v>26445</v>
      </c>
      <c r="J16" s="28" t="str">
        <f t="shared" si="0"/>
        <v>ENERO</v>
      </c>
      <c r="K16" s="24"/>
      <c r="L16" s="37"/>
      <c r="M16" s="37"/>
      <c r="N16" s="37"/>
      <c r="O16" s="37"/>
      <c r="P16" s="40"/>
      <c r="Q16" s="39"/>
      <c r="R16" s="37"/>
      <c r="S16" s="37"/>
      <c r="T16" s="37"/>
      <c r="U16" s="37"/>
      <c r="V16" s="37"/>
      <c r="W16" s="37"/>
      <c r="X16" s="37"/>
      <c r="Y16" s="37"/>
      <c r="Z16" s="40"/>
      <c r="AA16" s="41"/>
      <c r="AB16" s="37"/>
      <c r="AC16" s="37">
        <v>2</v>
      </c>
      <c r="AD16" s="37">
        <v>4</v>
      </c>
      <c r="AE16" s="37">
        <v>6</v>
      </c>
      <c r="AF16" s="37">
        <v>4</v>
      </c>
      <c r="AG16" s="37">
        <v>6</v>
      </c>
      <c r="AH16" s="36"/>
      <c r="AI16" s="36"/>
      <c r="AJ16" s="36"/>
      <c r="AK16" s="42"/>
      <c r="AL16" s="42"/>
      <c r="AM16" s="73">
        <f t="shared" si="1"/>
        <v>22</v>
      </c>
      <c r="AN16" s="71">
        <f>+IF($I16&gt;0,VLOOKUP($I16,'Lista de Precios'!$A$3:$H$2883,4,0),"")</f>
        <v>36844.919786096252</v>
      </c>
      <c r="AO16" s="68">
        <f t="shared" si="2"/>
        <v>810588.23529411759</v>
      </c>
      <c r="AP16" s="7" t="str">
        <f>IF($I16&gt;0,VLOOKUP($I16,'Lista de Precios'!$A$3:$K$2883,10,0),"")</f>
        <v>Running</v>
      </c>
      <c r="AQ16" s="7" t="str">
        <f>IF($I16&gt;0,VLOOKUP($I16,'Lista de Precios'!$A$3:$M$49893,13,0),"")</f>
        <v>Running+Training</v>
      </c>
      <c r="HQ16" s="134"/>
      <c r="HR16" s="134"/>
      <c r="HS16" s="134"/>
      <c r="HT16" s="134"/>
      <c r="HU16" s="134"/>
      <c r="HV16" s="134"/>
      <c r="HW16" s="134"/>
      <c r="HX16" s="134"/>
      <c r="HY16" s="134"/>
      <c r="HZ16" s="134"/>
      <c r="IA16" s="134"/>
      <c r="IB16" s="134"/>
      <c r="ID16" s="134"/>
      <c r="IE16" s="134"/>
      <c r="IF16" s="134"/>
      <c r="IG16" s="134"/>
      <c r="IH16" s="134"/>
      <c r="II16" s="134"/>
      <c r="IJ16" s="134"/>
      <c r="IK16" s="134"/>
      <c r="IL16" s="134"/>
      <c r="IM16" s="135"/>
      <c r="IN16" s="135"/>
      <c r="IO16" s="135"/>
      <c r="XEO16" s="7" t="str">
        <f t="shared" si="3"/>
        <v/>
      </c>
      <c r="XEP16" s="7" t="str">
        <f t="shared" si="4"/>
        <v/>
      </c>
      <c r="XEQ16" s="7" t="str">
        <f t="shared" si="5"/>
        <v/>
      </c>
      <c r="XER16" s="7" t="str">
        <f t="shared" si="6"/>
        <v/>
      </c>
    </row>
    <row r="17" spans="1:249 16369:16372" s="277" customFormat="1" ht="23.25" customHeight="1" x14ac:dyDescent="0.25">
      <c r="A17" s="276" t="str">
        <f>IF($I17&gt;0,VLOOKUP(I17,'Lista de Precios'!$A$3:$L$2883,9,0),0)</f>
        <v>Mujer</v>
      </c>
      <c r="B17" s="276" t="str">
        <f>IF($I17&gt;0,VLOOKUP(I17,'Lista de Precios'!$A$3:$H$2883,7,0),0)</f>
        <v>CONT</v>
      </c>
      <c r="C17" s="277" t="str">
        <f>IF($I17&gt;0,VLOOKUP(I17,'Lista de Precios'!$A$3:$H$2883,2,0),"")</f>
        <v>SENDAI</v>
      </c>
      <c r="D17" s="277" t="str">
        <f>IF($I17&gt;0,VLOOKUP(I17,'Lista de Precios'!$A$3:$H$2883,3,0),"")</f>
        <v>GRIS MAGNET/NEGRO/ROSA PEAC</v>
      </c>
      <c r="E17" s="278" t="str">
        <f>IF($I17&gt;0,VLOOKUP(I17,'Lista de Precios'!$A$3:$H$2883,6,0),"")</f>
        <v>ENERO</v>
      </c>
      <c r="F17" s="278" t="str">
        <f>IF($I17&gt;0,VLOOKUP(I17,'Lista de Precios'!$A$3:$H$2883,8,0),"")</f>
        <v>35 AL 40</v>
      </c>
      <c r="G17" s="279">
        <f t="shared" si="7"/>
        <v>73900</v>
      </c>
      <c r="H17" s="20" t="s">
        <v>3</v>
      </c>
      <c r="I17" s="18">
        <v>26903</v>
      </c>
      <c r="J17" s="282" t="str">
        <f t="shared" si="0"/>
        <v>ENERO</v>
      </c>
      <c r="K17" s="283"/>
      <c r="L17" s="284"/>
      <c r="M17" s="284"/>
      <c r="N17" s="284"/>
      <c r="O17" s="284"/>
      <c r="P17" s="285"/>
      <c r="Q17" s="286"/>
      <c r="R17" s="284"/>
      <c r="S17" s="284"/>
      <c r="T17" s="284"/>
      <c r="U17" s="284"/>
      <c r="V17" s="284"/>
      <c r="W17" s="284"/>
      <c r="X17" s="284"/>
      <c r="Y17" s="284"/>
      <c r="Z17" s="285"/>
      <c r="AA17" s="287"/>
      <c r="AB17" s="284">
        <v>4</v>
      </c>
      <c r="AC17" s="284">
        <v>8</v>
      </c>
      <c r="AD17" s="284">
        <v>12</v>
      </c>
      <c r="AE17" s="284">
        <v>12</v>
      </c>
      <c r="AF17" s="284">
        <v>8</v>
      </c>
      <c r="AG17" s="284"/>
      <c r="AH17" s="284"/>
      <c r="AI17" s="284"/>
      <c r="AJ17" s="284"/>
      <c r="AK17" s="288"/>
      <c r="AL17" s="288"/>
      <c r="AM17" s="289">
        <f t="shared" si="1"/>
        <v>44</v>
      </c>
      <c r="AN17" s="290">
        <f>+IF($I17&gt;0,VLOOKUP($I17,'Lista de Precios'!$A$3:$H$2883,4,0),"")</f>
        <v>39518.716577540108</v>
      </c>
      <c r="AO17" s="291">
        <f t="shared" si="2"/>
        <v>1738823.5294117648</v>
      </c>
      <c r="AP17" s="277" t="str">
        <f>IF($I17&gt;0,VLOOKUP($I17,'Lista de Precios'!$A$3:$K$2883,10,0),"")</f>
        <v>Casual</v>
      </c>
      <c r="AQ17" s="277" t="str">
        <f>IF($I17&gt;0,VLOOKUP($I17,'Lista de Precios'!$A$3:$M$49893,13,0),"")</f>
        <v>Casual</v>
      </c>
      <c r="HQ17" s="292"/>
      <c r="HR17" s="292"/>
      <c r="HS17" s="292"/>
      <c r="HT17" s="292"/>
      <c r="HU17" s="292"/>
      <c r="HV17" s="292"/>
      <c r="HW17" s="292"/>
      <c r="HX17" s="292"/>
      <c r="HY17" s="292"/>
      <c r="HZ17" s="292"/>
      <c r="IA17" s="292"/>
      <c r="IB17" s="292"/>
      <c r="ID17" s="292"/>
      <c r="IE17" s="292"/>
      <c r="IF17" s="292"/>
      <c r="IG17" s="292"/>
      <c r="IH17" s="292"/>
      <c r="II17" s="292"/>
      <c r="IJ17" s="292"/>
      <c r="IK17" s="292"/>
      <c r="IL17" s="292"/>
      <c r="IM17" s="293"/>
      <c r="IN17" s="293"/>
      <c r="IO17" s="293"/>
      <c r="XEO17" s="277">
        <f t="shared" si="3"/>
        <v>44</v>
      </c>
      <c r="XEP17" s="277" t="str">
        <f t="shared" si="4"/>
        <v/>
      </c>
      <c r="XEQ17" s="277" t="str">
        <f t="shared" si="5"/>
        <v/>
      </c>
      <c r="XER17" s="277" t="str">
        <f t="shared" si="6"/>
        <v/>
      </c>
    </row>
    <row r="18" spans="1:249 16369:16372" s="277" customFormat="1" ht="23.25" customHeight="1" x14ac:dyDescent="0.25">
      <c r="A18" s="276" t="str">
        <f>IF($I18&gt;0,VLOOKUP(I18,'Lista de Precios'!$A$3:$L$2883,9,0),0)</f>
        <v>Unisex</v>
      </c>
      <c r="B18" s="276" t="str">
        <f>IF($I18&gt;0,VLOOKUP(I18,'Lista de Precios'!$A$3:$H$2883,7,0),0)</f>
        <v>CONT</v>
      </c>
      <c r="C18" s="277" t="str">
        <f>IF($I18&gt;0,VLOOKUP(I18,'Lista de Precios'!$A$3:$H$2883,2,0),"")</f>
        <v>SENDAI</v>
      </c>
      <c r="D18" s="277" t="str">
        <f>IF($I18&gt;0,VLOOKUP(I18,'Lista de Precios'!$A$3:$H$2883,3,0),"")</f>
        <v>MORN/ETHEREA</v>
      </c>
      <c r="E18" s="278" t="str">
        <f>IF($I18&gt;0,VLOOKUP(I18,'Lista de Precios'!$A$3:$H$2883,6,0),"")</f>
        <v>ENERO</v>
      </c>
      <c r="F18" s="278" t="str">
        <f>IF($I18&gt;0,VLOOKUP(I18,'Lista de Precios'!$A$3:$H$2883,8,0),"")</f>
        <v>35 AL 45</v>
      </c>
      <c r="G18" s="279">
        <f t="shared" si="7"/>
        <v>73900</v>
      </c>
      <c r="H18" s="20" t="s">
        <v>3</v>
      </c>
      <c r="I18" s="18">
        <v>26902</v>
      </c>
      <c r="J18" s="282" t="str">
        <f t="shared" si="0"/>
        <v>ENERO</v>
      </c>
      <c r="K18" s="283"/>
      <c r="L18" s="284"/>
      <c r="M18" s="284"/>
      <c r="N18" s="284"/>
      <c r="O18" s="284"/>
      <c r="P18" s="285"/>
      <c r="Q18" s="286"/>
      <c r="R18" s="284"/>
      <c r="S18" s="284"/>
      <c r="T18" s="284"/>
      <c r="U18" s="284"/>
      <c r="V18" s="284"/>
      <c r="W18" s="284"/>
      <c r="X18" s="284"/>
      <c r="Y18" s="284"/>
      <c r="Z18" s="285"/>
      <c r="AA18" s="287"/>
      <c r="AB18" s="284"/>
      <c r="AC18" s="284">
        <v>4</v>
      </c>
      <c r="AD18" s="284">
        <v>6</v>
      </c>
      <c r="AE18" s="284">
        <v>4</v>
      </c>
      <c r="AF18" s="284">
        <v>6</v>
      </c>
      <c r="AG18" s="284"/>
      <c r="AH18" s="284"/>
      <c r="AI18" s="284"/>
      <c r="AJ18" s="284"/>
      <c r="AK18" s="288"/>
      <c r="AL18" s="288"/>
      <c r="AM18" s="289">
        <f t="shared" si="1"/>
        <v>20</v>
      </c>
      <c r="AN18" s="290">
        <f>+IF($I18&gt;0,VLOOKUP($I18,'Lista de Precios'!$A$3:$H$2883,4,0),"")</f>
        <v>39518.716577540108</v>
      </c>
      <c r="AO18" s="291">
        <f t="shared" si="2"/>
        <v>790374.3315508021</v>
      </c>
      <c r="AP18" s="277" t="str">
        <f>IF($I18&gt;0,VLOOKUP($I18,'Lista de Precios'!$A$3:$K$2883,10,0),"")</f>
        <v>Casual</v>
      </c>
      <c r="AQ18" s="277" t="str">
        <f>IF($I18&gt;0,VLOOKUP($I18,'Lista de Precios'!$A$3:$M$49893,13,0),"")</f>
        <v>Casual</v>
      </c>
      <c r="HQ18" s="292"/>
      <c r="HR18" s="292"/>
      <c r="HS18" s="292"/>
      <c r="HT18" s="292"/>
      <c r="HU18" s="292"/>
      <c r="HV18" s="292"/>
      <c r="HW18" s="292"/>
      <c r="HX18" s="292"/>
      <c r="HY18" s="292"/>
      <c r="HZ18" s="292"/>
      <c r="IA18" s="292"/>
      <c r="IB18" s="292"/>
      <c r="ID18" s="292"/>
      <c r="IE18" s="292"/>
      <c r="IF18" s="292"/>
      <c r="IG18" s="292"/>
      <c r="IH18" s="292"/>
      <c r="II18" s="292"/>
      <c r="IJ18" s="292"/>
      <c r="IK18" s="292"/>
      <c r="IL18" s="292"/>
      <c r="IM18" s="293"/>
      <c r="IN18" s="293"/>
      <c r="IO18" s="293"/>
      <c r="XEO18" s="277">
        <f t="shared" si="3"/>
        <v>20</v>
      </c>
      <c r="XEP18" s="277" t="str">
        <f t="shared" si="4"/>
        <v/>
      </c>
      <c r="XEQ18" s="277" t="str">
        <f t="shared" si="5"/>
        <v/>
      </c>
      <c r="XER18" s="277" t="str">
        <f t="shared" si="6"/>
        <v/>
      </c>
    </row>
    <row r="19" spans="1:249 16369:16372" s="277" customFormat="1" ht="23.25" customHeight="1" x14ac:dyDescent="0.25">
      <c r="A19" s="276" t="str">
        <f>IF($I19&gt;0,VLOOKUP(I19,'Lista de Precios'!$A$3:$L$2883,9,0),0)</f>
        <v>Kids</v>
      </c>
      <c r="B19" s="276" t="str">
        <f>IF($I19&gt;0,VLOOKUP(I19,'Lista de Precios'!$A$3:$H$2883,7,0),0)</f>
        <v>CONT</v>
      </c>
      <c r="C19" s="277" t="str">
        <f>IF($I19&gt;0,VLOOKUP(I19,'Lista de Precios'!$A$3:$H$2883,2,0),"")</f>
        <v>ITEN KIDS</v>
      </c>
      <c r="D19" s="277" t="str">
        <f>IF($I19&gt;0,VLOOKUP(I19,'Lista de Precios'!$A$3:$H$2883,3,0),"")</f>
        <v>NEGRO / VERDE WAVE</v>
      </c>
      <c r="E19" s="278" t="str">
        <f>IF($I19&gt;0,VLOOKUP(I19,'Lista de Precios'!$A$3:$H$2883,6,0),"")</f>
        <v>ENERO</v>
      </c>
      <c r="F19" s="278" t="str">
        <f>IF($I19&gt;0,VLOOKUP(I19,'Lista de Precios'!$A$3:$H$2883,8,0),"")</f>
        <v>25 AL 34</v>
      </c>
      <c r="G19" s="279">
        <f t="shared" si="7"/>
        <v>61899.999999999993</v>
      </c>
      <c r="H19" s="20">
        <v>27342</v>
      </c>
      <c r="I19" s="18">
        <v>89578</v>
      </c>
      <c r="J19" s="282" t="str">
        <f t="shared" si="0"/>
        <v>ENERO</v>
      </c>
      <c r="K19" s="283"/>
      <c r="L19" s="284"/>
      <c r="M19" s="284"/>
      <c r="N19" s="284"/>
      <c r="O19" s="284"/>
      <c r="P19" s="285"/>
      <c r="Q19" s="286">
        <v>4</v>
      </c>
      <c r="R19" s="284">
        <v>4</v>
      </c>
      <c r="S19" s="284">
        <v>2</v>
      </c>
      <c r="T19" s="284">
        <v>4</v>
      </c>
      <c r="U19" s="284">
        <v>2</v>
      </c>
      <c r="V19" s="284">
        <v>4</v>
      </c>
      <c r="W19" s="284">
        <v>2</v>
      </c>
      <c r="X19" s="284">
        <v>2</v>
      </c>
      <c r="Y19" s="284">
        <v>2</v>
      </c>
      <c r="Z19" s="285">
        <v>2</v>
      </c>
      <c r="AA19" s="287"/>
      <c r="AB19" s="284"/>
      <c r="AC19" s="284"/>
      <c r="AD19" s="284"/>
      <c r="AE19" s="284"/>
      <c r="AF19" s="284"/>
      <c r="AG19" s="284"/>
      <c r="AH19" s="284"/>
      <c r="AI19" s="284"/>
      <c r="AJ19" s="284"/>
      <c r="AK19" s="288"/>
      <c r="AL19" s="288"/>
      <c r="AM19" s="289">
        <f t="shared" si="1"/>
        <v>28</v>
      </c>
      <c r="AN19" s="290">
        <f>+IF($I19&gt;0,VLOOKUP($I19,'Lista de Precios'!$A$3:$H$2883,4,0),"")</f>
        <v>33101.604278074861</v>
      </c>
      <c r="AO19" s="291">
        <f t="shared" si="2"/>
        <v>926844.91978609608</v>
      </c>
      <c r="AP19" s="277" t="str">
        <f>IF($I19&gt;0,VLOOKUP($I19,'Lista de Precios'!$A$3:$K$2883,10,0),"")</f>
        <v>Running</v>
      </c>
      <c r="AQ19" s="277" t="str">
        <f>IF($I19&gt;0,VLOOKUP($I19,'Lista de Precios'!$A$3:$M$49893,13,0),"")</f>
        <v>Kids</v>
      </c>
      <c r="HQ19" s="292"/>
      <c r="HR19" s="292"/>
      <c r="HS19" s="292"/>
      <c r="HT19" s="292"/>
      <c r="HU19" s="292"/>
      <c r="HV19" s="292"/>
      <c r="HW19" s="292"/>
      <c r="HX19" s="292"/>
      <c r="HY19" s="292"/>
      <c r="HZ19" s="292"/>
      <c r="IA19" s="292"/>
      <c r="IB19" s="292"/>
      <c r="ID19" s="292"/>
      <c r="IE19" s="292"/>
      <c r="IF19" s="292"/>
      <c r="IG19" s="292"/>
      <c r="IH19" s="292"/>
      <c r="II19" s="292"/>
      <c r="IJ19" s="292"/>
      <c r="IK19" s="292"/>
      <c r="IL19" s="292"/>
      <c r="IM19" s="293"/>
      <c r="IN19" s="293"/>
      <c r="IO19" s="293"/>
      <c r="XEO19" s="277" t="str">
        <f t="shared" si="3"/>
        <v/>
      </c>
      <c r="XEP19" s="277" t="str">
        <f t="shared" si="4"/>
        <v/>
      </c>
      <c r="XEQ19" s="277" t="str">
        <f t="shared" si="5"/>
        <v/>
      </c>
      <c r="XER19" s="277">
        <f t="shared" si="6"/>
        <v>28</v>
      </c>
    </row>
    <row r="20" spans="1:249 16369:16372" ht="23.25" customHeight="1" x14ac:dyDescent="0.25">
      <c r="A20" s="74" t="str">
        <f>IF($I20&gt;0,VLOOKUP(I20,'Lista de Precios'!$A$3:$L$2883,9,0),0)</f>
        <v>Kids</v>
      </c>
      <c r="B20" s="74" t="str">
        <f>IF($I20&gt;0,VLOOKUP(I20,'Lista de Precios'!$A$3:$H$2883,7,0),0)</f>
        <v>CONT</v>
      </c>
      <c r="C20" s="7" t="str">
        <f>IF($I20&gt;0,VLOOKUP(I20,'Lista de Precios'!$A$3:$H$2883,2,0),"")</f>
        <v>ZURICH III KIDS</v>
      </c>
      <c r="D20" s="7" t="str">
        <f>IF($I20&gt;0,VLOOKUP(I20,'Lista de Precios'!$A$3:$H$2883,3,0),"")</f>
        <v>NEGRO</v>
      </c>
      <c r="E20" s="76" t="str">
        <f>IF($I20&gt;0,VLOOKUP(I20,'Lista de Precios'!$A$3:$H$2883,6,0),"")</f>
        <v>ENERO</v>
      </c>
      <c r="F20" s="76" t="str">
        <f>IF($I20&gt;0,VLOOKUP(I20,'Lista de Precios'!$A$3:$H$2883,8,0),"")</f>
        <v>25 AL 34</v>
      </c>
      <c r="G20" s="101">
        <f t="shared" si="7"/>
        <v>52900</v>
      </c>
      <c r="H20" s="20" t="s">
        <v>3</v>
      </c>
      <c r="I20" s="18">
        <v>26320</v>
      </c>
      <c r="J20" s="28" t="str">
        <f t="shared" si="0"/>
        <v>ENERO</v>
      </c>
      <c r="K20" s="24"/>
      <c r="L20" s="37"/>
      <c r="M20" s="37"/>
      <c r="N20" s="37"/>
      <c r="O20" s="37"/>
      <c r="P20" s="40"/>
      <c r="Q20" s="39"/>
      <c r="R20" s="37">
        <v>4</v>
      </c>
      <c r="S20" s="37">
        <v>2</v>
      </c>
      <c r="T20" s="37">
        <v>6</v>
      </c>
      <c r="U20" s="37">
        <v>6</v>
      </c>
      <c r="V20" s="37">
        <v>6</v>
      </c>
      <c r="W20" s="37">
        <v>2</v>
      </c>
      <c r="X20" s="37">
        <v>4</v>
      </c>
      <c r="Y20" s="37">
        <v>4</v>
      </c>
      <c r="Z20" s="40">
        <v>4</v>
      </c>
      <c r="AA20" s="41"/>
      <c r="AB20" s="37"/>
      <c r="AC20" s="37"/>
      <c r="AD20" s="37"/>
      <c r="AE20" s="37"/>
      <c r="AF20" s="37"/>
      <c r="AG20" s="37"/>
      <c r="AH20" s="36"/>
      <c r="AI20" s="36"/>
      <c r="AJ20" s="36"/>
      <c r="AK20" s="42"/>
      <c r="AL20" s="42"/>
      <c r="AM20" s="73">
        <f t="shared" si="1"/>
        <v>38</v>
      </c>
      <c r="AN20" s="71">
        <f>+IF($I20&gt;0,VLOOKUP($I20,'Lista de Precios'!$A$3:$H$2883,4,0),"")</f>
        <v>28288.770053475935</v>
      </c>
      <c r="AO20" s="68">
        <f t="shared" si="2"/>
        <v>1074973.2620320856</v>
      </c>
      <c r="AP20" s="7" t="str">
        <f>IF($I20&gt;0,VLOOKUP($I20,'Lista de Precios'!$A$3:$K$2883,10,0),"")</f>
        <v>Running</v>
      </c>
      <c r="AQ20" s="7" t="str">
        <f>IF($I20&gt;0,VLOOKUP($I20,'Lista de Precios'!$A$3:$M$49893,13,0),"")</f>
        <v>Kids</v>
      </c>
      <c r="HQ20" s="134"/>
      <c r="HR20" s="134"/>
      <c r="HS20" s="134"/>
      <c r="HT20" s="134"/>
      <c r="HU20" s="134"/>
      <c r="HV20" s="134"/>
      <c r="HW20" s="134"/>
      <c r="HX20" s="134"/>
      <c r="HY20" s="134"/>
      <c r="HZ20" s="134"/>
      <c r="IA20" s="134"/>
      <c r="IB20" s="134"/>
      <c r="ID20" s="134"/>
      <c r="IE20" s="134"/>
      <c r="IF20" s="134"/>
      <c r="IG20" s="134"/>
      <c r="IH20" s="134"/>
      <c r="II20" s="134"/>
      <c r="IJ20" s="134"/>
      <c r="IK20" s="134"/>
      <c r="IL20" s="134"/>
      <c r="IM20" s="135"/>
      <c r="IN20" s="135"/>
      <c r="IO20" s="135"/>
      <c r="XEO20" s="7" t="str">
        <f t="shared" si="3"/>
        <v/>
      </c>
      <c r="XEP20" s="7" t="str">
        <f t="shared" si="4"/>
        <v/>
      </c>
      <c r="XEQ20" s="7" t="str">
        <f t="shared" si="5"/>
        <v/>
      </c>
      <c r="XER20" s="7">
        <f t="shared" si="6"/>
        <v>38</v>
      </c>
    </row>
    <row r="21" spans="1:249 16369:16372" ht="23.25" customHeight="1" x14ac:dyDescent="0.25">
      <c r="A21" s="74">
        <f>IF($I21&gt;0,VLOOKUP(I21,'Lista de Precios'!$A$3:$L$2883,9,0),0)</f>
        <v>0</v>
      </c>
      <c r="B21" s="74">
        <f>IF($I21&gt;0,VLOOKUP(I21,'Lista de Precios'!$A$3:$H$2883,7,0),0)</f>
        <v>0</v>
      </c>
      <c r="C21" s="7" t="str">
        <f>IF($I21&gt;0,VLOOKUP(I21,'Lista de Precios'!$A$3:$H$2883,2,0),"")</f>
        <v/>
      </c>
      <c r="D21" s="7" t="str">
        <f>IF($I21&gt;0,VLOOKUP(I21,'Lista de Precios'!$A$3:$H$2883,3,0),"")</f>
        <v/>
      </c>
      <c r="E21" s="76" t="str">
        <f>IF($I21&gt;0,VLOOKUP(I21,'Lista de Precios'!$A$3:$H$2883,6,0),"")</f>
        <v/>
      </c>
      <c r="F21" s="76" t="str">
        <f>IF($I21&gt;0,VLOOKUP(I21,'Lista de Precios'!$A$3:$H$2883,8,0),"")</f>
        <v/>
      </c>
      <c r="G21" s="101" t="str">
        <f t="shared" si="7"/>
        <v/>
      </c>
      <c r="H21" s="20" t="s">
        <v>3</v>
      </c>
      <c r="I21" s="18"/>
      <c r="J21" s="28" t="str">
        <f t="shared" si="0"/>
        <v/>
      </c>
      <c r="K21" s="24"/>
      <c r="L21" s="37"/>
      <c r="M21" s="37"/>
      <c r="N21" s="37"/>
      <c r="O21" s="37"/>
      <c r="P21" s="40"/>
      <c r="Q21" s="39"/>
      <c r="R21" s="37"/>
      <c r="S21" s="37"/>
      <c r="T21" s="37"/>
      <c r="U21" s="37"/>
      <c r="V21" s="37"/>
      <c r="W21" s="37"/>
      <c r="X21" s="37"/>
      <c r="Y21" s="37"/>
      <c r="Z21" s="40"/>
      <c r="AA21" s="41"/>
      <c r="AB21" s="37"/>
      <c r="AC21" s="37"/>
      <c r="AD21" s="37"/>
      <c r="AE21" s="37"/>
      <c r="AF21" s="37"/>
      <c r="AG21" s="37"/>
      <c r="AH21" s="36"/>
      <c r="AI21" s="36"/>
      <c r="AJ21" s="36"/>
      <c r="AK21" s="42"/>
      <c r="AL21" s="42"/>
      <c r="AM21" s="73">
        <f t="shared" si="1"/>
        <v>0</v>
      </c>
      <c r="AN21" s="71" t="str">
        <f>+IF($I21&gt;0,VLOOKUP($I21,'Lista de Precios'!$A$3:$H$2883,4,0),"")</f>
        <v/>
      </c>
      <c r="AO21" s="68" t="str">
        <f t="shared" si="2"/>
        <v/>
      </c>
      <c r="AP21" s="7" t="str">
        <f>IF($I21&gt;0,VLOOKUP($I21,'Lista de Precios'!$A$3:$K$2883,10,0),"")</f>
        <v/>
      </c>
      <c r="AQ21" s="7" t="str">
        <f>IF($I21&gt;0,VLOOKUP($I21,'Lista de Precios'!$A$3:$M$49893,13,0),"")</f>
        <v/>
      </c>
      <c r="HQ21" s="134"/>
      <c r="HR21" s="134"/>
      <c r="HS21" s="134"/>
      <c r="HT21" s="134"/>
      <c r="HU21" s="134"/>
      <c r="HV21" s="134"/>
      <c r="HW21" s="134"/>
      <c r="HX21" s="134"/>
      <c r="HY21" s="134"/>
      <c r="HZ21" s="134"/>
      <c r="IA21" s="134"/>
      <c r="IB21" s="134"/>
      <c r="ID21" s="134"/>
      <c r="IE21" s="134"/>
      <c r="IF21" s="134"/>
      <c r="IG21" s="134"/>
      <c r="IH21" s="134"/>
      <c r="II21" s="134"/>
      <c r="IJ21" s="134"/>
      <c r="IK21" s="134"/>
      <c r="IL21" s="134"/>
      <c r="IM21" s="135"/>
      <c r="IN21" s="135"/>
      <c r="IO21" s="135"/>
      <c r="XEO21" s="7" t="str">
        <f t="shared" si="3"/>
        <v/>
      </c>
      <c r="XEP21" s="7" t="str">
        <f t="shared" si="4"/>
        <v/>
      </c>
      <c r="XEQ21" s="7" t="str">
        <f t="shared" si="5"/>
        <v/>
      </c>
      <c r="XER21" s="7" t="str">
        <f t="shared" si="6"/>
        <v/>
      </c>
    </row>
    <row r="22" spans="1:249 16369:16372" ht="23.25" customHeight="1" x14ac:dyDescent="0.25">
      <c r="A22" s="74" t="str">
        <f>IF($I22&gt;0,VLOOKUP(I22,'Lista de Precios'!$A$3:$L$2883,9,0),0)</f>
        <v>Hombre</v>
      </c>
      <c r="B22" s="74" t="str">
        <f>IF($I22&gt;0,VLOOKUP(I22,'Lista de Precios'!$A$3:$H$2883,7,0),0)</f>
        <v>CONT</v>
      </c>
      <c r="C22" s="7" t="str">
        <f>IF($I22&gt;0,VLOOKUP(I22,'Lista de Precios'!$A$3:$H$2883,2,0),"")</f>
        <v>DRIVE 2</v>
      </c>
      <c r="D22" s="7" t="str">
        <f>IF($I22&gt;0,VLOOKUP(I22,'Lista de Precios'!$A$3:$H$2883,3,0),"")</f>
        <v>NEGRO/GRIS VANE</v>
      </c>
      <c r="E22" s="76" t="str">
        <f>IF($I22&gt;0,VLOOKUP(I22,'Lista de Precios'!$A$3:$H$2883,6,0),"")</f>
        <v>ENERO</v>
      </c>
      <c r="F22" s="76" t="str">
        <f>IF($I22&gt;0,VLOOKUP(I22,'Lista de Precios'!$A$3:$H$2883,8,0),"")</f>
        <v>35 AL 45</v>
      </c>
      <c r="G22" s="101">
        <f t="shared" si="7"/>
        <v>78900</v>
      </c>
      <c r="H22" s="20" t="s">
        <v>3</v>
      </c>
      <c r="I22" s="18">
        <v>26555</v>
      </c>
      <c r="J22" s="28" t="str">
        <f t="shared" si="0"/>
        <v>ENERO</v>
      </c>
      <c r="K22" s="24"/>
      <c r="L22" s="37"/>
      <c r="M22" s="37"/>
      <c r="N22" s="37"/>
      <c r="O22" s="37"/>
      <c r="P22" s="40"/>
      <c r="Q22" s="39"/>
      <c r="R22" s="37"/>
      <c r="S22" s="37"/>
      <c r="T22" s="37"/>
      <c r="U22" s="37"/>
      <c r="V22" s="37"/>
      <c r="W22" s="37"/>
      <c r="X22" s="37"/>
      <c r="Y22" s="37"/>
      <c r="Z22" s="40"/>
      <c r="AA22" s="41">
        <v>2</v>
      </c>
      <c r="AB22" s="37">
        <v>2</v>
      </c>
      <c r="AC22" s="37"/>
      <c r="AD22" s="37"/>
      <c r="AE22" s="37"/>
      <c r="AF22" s="37"/>
      <c r="AG22" s="37"/>
      <c r="AH22" s="36"/>
      <c r="AI22" s="36"/>
      <c r="AJ22" s="36"/>
      <c r="AK22" s="42"/>
      <c r="AL22" s="42"/>
      <c r="AM22" s="73">
        <f t="shared" si="1"/>
        <v>4</v>
      </c>
      <c r="AN22" s="71">
        <f>+IF($I22&gt;0,VLOOKUP($I22,'Lista de Precios'!$A$3:$H$2883,4,0),"")</f>
        <v>42192.513368983957</v>
      </c>
      <c r="AO22" s="68">
        <f t="shared" si="2"/>
        <v>168770.05347593583</v>
      </c>
      <c r="AP22" s="7" t="str">
        <f>IF($I22&gt;0,VLOOKUP($I22,'Lista de Precios'!$A$3:$K$2883,10,0),"")</f>
        <v>Training</v>
      </c>
      <c r="AQ22" s="7" t="str">
        <f>IF($I22&gt;0,VLOOKUP($I22,'Lista de Precios'!$A$3:$M$49893,13,0),"")</f>
        <v>Running+Training</v>
      </c>
      <c r="HQ22" s="134"/>
      <c r="HR22" s="134"/>
      <c r="HS22" s="134"/>
      <c r="HT22" s="134"/>
      <c r="HU22" s="134"/>
      <c r="HV22" s="134"/>
      <c r="HW22" s="134"/>
      <c r="HX22" s="134"/>
      <c r="HY22" s="134"/>
      <c r="HZ22" s="134"/>
      <c r="IA22" s="134"/>
      <c r="IB22" s="134"/>
      <c r="ID22" s="134"/>
      <c r="IE22" s="134"/>
      <c r="IF22" s="134"/>
      <c r="IG22" s="134"/>
      <c r="IH22" s="134"/>
      <c r="II22" s="134"/>
      <c r="IJ22" s="134"/>
      <c r="IK22" s="134"/>
      <c r="IL22" s="134"/>
      <c r="IM22" s="135"/>
      <c r="IN22" s="135"/>
      <c r="IO22" s="135"/>
      <c r="XEO22" s="7" t="str">
        <f t="shared" si="3"/>
        <v/>
      </c>
      <c r="XEP22" s="7" t="str">
        <f t="shared" si="4"/>
        <v/>
      </c>
      <c r="XEQ22" s="7" t="str">
        <f t="shared" si="5"/>
        <v/>
      </c>
      <c r="XER22" s="7" t="str">
        <f t="shared" si="6"/>
        <v/>
      </c>
    </row>
    <row r="23" spans="1:249 16369:16372" ht="23.25" customHeight="1" x14ac:dyDescent="0.25">
      <c r="A23" s="74" t="str">
        <f>IF($I23&gt;0,VLOOKUP(I23,'Lista de Precios'!$A$3:$L$2883,9,0),0)</f>
        <v>Mujer</v>
      </c>
      <c r="B23" s="74" t="str">
        <f>IF($I23&gt;0,VLOOKUP(I23,'Lista de Precios'!$A$3:$H$2883,7,0),0)</f>
        <v>CONT</v>
      </c>
      <c r="C23" s="7" t="str">
        <f>IF($I23&gt;0,VLOOKUP(I23,'Lista de Precios'!$A$3:$H$2883,2,0),"")</f>
        <v>DRIVE 2</v>
      </c>
      <c r="D23" s="7" t="str">
        <f>IF($I23&gt;0,VLOOKUP(I23,'Lista de Precios'!$A$3:$H$2883,3,0),"")</f>
        <v>ROSA HUSH/ROSA SHAPE</v>
      </c>
      <c r="E23" s="76" t="str">
        <f>IF($I23&gt;0,VLOOKUP(I23,'Lista de Precios'!$A$3:$H$2883,6,0),"")</f>
        <v>ENERO</v>
      </c>
      <c r="F23" s="76" t="str">
        <f>IF($I23&gt;0,VLOOKUP(I23,'Lista de Precios'!$A$3:$H$2883,8,0),"")</f>
        <v>35 AL 40</v>
      </c>
      <c r="G23" s="101">
        <f t="shared" si="7"/>
        <v>78900</v>
      </c>
      <c r="H23" s="20" t="s">
        <v>3</v>
      </c>
      <c r="I23" s="18">
        <v>26448</v>
      </c>
      <c r="J23" s="28" t="str">
        <f t="shared" si="0"/>
        <v>ENERO</v>
      </c>
      <c r="K23" s="24"/>
      <c r="L23" s="37"/>
      <c r="M23" s="37"/>
      <c r="N23" s="37"/>
      <c r="O23" s="37"/>
      <c r="P23" s="40"/>
      <c r="Q23" s="39"/>
      <c r="R23" s="37"/>
      <c r="S23" s="37"/>
      <c r="T23" s="37"/>
      <c r="U23" s="37"/>
      <c r="V23" s="37"/>
      <c r="W23" s="37"/>
      <c r="X23" s="37"/>
      <c r="Y23" s="37"/>
      <c r="Z23" s="40"/>
      <c r="AA23" s="41"/>
      <c r="AB23" s="37">
        <v>2</v>
      </c>
      <c r="AC23" s="37">
        <v>8</v>
      </c>
      <c r="AD23" s="37">
        <v>8</v>
      </c>
      <c r="AE23" s="37">
        <v>6</v>
      </c>
      <c r="AF23" s="37">
        <v>6</v>
      </c>
      <c r="AG23" s="37"/>
      <c r="AH23" s="36"/>
      <c r="AI23" s="36"/>
      <c r="AJ23" s="36"/>
      <c r="AK23" s="42"/>
      <c r="AL23" s="42"/>
      <c r="AM23" s="73">
        <f t="shared" si="1"/>
        <v>30</v>
      </c>
      <c r="AN23" s="71">
        <f>+IF($I23&gt;0,VLOOKUP($I23,'Lista de Precios'!$A$3:$H$2883,4,0),"")</f>
        <v>42192.513368983957</v>
      </c>
      <c r="AO23" s="68">
        <f t="shared" si="2"/>
        <v>1265775.4010695186</v>
      </c>
      <c r="AP23" s="7" t="str">
        <f>IF($I23&gt;0,VLOOKUP($I23,'Lista de Precios'!$A$3:$K$2883,10,0),"")</f>
        <v>Training</v>
      </c>
      <c r="AQ23" s="7" t="str">
        <f>IF($I23&gt;0,VLOOKUP($I23,'Lista de Precios'!$A$3:$M$49893,13,0),"")</f>
        <v>Running+Training</v>
      </c>
      <c r="HQ23" s="134"/>
      <c r="HR23" s="134"/>
      <c r="HS23" s="134"/>
      <c r="HT23" s="134"/>
      <c r="HU23" s="134"/>
      <c r="HV23" s="134"/>
      <c r="HW23" s="134"/>
      <c r="HX23" s="134"/>
      <c r="HY23" s="134"/>
      <c r="HZ23" s="134"/>
      <c r="IA23" s="134"/>
      <c r="IB23" s="134"/>
      <c r="ID23" s="134"/>
      <c r="IE23" s="134"/>
      <c r="IF23" s="134"/>
      <c r="IG23" s="134"/>
      <c r="IH23" s="134"/>
      <c r="II23" s="134"/>
      <c r="IJ23" s="134"/>
      <c r="IK23" s="134"/>
      <c r="IL23" s="134"/>
      <c r="IM23" s="135"/>
      <c r="IN23" s="135"/>
      <c r="IO23" s="135"/>
      <c r="XEO23" s="7" t="str">
        <f t="shared" si="3"/>
        <v/>
      </c>
      <c r="XEP23" s="7" t="str">
        <f t="shared" si="4"/>
        <v/>
      </c>
      <c r="XEQ23" s="7" t="str">
        <f t="shared" si="5"/>
        <v/>
      </c>
      <c r="XER23" s="7" t="str">
        <f t="shared" si="6"/>
        <v/>
      </c>
    </row>
    <row r="24" spans="1:249 16369:16372" ht="23.25" customHeight="1" x14ac:dyDescent="0.25">
      <c r="A24" s="74" t="str">
        <f>IF($I24&gt;0,VLOOKUP(I24,'Lista de Precios'!$A$3:$L$2883,9,0),0)</f>
        <v>Hombre</v>
      </c>
      <c r="B24" s="74" t="str">
        <f>IF($I24&gt;0,VLOOKUP(I24,'Lista de Precios'!$A$3:$H$2883,7,0),0)</f>
        <v>CONT</v>
      </c>
      <c r="C24" s="7" t="str">
        <f>IF($I24&gt;0,VLOOKUP(I24,'Lista de Precios'!$A$3:$H$2883,2,0),"")</f>
        <v>STRONG PACE III</v>
      </c>
      <c r="D24" s="7" t="str">
        <f>IF($I24&gt;0,VLOOKUP(I24,'Lista de Precios'!$A$3:$H$2883,3,0),"")</f>
        <v>NEGRO/LIMA SPRING</v>
      </c>
      <c r="E24" s="76" t="str">
        <f>IF($I24&gt;0,VLOOKUP(I24,'Lista de Precios'!$A$3:$H$2883,6,0),"")</f>
        <v>ENERO</v>
      </c>
      <c r="F24" s="76" t="str">
        <f>IF($I24&gt;0,VLOOKUP(I24,'Lista de Precios'!$A$3:$H$2883,8,0),"")</f>
        <v>35 AL 46</v>
      </c>
      <c r="G24" s="101">
        <f t="shared" si="7"/>
        <v>62899.999999999993</v>
      </c>
      <c r="H24" s="20" t="s">
        <v>3</v>
      </c>
      <c r="I24" s="18">
        <v>26205</v>
      </c>
      <c r="J24" s="28" t="str">
        <f t="shared" si="0"/>
        <v>ENERO</v>
      </c>
      <c r="K24" s="24"/>
      <c r="L24" s="37"/>
      <c r="M24" s="37"/>
      <c r="N24" s="37"/>
      <c r="O24" s="37"/>
      <c r="P24" s="40"/>
      <c r="Q24" s="39"/>
      <c r="R24" s="37"/>
      <c r="S24" s="37"/>
      <c r="T24" s="37"/>
      <c r="U24" s="37"/>
      <c r="V24" s="37"/>
      <c r="W24" s="37"/>
      <c r="X24" s="37"/>
      <c r="Y24" s="37"/>
      <c r="Z24" s="40"/>
      <c r="AA24" s="41"/>
      <c r="AB24" s="37"/>
      <c r="AC24" s="37"/>
      <c r="AD24" s="37"/>
      <c r="AE24" s="37"/>
      <c r="AF24" s="37">
        <v>4</v>
      </c>
      <c r="AG24" s="37">
        <v>6</v>
      </c>
      <c r="AH24" s="36">
        <v>4</v>
      </c>
      <c r="AI24" s="36">
        <v>2</v>
      </c>
      <c r="AJ24" s="36"/>
      <c r="AK24" s="42">
        <v>2</v>
      </c>
      <c r="AL24" s="42"/>
      <c r="AM24" s="73">
        <f t="shared" si="1"/>
        <v>18</v>
      </c>
      <c r="AN24" s="71">
        <f>+IF($I24&gt;0,VLOOKUP($I24,'Lista de Precios'!$A$3:$H$2883,4,0),"")</f>
        <v>33636.363636363632</v>
      </c>
      <c r="AO24" s="68">
        <f t="shared" si="2"/>
        <v>605454.54545454541</v>
      </c>
      <c r="AP24" s="7" t="str">
        <f>IF($I24&gt;0,VLOOKUP($I24,'Lista de Precios'!$A$3:$K$2883,10,0),"")</f>
        <v>Training</v>
      </c>
      <c r="AQ24" s="7" t="str">
        <f>IF($I24&gt;0,VLOOKUP($I24,'Lista de Precios'!$A$3:$M$49893,13,0),"")</f>
        <v>Running+Training</v>
      </c>
      <c r="HQ24" s="134"/>
      <c r="HR24" s="134"/>
      <c r="HS24" s="134"/>
      <c r="HT24" s="134"/>
      <c r="HU24" s="134"/>
      <c r="HV24" s="134"/>
      <c r="HW24" s="134"/>
      <c r="HX24" s="134"/>
      <c r="HY24" s="134"/>
      <c r="HZ24" s="134"/>
      <c r="IA24" s="134"/>
      <c r="IB24" s="134"/>
      <c r="ID24" s="134"/>
      <c r="IE24" s="134"/>
      <c r="IF24" s="134"/>
      <c r="IG24" s="134"/>
      <c r="IH24" s="134"/>
      <c r="II24" s="134"/>
      <c r="IJ24" s="134"/>
      <c r="IK24" s="134"/>
      <c r="IL24" s="134"/>
      <c r="IM24" s="135"/>
      <c r="IN24" s="135"/>
      <c r="IO24" s="135"/>
      <c r="XEO24" s="7" t="str">
        <f t="shared" si="3"/>
        <v/>
      </c>
      <c r="XEP24" s="7" t="str">
        <f t="shared" si="4"/>
        <v/>
      </c>
      <c r="XEQ24" s="7" t="str">
        <f t="shared" si="5"/>
        <v/>
      </c>
      <c r="XER24" s="7" t="str">
        <f t="shared" si="6"/>
        <v/>
      </c>
    </row>
    <row r="25" spans="1:249 16369:16372" ht="23.25" customHeight="1" x14ac:dyDescent="0.25">
      <c r="A25" s="74" t="str">
        <f>IF($I25&gt;0,VLOOKUP(I25,'Lista de Precios'!$A$3:$L$2883,9,0),0)</f>
        <v>Mujer</v>
      </c>
      <c r="B25" s="74" t="str">
        <f>IF($I25&gt;0,VLOOKUP(I25,'Lista de Precios'!$A$3:$H$2883,7,0),0)</f>
        <v>CONT</v>
      </c>
      <c r="C25" s="7" t="str">
        <f>IF($I25&gt;0,VLOOKUP(I25,'Lista de Precios'!$A$3:$H$2883,2,0),"")</f>
        <v>STRONG PACE III</v>
      </c>
      <c r="D25" s="7" t="str">
        <f>IF($I25&gt;0,VLOOKUP(I25,'Lista de Precios'!$A$3:$H$2883,3,0),"")</f>
        <v>GRIS CHIP/LILA LAV</v>
      </c>
      <c r="E25" s="76" t="str">
        <f>IF($I25&gt;0,VLOOKUP(I25,'Lista de Precios'!$A$3:$H$2883,6,0),"")</f>
        <v>ENERO</v>
      </c>
      <c r="F25" s="76" t="str">
        <f>IF($I25&gt;0,VLOOKUP(I25,'Lista de Precios'!$A$3:$H$2883,8,0),"")</f>
        <v>35 AL 40</v>
      </c>
      <c r="G25" s="101">
        <f t="shared" ref="G25:G28" si="8">IF(AN25="","",AN25*1.87)</f>
        <v>62899.999999999993</v>
      </c>
      <c r="H25" s="20" t="s">
        <v>3</v>
      </c>
      <c r="I25" s="18">
        <v>26221</v>
      </c>
      <c r="J25" s="28" t="str">
        <f t="shared" ref="J25:J28" si="9">+E25</f>
        <v>ENERO</v>
      </c>
      <c r="K25" s="24"/>
      <c r="L25" s="37"/>
      <c r="M25" s="37"/>
      <c r="N25" s="37"/>
      <c r="O25" s="37"/>
      <c r="P25" s="40"/>
      <c r="Q25" s="39"/>
      <c r="R25" s="37"/>
      <c r="S25" s="37"/>
      <c r="T25" s="37"/>
      <c r="U25" s="37"/>
      <c r="V25" s="37"/>
      <c r="W25" s="37"/>
      <c r="X25" s="37"/>
      <c r="Y25" s="37"/>
      <c r="Z25" s="40"/>
      <c r="AA25" s="41"/>
      <c r="AB25" s="37"/>
      <c r="AC25" s="37">
        <v>2</v>
      </c>
      <c r="AD25" s="37">
        <v>4</v>
      </c>
      <c r="AE25" s="37">
        <v>2</v>
      </c>
      <c r="AF25" s="37">
        <v>2</v>
      </c>
      <c r="AG25" s="37"/>
      <c r="AH25" s="36"/>
      <c r="AI25" s="36"/>
      <c r="AJ25" s="36"/>
      <c r="AK25" s="42"/>
      <c r="AL25" s="42"/>
      <c r="AM25" s="73">
        <f t="shared" ref="AM25:AM27" si="10">+IF(I25&gt;0,SUM(L25:AL25),0)</f>
        <v>10</v>
      </c>
      <c r="AN25" s="71">
        <f>+IF($I25&gt;0,VLOOKUP($I25,'Lista de Precios'!$A$3:$H$2883,4,0),"")</f>
        <v>33636.363636363632</v>
      </c>
      <c r="AO25" s="68">
        <f t="shared" ref="AO25:AO28" si="11">+IF(AM25&gt;0,AN25*AM25,"")</f>
        <v>336363.63636363635</v>
      </c>
      <c r="AP25" s="7" t="str">
        <f>IF($I25&gt;0,VLOOKUP($I25,'Lista de Precios'!$A$3:$K$2883,10,0),"")</f>
        <v>Training</v>
      </c>
      <c r="AQ25" s="7" t="str">
        <f>IF($I25&gt;0,VLOOKUP($I25,'Lista de Precios'!$A$3:$M$49893,13,0),"")</f>
        <v>Running+Training</v>
      </c>
      <c r="HQ25" s="134"/>
      <c r="HR25" s="134"/>
      <c r="HS25" s="134"/>
      <c r="HT25" s="134"/>
      <c r="HU25" s="134"/>
      <c r="HV25" s="134"/>
      <c r="HW25" s="134"/>
      <c r="HX25" s="134"/>
      <c r="HY25" s="134"/>
      <c r="HZ25" s="134"/>
      <c r="IA25" s="134"/>
      <c r="IB25" s="134"/>
      <c r="ID25" s="134"/>
      <c r="IE25" s="134"/>
      <c r="IF25" s="134"/>
      <c r="IG25" s="134"/>
      <c r="IH25" s="134"/>
      <c r="II25" s="134"/>
      <c r="IJ25" s="134"/>
      <c r="IK25" s="134"/>
      <c r="IL25" s="134"/>
      <c r="IM25" s="135"/>
      <c r="IN25" s="135"/>
      <c r="IO25" s="135"/>
      <c r="XEO25" s="7" t="str">
        <f t="shared" si="3"/>
        <v/>
      </c>
      <c r="XEP25" s="7" t="str">
        <f t="shared" si="4"/>
        <v/>
      </c>
      <c r="XEQ25" s="7" t="str">
        <f t="shared" si="5"/>
        <v/>
      </c>
      <c r="XER25" s="7" t="str">
        <f t="shared" si="6"/>
        <v/>
      </c>
    </row>
    <row r="26" spans="1:249 16369:16372" ht="23.25" customHeight="1" x14ac:dyDescent="0.25">
      <c r="A26" s="74">
        <f>IF($I26&gt;0,VLOOKUP(I26,'Lista de Precios'!$A$3:$L$2883,9,0),0)</f>
        <v>0</v>
      </c>
      <c r="B26" s="74">
        <f>IF($I26&gt;0,VLOOKUP(I26,'Lista de Precios'!$A$3:$H$2883,7,0),0)</f>
        <v>0</v>
      </c>
      <c r="C26" s="7" t="str">
        <f>IF($I26&gt;0,VLOOKUP(I26,'Lista de Precios'!$A$3:$H$2883,2,0),"")</f>
        <v/>
      </c>
      <c r="D26" s="7" t="str">
        <f>IF($I26&gt;0,VLOOKUP(I26,'Lista de Precios'!$A$3:$H$2883,3,0),"")</f>
        <v/>
      </c>
      <c r="E26" s="76" t="str">
        <f>IF($I26&gt;0,VLOOKUP(I26,'Lista de Precios'!$A$3:$H$2883,6,0),"")</f>
        <v/>
      </c>
      <c r="F26" s="76" t="str">
        <f>IF($I26&gt;0,VLOOKUP(I26,'Lista de Precios'!$A$3:$H$2883,8,0),"")</f>
        <v/>
      </c>
      <c r="G26" s="101" t="str">
        <f t="shared" si="8"/>
        <v/>
      </c>
      <c r="H26" s="20" t="s">
        <v>3</v>
      </c>
      <c r="I26" s="18"/>
      <c r="J26" s="28" t="str">
        <f t="shared" si="9"/>
        <v/>
      </c>
      <c r="K26" s="24"/>
      <c r="L26" s="37"/>
      <c r="M26" s="37"/>
      <c r="N26" s="37"/>
      <c r="O26" s="37"/>
      <c r="P26" s="40"/>
      <c r="Q26" s="39"/>
      <c r="R26" s="37"/>
      <c r="S26" s="37"/>
      <c r="T26" s="37"/>
      <c r="U26" s="37"/>
      <c r="V26" s="37"/>
      <c r="W26" s="37"/>
      <c r="X26" s="37"/>
      <c r="Y26" s="37"/>
      <c r="Z26" s="40"/>
      <c r="AA26" s="41"/>
      <c r="AB26" s="37"/>
      <c r="AC26" s="37"/>
      <c r="AD26" s="37"/>
      <c r="AE26" s="37"/>
      <c r="AF26" s="37"/>
      <c r="AG26" s="37"/>
      <c r="AH26" s="36"/>
      <c r="AI26" s="36"/>
      <c r="AJ26" s="36"/>
      <c r="AK26" s="42"/>
      <c r="AL26" s="42"/>
      <c r="AM26" s="73">
        <f t="shared" si="10"/>
        <v>0</v>
      </c>
      <c r="AN26" s="71" t="str">
        <f>+IF($I26&gt;0,VLOOKUP($I26,'Lista de Precios'!$A$3:$H$2883,4,0),"")</f>
        <v/>
      </c>
      <c r="AO26" s="68" t="str">
        <f t="shared" si="11"/>
        <v/>
      </c>
      <c r="AP26" s="7" t="str">
        <f>IF($I26&gt;0,VLOOKUP($I26,'Lista de Precios'!$A$3:$K$2883,10,0),"")</f>
        <v/>
      </c>
      <c r="AQ26" s="7" t="str">
        <f>IF($I26&gt;0,VLOOKUP($I26,'Lista de Precios'!$A$3:$M$49893,13,0),"")</f>
        <v/>
      </c>
      <c r="HQ26" s="134"/>
      <c r="HR26" s="134"/>
      <c r="HS26" s="134"/>
      <c r="HT26" s="134"/>
      <c r="HU26" s="134"/>
      <c r="HV26" s="134"/>
      <c r="HW26" s="134"/>
      <c r="HX26" s="134"/>
      <c r="HY26" s="134"/>
      <c r="HZ26" s="134"/>
      <c r="IA26" s="134"/>
      <c r="IB26" s="134"/>
      <c r="ID26" s="134"/>
      <c r="IE26" s="134"/>
      <c r="IF26" s="134"/>
      <c r="IG26" s="134"/>
      <c r="IH26" s="134"/>
      <c r="II26" s="134"/>
      <c r="IJ26" s="134"/>
      <c r="IK26" s="134"/>
      <c r="IL26" s="134"/>
      <c r="IM26" s="135"/>
      <c r="IN26" s="135"/>
      <c r="IO26" s="135"/>
      <c r="XEO26" s="7" t="str">
        <f t="shared" si="3"/>
        <v/>
      </c>
      <c r="XEP26" s="7" t="str">
        <f t="shared" si="4"/>
        <v/>
      </c>
      <c r="XEQ26" s="7" t="str">
        <f t="shared" si="5"/>
        <v/>
      </c>
      <c r="XER26" s="7" t="str">
        <f t="shared" si="6"/>
        <v/>
      </c>
    </row>
    <row r="27" spans="1:249 16369:16372" ht="23.25" customHeight="1" x14ac:dyDescent="0.25">
      <c r="A27" s="74" t="str">
        <f>IF($I27&gt;0,VLOOKUP(I27,'Lista de Precios'!$A$3:$L$2883,9,0),0)</f>
        <v>Hombre</v>
      </c>
      <c r="B27" s="74" t="str">
        <f>IF($I27&gt;0,VLOOKUP(I27,'Lista de Precios'!$A$3:$H$2883,7,0),0)</f>
        <v>CONT</v>
      </c>
      <c r="C27" s="7" t="str">
        <f>IF($I27&gt;0,VLOOKUP(I27,'Lista de Precios'!$A$3:$H$2883,2,0),"")</f>
        <v>SAN CIRO V FG</v>
      </c>
      <c r="D27" s="7" t="str">
        <f>IF($I27&gt;0,VLOOKUP(I27,'Lista de Precios'!$A$3:$H$2883,3,0),"")</f>
        <v>NEGRO</v>
      </c>
      <c r="E27" s="76" t="str">
        <f>IF($I27&gt;0,VLOOKUP(I27,'Lista de Precios'!$A$3:$H$2883,6,0),"")</f>
        <v>ENERO</v>
      </c>
      <c r="F27" s="76" t="str">
        <f>IF($I27&gt;0,VLOOKUP(I27,'Lista de Precios'!$A$3:$H$2883,8,0),"")</f>
        <v>35 AL 46</v>
      </c>
      <c r="G27" s="101">
        <f t="shared" si="8"/>
        <v>61899.999999999993</v>
      </c>
      <c r="H27" s="20" t="s">
        <v>3</v>
      </c>
      <c r="I27" s="18">
        <v>25884</v>
      </c>
      <c r="J27" s="28" t="str">
        <f t="shared" si="9"/>
        <v>ENERO</v>
      </c>
      <c r="K27" s="24"/>
      <c r="L27" s="37"/>
      <c r="M27" s="37"/>
      <c r="N27" s="37"/>
      <c r="O27" s="37"/>
      <c r="P27" s="40"/>
      <c r="Q27" s="39"/>
      <c r="R27" s="37"/>
      <c r="S27" s="37"/>
      <c r="T27" s="37"/>
      <c r="U27" s="37"/>
      <c r="V27" s="37"/>
      <c r="W27" s="37"/>
      <c r="X27" s="37"/>
      <c r="Y27" s="37"/>
      <c r="Z27" s="40"/>
      <c r="AA27" s="41"/>
      <c r="AB27" s="37"/>
      <c r="AC27" s="37"/>
      <c r="AD27" s="37">
        <v>4</v>
      </c>
      <c r="AE27" s="37"/>
      <c r="AF27" s="37"/>
      <c r="AG27" s="37"/>
      <c r="AH27" s="36">
        <v>4</v>
      </c>
      <c r="AI27" s="36"/>
      <c r="AJ27" s="36"/>
      <c r="AK27" s="42"/>
      <c r="AL27" s="42"/>
      <c r="AM27" s="73">
        <f t="shared" si="10"/>
        <v>8</v>
      </c>
      <c r="AN27" s="71">
        <f>+IF($I27&gt;0,VLOOKUP($I27,'Lista de Precios'!$A$3:$H$2883,4,0),"")</f>
        <v>33101.604278074861</v>
      </c>
      <c r="AO27" s="68">
        <f t="shared" si="11"/>
        <v>264812.83422459889</v>
      </c>
      <c r="AP27" s="7" t="str">
        <f>IF($I27&gt;0,VLOOKUP($I27,'Lista de Precios'!$A$3:$K$2883,10,0),"")</f>
        <v>Futbol</v>
      </c>
      <c r="AQ27" s="7" t="str">
        <f>IF($I27&gt;0,VLOOKUP($I27,'Lista de Precios'!$A$3:$M$49893,13,0),"")</f>
        <v>Multideporte</v>
      </c>
      <c r="HQ27" s="134"/>
      <c r="HR27" s="134"/>
      <c r="HS27" s="134"/>
      <c r="HT27" s="134"/>
      <c r="HU27" s="134"/>
      <c r="HV27" s="134"/>
      <c r="HW27" s="134"/>
      <c r="HX27" s="134"/>
      <c r="HY27" s="134"/>
      <c r="HZ27" s="134"/>
      <c r="IA27" s="134"/>
      <c r="IB27" s="134"/>
      <c r="ID27" s="134"/>
      <c r="IE27" s="134"/>
      <c r="IF27" s="134"/>
      <c r="IG27" s="134"/>
      <c r="IH27" s="134"/>
      <c r="II27" s="134"/>
      <c r="IJ27" s="134"/>
      <c r="IK27" s="134"/>
      <c r="IL27" s="134"/>
      <c r="IM27" s="135"/>
      <c r="IN27" s="135"/>
      <c r="IO27" s="135"/>
      <c r="XEO27" s="7" t="str">
        <f t="shared" si="3"/>
        <v/>
      </c>
      <c r="XEP27" s="7" t="str">
        <f t="shared" si="4"/>
        <v/>
      </c>
      <c r="XEQ27" s="7" t="str">
        <f t="shared" si="5"/>
        <v/>
      </c>
      <c r="XER27" s="7" t="str">
        <f t="shared" si="6"/>
        <v/>
      </c>
    </row>
    <row r="28" spans="1:249 16369:16372" ht="23.25" customHeight="1" x14ac:dyDescent="0.25">
      <c r="A28" s="74" t="str">
        <f>IF($I28&gt;0,VLOOKUP(I28,'Lista de Precios'!$A$3:$L$2883,9,0),0)</f>
        <v>Hombre</v>
      </c>
      <c r="B28" s="74" t="str">
        <f>IF($I28&gt;0,VLOOKUP(I28,'Lista de Precios'!$A$3:$H$2883,7,0),0)</f>
        <v>CONT</v>
      </c>
      <c r="C28" s="7" t="str">
        <f>IF($I28&gt;0,VLOOKUP(I28,'Lista de Precios'!$A$3:$H$2883,2,0),"")</f>
        <v>SAN CIRO V TF</v>
      </c>
      <c r="D28" s="7" t="str">
        <f>IF($I28&gt;0,VLOOKUP(I28,'Lista de Precios'!$A$3:$H$2883,3,0),"")</f>
        <v>NEGRO</v>
      </c>
      <c r="E28" s="76" t="str">
        <f>IF($I28&gt;0,VLOOKUP(I28,'Lista de Precios'!$A$3:$H$2883,6,0),"")</f>
        <v>ENERO</v>
      </c>
      <c r="F28" s="76" t="str">
        <f>IF($I28&gt;0,VLOOKUP(I28,'Lista de Precios'!$A$3:$H$2883,8,0),"")</f>
        <v>35 AL 46</v>
      </c>
      <c r="G28" s="101">
        <f t="shared" si="8"/>
        <v>61899.999999999993</v>
      </c>
      <c r="H28" s="20" t="s">
        <v>3</v>
      </c>
      <c r="I28" s="18">
        <v>25886</v>
      </c>
      <c r="J28" s="28" t="str">
        <f t="shared" si="9"/>
        <v>ENERO</v>
      </c>
      <c r="K28" s="24"/>
      <c r="L28" s="37"/>
      <c r="M28" s="37"/>
      <c r="N28" s="37"/>
      <c r="O28" s="37"/>
      <c r="P28" s="40"/>
      <c r="Q28" s="39"/>
      <c r="R28" s="37"/>
      <c r="S28" s="37"/>
      <c r="T28" s="37"/>
      <c r="U28" s="37"/>
      <c r="V28" s="37"/>
      <c r="W28" s="37"/>
      <c r="X28" s="37"/>
      <c r="Y28" s="37"/>
      <c r="Z28" s="40"/>
      <c r="AA28" s="43"/>
      <c r="AB28" s="43"/>
      <c r="AC28" s="43"/>
      <c r="AD28" s="43"/>
      <c r="AE28" s="43"/>
      <c r="AF28" s="43"/>
      <c r="AG28" s="43">
        <v>4</v>
      </c>
      <c r="AH28" s="36">
        <v>6</v>
      </c>
      <c r="AI28" s="36">
        <v>2</v>
      </c>
      <c r="AJ28" s="36"/>
      <c r="AK28" s="42"/>
      <c r="AL28" s="42"/>
      <c r="AM28" s="73"/>
      <c r="AN28" s="71">
        <f>+IF($I28&gt;0,VLOOKUP($I28,'Lista de Precios'!$A$3:$H$2883,4,0),"")</f>
        <v>33101.604278074861</v>
      </c>
      <c r="AO28" s="68" t="str">
        <f t="shared" si="11"/>
        <v/>
      </c>
      <c r="AP28" s="7" t="str">
        <f>IF($I28&gt;0,VLOOKUP($I28,'Lista de Precios'!$A$3:$K$2883,10,0),"")</f>
        <v>Futbol</v>
      </c>
      <c r="AQ28" s="7" t="str">
        <f>IF($I28&gt;0,VLOOKUP($I28,'Lista de Precios'!$A$3:$M$49893,13,0),"")</f>
        <v>Multideporte</v>
      </c>
      <c r="HQ28" s="134"/>
      <c r="HR28" s="134"/>
      <c r="HS28" s="134"/>
      <c r="HT28" s="134"/>
      <c r="HU28" s="134"/>
      <c r="HV28" s="134"/>
      <c r="HW28" s="134"/>
      <c r="HX28" s="134"/>
      <c r="HY28" s="134"/>
      <c r="HZ28" s="134"/>
      <c r="IA28" s="134"/>
      <c r="IB28" s="134"/>
      <c r="ID28" s="134"/>
      <c r="IE28" s="134"/>
      <c r="IF28" s="134"/>
      <c r="IG28" s="134"/>
      <c r="IH28" s="134"/>
      <c r="II28" s="134"/>
      <c r="IJ28" s="134"/>
      <c r="IK28" s="134"/>
      <c r="IL28" s="134"/>
      <c r="IM28" s="135"/>
      <c r="IN28" s="135"/>
      <c r="IO28" s="135"/>
      <c r="XEO28" s="7" t="str">
        <f t="shared" si="3"/>
        <v/>
      </c>
      <c r="XEP28" s="7" t="str">
        <f t="shared" si="4"/>
        <v/>
      </c>
      <c r="XEQ28" s="7" t="str">
        <f t="shared" si="5"/>
        <v/>
      </c>
      <c r="XER28" s="7" t="str">
        <f t="shared" si="6"/>
        <v/>
      </c>
    </row>
    <row r="29" spans="1:249 16369:16372" ht="23.25" customHeight="1" x14ac:dyDescent="0.25">
      <c r="A29" s="74" t="str">
        <f>IF($I29&gt;0,VLOOKUP(I29,'Lista de Precios'!$A$3:$L$2883,9,0),0)</f>
        <v>Hombre</v>
      </c>
      <c r="B29" s="74" t="str">
        <f>IF($I29&gt;0,VLOOKUP(I29,'Lista de Precios'!$A$3:$H$2883,7,0),0)</f>
        <v>CONT</v>
      </c>
      <c r="C29" s="7" t="str">
        <f>IF($I29&gt;0,VLOOKUP(I29,'Lista de Precios'!$A$3:$H$2883,2,0),"")</f>
        <v>SAN CIRO V TF</v>
      </c>
      <c r="D29" s="7" t="str">
        <f>IF($I29&gt;0,VLOOKUP(I29,'Lista de Precios'!$A$3:$H$2883,3,0),"")</f>
        <v>BLANCO / NEGRO</v>
      </c>
      <c r="E29" s="76" t="str">
        <f>IF($I29&gt;0,VLOOKUP(I29,'Lista de Precios'!$A$3:$H$2883,6,0),"")</f>
        <v>ENERO</v>
      </c>
      <c r="F29" s="76" t="str">
        <f>IF($I29&gt;0,VLOOKUP(I29,'Lista de Precios'!$A$3:$H$2883,8,0),"")</f>
        <v>35 AL 46</v>
      </c>
      <c r="G29" s="101">
        <f t="shared" si="7"/>
        <v>61899.999999999993</v>
      </c>
      <c r="H29" s="20" t="s">
        <v>3</v>
      </c>
      <c r="I29" s="18">
        <v>26459</v>
      </c>
      <c r="J29" s="28" t="str">
        <f t="shared" si="0"/>
        <v>ENERO</v>
      </c>
      <c r="K29" s="24"/>
      <c r="L29" s="37"/>
      <c r="M29" s="37"/>
      <c r="N29" s="37"/>
      <c r="O29" s="37"/>
      <c r="P29" s="40"/>
      <c r="Q29" s="39"/>
      <c r="R29" s="37"/>
      <c r="S29" s="37"/>
      <c r="T29" s="37"/>
      <c r="U29" s="37"/>
      <c r="V29" s="37"/>
      <c r="W29" s="37"/>
      <c r="X29" s="37"/>
      <c r="Y29" s="37"/>
      <c r="Z29" s="40"/>
      <c r="AA29" s="41"/>
      <c r="AB29" s="37"/>
      <c r="AC29" s="37">
        <v>2</v>
      </c>
      <c r="AD29" s="37"/>
      <c r="AE29" s="37"/>
      <c r="AF29" s="37"/>
      <c r="AG29" s="37">
        <v>4</v>
      </c>
      <c r="AH29" s="36">
        <v>4</v>
      </c>
      <c r="AI29" s="36"/>
      <c r="AJ29" s="36"/>
      <c r="AK29" s="42"/>
      <c r="AL29" s="42"/>
      <c r="AM29" s="73">
        <f t="shared" si="1"/>
        <v>10</v>
      </c>
      <c r="AN29" s="71">
        <f>+IF($I29&gt;0,VLOOKUP($I29,'Lista de Precios'!$A$3:$H$2883,4,0),"")</f>
        <v>33101.604278074861</v>
      </c>
      <c r="AO29" s="68">
        <f t="shared" si="2"/>
        <v>331016.04278074863</v>
      </c>
      <c r="AP29" s="7" t="str">
        <f>IF($I29&gt;0,VLOOKUP($I29,'Lista de Precios'!$A$3:$K$2883,10,0),"")</f>
        <v>Futbol</v>
      </c>
      <c r="AQ29" s="7" t="str">
        <f>IF($I29&gt;0,VLOOKUP($I29,'Lista de Precios'!$A$3:$M$49893,13,0),"")</f>
        <v>Multideporte</v>
      </c>
      <c r="HQ29" s="134"/>
      <c r="HR29" s="134"/>
      <c r="HS29" s="134"/>
      <c r="HT29" s="134"/>
      <c r="HU29" s="134"/>
      <c r="HV29" s="134"/>
      <c r="HW29" s="134"/>
      <c r="HX29" s="134"/>
      <c r="HY29" s="134"/>
      <c r="HZ29" s="134"/>
      <c r="IA29" s="134"/>
      <c r="IB29" s="134"/>
      <c r="ID29" s="134"/>
      <c r="IE29" s="134"/>
      <c r="IF29" s="134"/>
      <c r="IG29" s="134"/>
      <c r="IH29" s="134"/>
      <c r="II29" s="134"/>
      <c r="IJ29" s="134"/>
      <c r="IK29" s="134"/>
      <c r="IL29" s="134"/>
      <c r="IM29" s="135"/>
      <c r="IN29" s="135"/>
      <c r="IO29" s="135"/>
      <c r="XEO29" s="7" t="str">
        <f t="shared" si="3"/>
        <v/>
      </c>
      <c r="XEP29" s="7" t="str">
        <f t="shared" si="4"/>
        <v/>
      </c>
      <c r="XEQ29" s="7" t="str">
        <f t="shared" si="5"/>
        <v/>
      </c>
      <c r="XER29" s="7" t="str">
        <f t="shared" si="6"/>
        <v/>
      </c>
    </row>
    <row r="30" spans="1:249 16369:16372" ht="23.25" customHeight="1" x14ac:dyDescent="0.25">
      <c r="A30" s="74" t="str">
        <f>IF($I30&gt;0,VLOOKUP(I30,'Lista de Precios'!$A$3:$L$2883,9,0),0)</f>
        <v>Hombre</v>
      </c>
      <c r="B30" s="74" t="str">
        <f>IF($I30&gt;0,VLOOKUP(I30,'Lista de Precios'!$A$3:$H$2883,7,0),0)</f>
        <v>CONT</v>
      </c>
      <c r="C30" s="7" t="str">
        <f>IF($I30&gt;0,VLOOKUP(I30,'Lista de Precios'!$A$3:$H$2883,2,0),"")</f>
        <v>SAN CIRO V FG</v>
      </c>
      <c r="D30" s="7" t="str">
        <f>IF($I30&gt;0,VLOOKUP(I30,'Lista de Precios'!$A$3:$H$2883,3,0),"")</f>
        <v>BLANCO / NEGRO</v>
      </c>
      <c r="E30" s="76" t="str">
        <f>IF($I30&gt;0,VLOOKUP(I30,'Lista de Precios'!$A$3:$H$2883,6,0),"")</f>
        <v>ENERO</v>
      </c>
      <c r="F30" s="76" t="str">
        <f>IF($I30&gt;0,VLOOKUP(I30,'Lista de Precios'!$A$3:$H$2883,8,0),"")</f>
        <v>35 AL 46</v>
      </c>
      <c r="G30" s="101">
        <f t="shared" si="7"/>
        <v>61899.999999999993</v>
      </c>
      <c r="H30" s="20" t="s">
        <v>3</v>
      </c>
      <c r="I30" s="18">
        <v>26458</v>
      </c>
      <c r="J30" s="28" t="str">
        <f t="shared" si="0"/>
        <v>ENERO</v>
      </c>
      <c r="K30" s="24"/>
      <c r="L30" s="37"/>
      <c r="M30" s="37"/>
      <c r="N30" s="37"/>
      <c r="O30" s="37"/>
      <c r="P30" s="40"/>
      <c r="Q30" s="39"/>
      <c r="R30" s="37"/>
      <c r="S30" s="37"/>
      <c r="T30" s="37"/>
      <c r="U30" s="37"/>
      <c r="V30" s="37"/>
      <c r="W30" s="37"/>
      <c r="X30" s="37"/>
      <c r="Y30" s="37"/>
      <c r="Z30" s="40"/>
      <c r="AA30" s="41"/>
      <c r="AB30" s="37"/>
      <c r="AC30" s="37">
        <v>4</v>
      </c>
      <c r="AD30" s="37"/>
      <c r="AE30" s="37"/>
      <c r="AF30" s="37">
        <v>4</v>
      </c>
      <c r="AG30" s="37">
        <v>2</v>
      </c>
      <c r="AH30" s="36"/>
      <c r="AI30" s="36"/>
      <c r="AJ30" s="36"/>
      <c r="AK30" s="42"/>
      <c r="AL30" s="42"/>
      <c r="AM30" s="73">
        <f t="shared" si="1"/>
        <v>10</v>
      </c>
      <c r="AN30" s="71">
        <f>+IF($I30&gt;0,VLOOKUP($I30,'Lista de Precios'!$A$3:$H$2883,4,0),"")</f>
        <v>33101.604278074861</v>
      </c>
      <c r="AO30" s="68">
        <f t="shared" si="2"/>
        <v>331016.04278074863</v>
      </c>
      <c r="AP30" s="7" t="str">
        <f>IF($I30&gt;0,VLOOKUP($I30,'Lista de Precios'!$A$3:$K$2883,10,0),"")</f>
        <v>Futbol</v>
      </c>
      <c r="AQ30" s="7" t="str">
        <f>IF($I30&gt;0,VLOOKUP($I30,'Lista de Precios'!$A$3:$M$49893,13,0),"")</f>
        <v>Multideporte</v>
      </c>
      <c r="HQ30" s="134"/>
      <c r="HR30" s="134"/>
      <c r="HS30" s="134"/>
      <c r="HT30" s="134"/>
      <c r="HU30" s="134"/>
      <c r="HV30" s="134"/>
      <c r="HW30" s="134"/>
      <c r="HX30" s="134"/>
      <c r="HY30" s="134"/>
      <c r="HZ30" s="134"/>
      <c r="IA30" s="134"/>
      <c r="IB30" s="134"/>
      <c r="ID30" s="134"/>
      <c r="IE30" s="134"/>
      <c r="IF30" s="134"/>
      <c r="IG30" s="134"/>
      <c r="IH30" s="134"/>
      <c r="II30" s="134"/>
      <c r="IJ30" s="134"/>
      <c r="IK30" s="134"/>
      <c r="IL30" s="134"/>
      <c r="IM30" s="135"/>
      <c r="IN30" s="135"/>
      <c r="IO30" s="135"/>
      <c r="XEO30" s="7" t="str">
        <f t="shared" si="3"/>
        <v/>
      </c>
      <c r="XEP30" s="7" t="str">
        <f t="shared" si="4"/>
        <v/>
      </c>
      <c r="XEQ30" s="7" t="str">
        <f t="shared" si="5"/>
        <v/>
      </c>
      <c r="XER30" s="7" t="str">
        <f t="shared" si="6"/>
        <v/>
      </c>
    </row>
    <row r="31" spans="1:249 16369:16372" ht="23.25" customHeight="1" x14ac:dyDescent="0.25">
      <c r="A31" s="74">
        <f>IF($I31&gt;0,VLOOKUP(I31,'Lista de Precios'!$A$3:$L$2883,9,0),0)</f>
        <v>0</v>
      </c>
      <c r="B31" s="74">
        <f>IF($I31&gt;0,VLOOKUP(I31,'Lista de Precios'!$A$3:$H$2883,7,0),0)</f>
        <v>0</v>
      </c>
      <c r="C31" s="7" t="str">
        <f>IF($I31&gt;0,VLOOKUP(I31,'Lista de Precios'!$A$3:$H$2883,2,0),"")</f>
        <v/>
      </c>
      <c r="D31" s="7" t="str">
        <f>IF($I31&gt;0,VLOOKUP(I31,'Lista de Precios'!$A$3:$H$2883,3,0),"")</f>
        <v/>
      </c>
      <c r="E31" s="76" t="str">
        <f>IF($I31&gt;0,VLOOKUP(I31,'Lista de Precios'!$A$3:$H$2883,6,0),"")</f>
        <v/>
      </c>
      <c r="F31" s="76" t="str">
        <f>IF($I31&gt;0,VLOOKUP(I31,'Lista de Precios'!$A$3:$H$2883,8,0),"")</f>
        <v/>
      </c>
      <c r="G31" s="101" t="str">
        <f t="shared" si="7"/>
        <v/>
      </c>
      <c r="H31" s="20" t="s">
        <v>3</v>
      </c>
      <c r="I31" s="18"/>
      <c r="J31" s="28" t="str">
        <f t="shared" si="0"/>
        <v/>
      </c>
      <c r="K31" s="24"/>
      <c r="L31" s="37"/>
      <c r="M31" s="37"/>
      <c r="N31" s="37"/>
      <c r="O31" s="37"/>
      <c r="P31" s="40"/>
      <c r="Q31" s="39"/>
      <c r="R31" s="37"/>
      <c r="S31" s="37"/>
      <c r="T31" s="37"/>
      <c r="U31" s="37"/>
      <c r="V31" s="37"/>
      <c r="W31" s="37"/>
      <c r="X31" s="37"/>
      <c r="Y31" s="37"/>
      <c r="Z31" s="40"/>
      <c r="AA31" s="41"/>
      <c r="AB31" s="37"/>
      <c r="AC31" s="37"/>
      <c r="AD31" s="37"/>
      <c r="AE31" s="37"/>
      <c r="AF31" s="37"/>
      <c r="AG31" s="37"/>
      <c r="AH31" s="36"/>
      <c r="AI31" s="36"/>
      <c r="AJ31" s="36"/>
      <c r="AK31" s="42"/>
      <c r="AL31" s="42"/>
      <c r="AM31" s="73">
        <f t="shared" si="1"/>
        <v>0</v>
      </c>
      <c r="AN31" s="71" t="str">
        <f>+IF($I31&gt;0,VLOOKUP($I31,'Lista de Precios'!$A$3:$H$2883,4,0),"")</f>
        <v/>
      </c>
      <c r="AO31" s="68" t="str">
        <f t="shared" si="2"/>
        <v/>
      </c>
      <c r="AP31" s="7" t="str">
        <f>IF($I31&gt;0,VLOOKUP($I31,'Lista de Precios'!$A$3:$K$2883,10,0),"")</f>
        <v/>
      </c>
      <c r="AQ31" s="7" t="str">
        <f>IF($I31&gt;0,VLOOKUP($I31,'Lista de Precios'!$A$3:$M$49893,13,0),"")</f>
        <v/>
      </c>
      <c r="HQ31" s="134"/>
      <c r="HR31" s="134"/>
      <c r="HS31" s="134"/>
      <c r="HT31" s="134"/>
      <c r="HU31" s="134"/>
      <c r="HV31" s="134"/>
      <c r="HW31" s="134"/>
      <c r="HX31" s="134"/>
      <c r="HY31" s="134"/>
      <c r="HZ31" s="134"/>
      <c r="IA31" s="134"/>
      <c r="IB31" s="134"/>
      <c r="ID31" s="134"/>
      <c r="IE31" s="134"/>
      <c r="IF31" s="134"/>
      <c r="IG31" s="134"/>
      <c r="IH31" s="134"/>
      <c r="II31" s="134"/>
      <c r="IJ31" s="134"/>
      <c r="IK31" s="134"/>
      <c r="IL31" s="134"/>
      <c r="IM31" s="135"/>
      <c r="IN31" s="135"/>
      <c r="IO31" s="135"/>
      <c r="XEO31" s="7" t="str">
        <f t="shared" si="3"/>
        <v/>
      </c>
      <c r="XEP31" s="7" t="str">
        <f t="shared" si="4"/>
        <v/>
      </c>
      <c r="XEQ31" s="7" t="str">
        <f t="shared" si="5"/>
        <v/>
      </c>
      <c r="XER31" s="7" t="str">
        <f t="shared" si="6"/>
        <v/>
      </c>
    </row>
    <row r="32" spans="1:249 16369:16372" ht="23.25" customHeight="1" x14ac:dyDescent="0.25">
      <c r="A32" s="74">
        <f>IF($I32&gt;0,VLOOKUP(I32,'Lista de Precios'!$A$3:$L$2883,9,0),0)</f>
        <v>0</v>
      </c>
      <c r="B32" s="74">
        <f>IF($I32&gt;0,VLOOKUP(I32,'Lista de Precios'!$A$3:$H$2883,7,0),0)</f>
        <v>0</v>
      </c>
      <c r="C32" s="7" t="str">
        <f>IF($I32&gt;0,VLOOKUP(I32,'Lista de Precios'!$A$3:$H$2883,2,0),"")</f>
        <v/>
      </c>
      <c r="D32" s="7" t="str">
        <f>IF($I32&gt;0,VLOOKUP(I32,'Lista de Precios'!$A$3:$H$2883,3,0),"")</f>
        <v/>
      </c>
      <c r="E32" s="76" t="str">
        <f>IF($I32&gt;0,VLOOKUP(I32,'Lista de Precios'!$A$3:$H$2883,6,0),"")</f>
        <v/>
      </c>
      <c r="F32" s="76" t="str">
        <f>IF($I32&gt;0,VLOOKUP(I32,'Lista de Precios'!$A$3:$H$2883,8,0),"")</f>
        <v/>
      </c>
      <c r="G32" s="101" t="str">
        <f t="shared" si="7"/>
        <v/>
      </c>
      <c r="H32" s="20" t="s">
        <v>3</v>
      </c>
      <c r="I32" s="18"/>
      <c r="J32" s="28" t="str">
        <f t="shared" si="0"/>
        <v/>
      </c>
      <c r="K32" s="24"/>
      <c r="L32" s="37"/>
      <c r="M32" s="37"/>
      <c r="N32" s="37"/>
      <c r="O32" s="37"/>
      <c r="P32" s="40"/>
      <c r="Q32" s="39"/>
      <c r="R32" s="37"/>
      <c r="S32" s="37"/>
      <c r="T32" s="37"/>
      <c r="U32" s="37"/>
      <c r="V32" s="37"/>
      <c r="W32" s="37"/>
      <c r="X32" s="37"/>
      <c r="Y32" s="37"/>
      <c r="Z32" s="40"/>
      <c r="AA32" s="41"/>
      <c r="AB32" s="37"/>
      <c r="AC32" s="37"/>
      <c r="AD32" s="37"/>
      <c r="AE32" s="37"/>
      <c r="AF32" s="37"/>
      <c r="AG32" s="37"/>
      <c r="AH32" s="36"/>
      <c r="AI32" s="36"/>
      <c r="AJ32" s="36"/>
      <c r="AK32" s="42"/>
      <c r="AL32" s="42"/>
      <c r="AM32" s="73">
        <f t="shared" si="1"/>
        <v>0</v>
      </c>
      <c r="AN32" s="71" t="str">
        <f>+IF($I32&gt;0,VLOOKUP($I32,'Lista de Precios'!$A$3:$H$2883,4,0),"")</f>
        <v/>
      </c>
      <c r="AO32" s="68" t="str">
        <f t="shared" si="2"/>
        <v/>
      </c>
      <c r="AP32" s="7" t="str">
        <f>IF($I32&gt;0,VLOOKUP($I32,'Lista de Precios'!$A$3:$K$2883,10,0),"")</f>
        <v/>
      </c>
      <c r="AQ32" s="7" t="str">
        <f>IF($I32&gt;0,VLOOKUP($I32,'Lista de Precios'!$A$3:$M$49893,13,0),"")</f>
        <v/>
      </c>
      <c r="HQ32" s="134"/>
      <c r="HR32" s="134"/>
      <c r="HS32" s="134"/>
      <c r="HT32" s="134"/>
      <c r="HU32" s="134"/>
      <c r="HV32" s="134"/>
      <c r="HW32" s="134"/>
      <c r="HX32" s="134"/>
      <c r="HY32" s="134"/>
      <c r="HZ32" s="134"/>
      <c r="IA32" s="134"/>
      <c r="IB32" s="134"/>
      <c r="ID32" s="134"/>
      <c r="IE32" s="134"/>
      <c r="IF32" s="134"/>
      <c r="IG32" s="134"/>
      <c r="IH32" s="134"/>
      <c r="II32" s="134"/>
      <c r="IJ32" s="134"/>
      <c r="IK32" s="134"/>
      <c r="IL32" s="134"/>
      <c r="IM32" s="135"/>
      <c r="IN32" s="135"/>
      <c r="IO32" s="135"/>
      <c r="XEO32" s="7" t="str">
        <f t="shared" si="3"/>
        <v/>
      </c>
      <c r="XEP32" s="7" t="str">
        <f t="shared" si="4"/>
        <v/>
      </c>
      <c r="XEQ32" s="7" t="str">
        <f t="shared" si="5"/>
        <v/>
      </c>
      <c r="XER32" s="7" t="str">
        <f t="shared" si="6"/>
        <v/>
      </c>
    </row>
    <row r="33" spans="1:249 16369:16372" ht="23.25" customHeight="1" x14ac:dyDescent="0.25">
      <c r="A33" s="74">
        <f>IF($I33&gt;0,VLOOKUP(I33,'Lista de Precios'!$A$3:$L$2883,9,0),0)</f>
        <v>0</v>
      </c>
      <c r="B33" s="74">
        <f>IF($I33&gt;0,VLOOKUP(I33,'Lista de Precios'!$A$3:$H$2883,7,0),0)</f>
        <v>0</v>
      </c>
      <c r="C33" s="7" t="str">
        <f>IF($I33&gt;0,VLOOKUP(I33,'Lista de Precios'!$A$3:$H$2883,2,0),"")</f>
        <v/>
      </c>
      <c r="D33" s="7" t="str">
        <f>IF($I33&gt;0,VLOOKUP(I33,'Lista de Precios'!$A$3:$H$2883,3,0),"")</f>
        <v/>
      </c>
      <c r="E33" s="76" t="str">
        <f>IF($I33&gt;0,VLOOKUP(I33,'Lista de Precios'!$A$3:$H$2883,6,0),"")</f>
        <v/>
      </c>
      <c r="F33" s="76" t="str">
        <f>IF($I33&gt;0,VLOOKUP(I33,'Lista de Precios'!$A$3:$H$2883,8,0),"")</f>
        <v/>
      </c>
      <c r="G33" s="101" t="str">
        <f t="shared" si="7"/>
        <v/>
      </c>
      <c r="H33" s="20" t="s">
        <v>3</v>
      </c>
      <c r="I33" s="18"/>
      <c r="J33" s="28" t="str">
        <f t="shared" si="0"/>
        <v/>
      </c>
      <c r="K33" s="24"/>
      <c r="L33" s="37"/>
      <c r="M33" s="37"/>
      <c r="N33" s="37"/>
      <c r="O33" s="37"/>
      <c r="P33" s="40"/>
      <c r="Q33" s="39"/>
      <c r="R33" s="37"/>
      <c r="S33" s="37"/>
      <c r="T33" s="37"/>
      <c r="U33" s="37"/>
      <c r="V33" s="37"/>
      <c r="W33" s="37"/>
      <c r="X33" s="37"/>
      <c r="Y33" s="37"/>
      <c r="Z33" s="40"/>
      <c r="AA33" s="41"/>
      <c r="AB33" s="37"/>
      <c r="AC33" s="37"/>
      <c r="AD33" s="37"/>
      <c r="AE33" s="37"/>
      <c r="AF33" s="37"/>
      <c r="AG33" s="37"/>
      <c r="AH33" s="36"/>
      <c r="AI33" s="36"/>
      <c r="AJ33" s="36"/>
      <c r="AK33" s="42"/>
      <c r="AL33" s="42"/>
      <c r="AM33" s="73">
        <f t="shared" si="1"/>
        <v>0</v>
      </c>
      <c r="AN33" s="71" t="str">
        <f>+IF($I33&gt;0,VLOOKUP($I33,'Lista de Precios'!$A$3:$H$2883,4,0),"")</f>
        <v/>
      </c>
      <c r="AO33" s="68" t="str">
        <f t="shared" si="2"/>
        <v/>
      </c>
      <c r="AP33" s="7" t="str">
        <f>IF($I33&gt;0,VLOOKUP($I33,'Lista de Precios'!$A$3:$K$2883,10,0),"")</f>
        <v/>
      </c>
      <c r="AQ33" s="7" t="str">
        <f>IF($I33&gt;0,VLOOKUP($I33,'Lista de Precios'!$A$3:$M$49893,13,0),"")</f>
        <v/>
      </c>
      <c r="HQ33" s="134"/>
      <c r="HR33" s="134"/>
      <c r="HS33" s="134"/>
      <c r="HT33" s="134"/>
      <c r="HU33" s="134"/>
      <c r="HV33" s="134"/>
      <c r="HW33" s="134"/>
      <c r="HX33" s="134"/>
      <c r="HY33" s="134"/>
      <c r="HZ33" s="134"/>
      <c r="IA33" s="134"/>
      <c r="IB33" s="134"/>
      <c r="ID33" s="134"/>
      <c r="IE33" s="134"/>
      <c r="IF33" s="134"/>
      <c r="IG33" s="134"/>
      <c r="IH33" s="134"/>
      <c r="II33" s="134"/>
      <c r="IJ33" s="134"/>
      <c r="IK33" s="134"/>
      <c r="IL33" s="134"/>
      <c r="IM33" s="135"/>
      <c r="IN33" s="135"/>
      <c r="IO33" s="135"/>
      <c r="XEO33" s="7" t="str">
        <f t="shared" si="3"/>
        <v/>
      </c>
      <c r="XEP33" s="7" t="str">
        <f t="shared" si="4"/>
        <v/>
      </c>
      <c r="XEQ33" s="7" t="str">
        <f t="shared" si="5"/>
        <v/>
      </c>
      <c r="XER33" s="7" t="str">
        <f t="shared" si="6"/>
        <v/>
      </c>
    </row>
    <row r="34" spans="1:249 16369:16372" ht="23.25" customHeight="1" x14ac:dyDescent="0.25">
      <c r="A34" s="74">
        <f>IF($I34&gt;0,VLOOKUP(I34,'Lista de Precios'!$A$3:$L$2883,9,0),0)</f>
        <v>0</v>
      </c>
      <c r="B34" s="74">
        <f>IF($I34&gt;0,VLOOKUP(I34,'Lista de Precios'!$A$3:$H$2883,7,0),0)</f>
        <v>0</v>
      </c>
      <c r="C34" s="7" t="str">
        <f>IF($I34&gt;0,VLOOKUP(I34,'Lista de Precios'!$A$3:$H$2883,2,0),"")</f>
        <v/>
      </c>
      <c r="D34" s="7" t="str">
        <f>IF($I34&gt;0,VLOOKUP(I34,'Lista de Precios'!$A$3:$H$2883,3,0),"")</f>
        <v/>
      </c>
      <c r="E34" s="76" t="str">
        <f>IF($I34&gt;0,VLOOKUP(I34,'Lista de Precios'!$A$3:$H$2883,6,0),"")</f>
        <v/>
      </c>
      <c r="F34" s="76" t="str">
        <f>IF($I34&gt;0,VLOOKUP(I34,'Lista de Precios'!$A$3:$H$2883,8,0),"")</f>
        <v/>
      </c>
      <c r="G34" s="101" t="str">
        <f t="shared" si="7"/>
        <v/>
      </c>
      <c r="H34" s="20" t="s">
        <v>3</v>
      </c>
      <c r="I34" s="18"/>
      <c r="J34" s="28" t="str">
        <f t="shared" si="0"/>
        <v/>
      </c>
      <c r="K34" s="24"/>
      <c r="L34" s="37"/>
      <c r="M34" s="37"/>
      <c r="N34" s="37"/>
      <c r="O34" s="37"/>
      <c r="P34" s="40"/>
      <c r="Q34" s="39"/>
      <c r="R34" s="37"/>
      <c r="S34" s="37"/>
      <c r="T34" s="37"/>
      <c r="U34" s="37"/>
      <c r="V34" s="37"/>
      <c r="W34" s="37"/>
      <c r="X34" s="37"/>
      <c r="Y34" s="37"/>
      <c r="Z34" s="40"/>
      <c r="AA34" s="41"/>
      <c r="AB34" s="37"/>
      <c r="AC34" s="37"/>
      <c r="AD34" s="37"/>
      <c r="AE34" s="37"/>
      <c r="AF34" s="37"/>
      <c r="AG34" s="37"/>
      <c r="AH34" s="36"/>
      <c r="AI34" s="36"/>
      <c r="AJ34" s="36"/>
      <c r="AK34" s="42"/>
      <c r="AL34" s="42"/>
      <c r="AM34" s="73">
        <f t="shared" si="1"/>
        <v>0</v>
      </c>
      <c r="AN34" s="71" t="str">
        <f>+IF($I34&gt;0,VLOOKUP($I34,'Lista de Precios'!$A$3:$H$2883,4,0),"")</f>
        <v/>
      </c>
      <c r="AO34" s="68" t="str">
        <f t="shared" si="2"/>
        <v/>
      </c>
      <c r="AP34" s="7" t="str">
        <f>IF($I34&gt;0,VLOOKUP($I34,'Lista de Precios'!$A$3:$K$2883,10,0),"")</f>
        <v/>
      </c>
      <c r="AQ34" s="7" t="str">
        <f>IF($I34&gt;0,VLOOKUP($I34,'Lista de Precios'!$A$3:$M$49893,13,0),"")</f>
        <v/>
      </c>
      <c r="HQ34" s="134"/>
      <c r="HR34" s="134"/>
      <c r="HS34" s="134"/>
      <c r="HT34" s="134"/>
      <c r="HU34" s="134"/>
      <c r="HV34" s="134"/>
      <c r="HW34" s="134"/>
      <c r="HX34" s="134"/>
      <c r="HY34" s="134"/>
      <c r="HZ34" s="134"/>
      <c r="IA34" s="134"/>
      <c r="IB34" s="134"/>
      <c r="ID34" s="134"/>
      <c r="IE34" s="134"/>
      <c r="IF34" s="134"/>
      <c r="IG34" s="134"/>
      <c r="IH34" s="134"/>
      <c r="II34" s="134"/>
      <c r="IJ34" s="134"/>
      <c r="IK34" s="134"/>
      <c r="IL34" s="134"/>
      <c r="IM34" s="135"/>
      <c r="IN34" s="135"/>
      <c r="IO34" s="135"/>
      <c r="XEO34" s="7" t="str">
        <f t="shared" si="3"/>
        <v/>
      </c>
      <c r="XEP34" s="7" t="str">
        <f t="shared" si="4"/>
        <v/>
      </c>
      <c r="XEQ34" s="7" t="str">
        <f t="shared" si="5"/>
        <v/>
      </c>
      <c r="XER34" s="7" t="str">
        <f t="shared" si="6"/>
        <v/>
      </c>
    </row>
    <row r="35" spans="1:249 16369:16372" ht="23.25" customHeight="1" x14ac:dyDescent="0.25">
      <c r="A35" s="74">
        <f>IF($I35&gt;0,VLOOKUP(I35,'Lista de Precios'!$A$3:$L$2883,9,0),0)</f>
        <v>0</v>
      </c>
      <c r="B35" s="74">
        <f>IF($I35&gt;0,VLOOKUP(I35,'Lista de Precios'!$A$3:$H$2883,7,0),0)</f>
        <v>0</v>
      </c>
      <c r="C35" s="7" t="str">
        <f>IF($I35&gt;0,VLOOKUP(I35,'Lista de Precios'!$A$3:$H$2883,2,0),"")</f>
        <v/>
      </c>
      <c r="D35" s="7" t="str">
        <f>IF($I35&gt;0,VLOOKUP(I35,'Lista de Precios'!$A$3:$H$2883,3,0),"")</f>
        <v/>
      </c>
      <c r="E35" s="76" t="str">
        <f>IF($I35&gt;0,VLOOKUP(I35,'Lista de Precios'!$A$3:$H$2883,6,0),"")</f>
        <v/>
      </c>
      <c r="F35" s="76" t="str">
        <f>IF($I35&gt;0,VLOOKUP(I35,'Lista de Precios'!$A$3:$H$2883,8,0),"")</f>
        <v/>
      </c>
      <c r="G35" s="101" t="str">
        <f t="shared" si="7"/>
        <v/>
      </c>
      <c r="H35" s="20" t="s">
        <v>3</v>
      </c>
      <c r="I35" s="18"/>
      <c r="J35" s="28" t="str">
        <f t="shared" si="0"/>
        <v/>
      </c>
      <c r="K35" s="24"/>
      <c r="L35" s="37"/>
      <c r="M35" s="37"/>
      <c r="N35" s="37"/>
      <c r="O35" s="37"/>
      <c r="P35" s="40"/>
      <c r="Q35" s="39"/>
      <c r="R35" s="37"/>
      <c r="S35" s="37"/>
      <c r="T35" s="37"/>
      <c r="U35" s="37"/>
      <c r="V35" s="37"/>
      <c r="W35" s="37"/>
      <c r="X35" s="37"/>
      <c r="Y35" s="37"/>
      <c r="Z35" s="40"/>
      <c r="AA35" s="41"/>
      <c r="AB35" s="37"/>
      <c r="AC35" s="37"/>
      <c r="AD35" s="37"/>
      <c r="AE35" s="37"/>
      <c r="AF35" s="37"/>
      <c r="AG35" s="37"/>
      <c r="AH35" s="36"/>
      <c r="AI35" s="36"/>
      <c r="AJ35" s="36"/>
      <c r="AK35" s="42"/>
      <c r="AL35" s="42"/>
      <c r="AM35" s="73">
        <f t="shared" si="1"/>
        <v>0</v>
      </c>
      <c r="AN35" s="71" t="str">
        <f>+IF($I35&gt;0,VLOOKUP($I35,'Lista de Precios'!$A$3:$H$2883,4,0),"")</f>
        <v/>
      </c>
      <c r="AO35" s="68" t="str">
        <f t="shared" si="2"/>
        <v/>
      </c>
      <c r="AP35" s="7" t="str">
        <f>IF($I35&gt;0,VLOOKUP($I35,'Lista de Precios'!$A$3:$K$2883,10,0),"")</f>
        <v/>
      </c>
      <c r="AQ35" s="7" t="str">
        <f>IF($I35&gt;0,VLOOKUP($I35,'Lista de Precios'!$A$3:$M$49893,13,0),"")</f>
        <v/>
      </c>
      <c r="HQ35" s="134"/>
      <c r="HR35" s="134"/>
      <c r="HS35" s="134"/>
      <c r="HT35" s="134"/>
      <c r="HU35" s="134"/>
      <c r="HV35" s="134"/>
      <c r="HW35" s="134"/>
      <c r="HX35" s="134"/>
      <c r="HY35" s="134"/>
      <c r="HZ35" s="134"/>
      <c r="IA35" s="134"/>
      <c r="IB35" s="134"/>
      <c r="ID35" s="134"/>
      <c r="IE35" s="134"/>
      <c r="IF35" s="134"/>
      <c r="IG35" s="134"/>
      <c r="IH35" s="134"/>
      <c r="II35" s="134"/>
      <c r="IJ35" s="134"/>
      <c r="IK35" s="134"/>
      <c r="IL35" s="134"/>
      <c r="IM35" s="135"/>
      <c r="IN35" s="135"/>
      <c r="IO35" s="135"/>
      <c r="XEO35" s="7" t="str">
        <f t="shared" si="3"/>
        <v/>
      </c>
      <c r="XEP35" s="7" t="str">
        <f t="shared" si="4"/>
        <v/>
      </c>
      <c r="XEQ35" s="7" t="str">
        <f t="shared" si="5"/>
        <v/>
      </c>
      <c r="XER35" s="7" t="str">
        <f t="shared" si="6"/>
        <v/>
      </c>
    </row>
    <row r="36" spans="1:249 16369:16372" ht="23.25" customHeight="1" x14ac:dyDescent="0.25">
      <c r="A36" s="74">
        <f>IF($I36&gt;0,VLOOKUP(I36,'Lista de Precios'!$A$3:$L$2883,9,0),0)</f>
        <v>0</v>
      </c>
      <c r="B36" s="74">
        <f>IF($I36&gt;0,VLOOKUP(I36,'Lista de Precios'!$A$3:$H$2883,7,0),0)</f>
        <v>0</v>
      </c>
      <c r="C36" s="7" t="str">
        <f>IF($I36&gt;0,VLOOKUP(I36,'Lista de Precios'!$A$3:$H$2883,2,0),"")</f>
        <v/>
      </c>
      <c r="D36" s="7" t="str">
        <f>IF($I36&gt;0,VLOOKUP(I36,'Lista de Precios'!$A$3:$H$2883,3,0),"")</f>
        <v/>
      </c>
      <c r="E36" s="76" t="str">
        <f>IF($I36&gt;0,VLOOKUP(I36,'Lista de Precios'!$A$3:$H$2883,6,0),"")</f>
        <v/>
      </c>
      <c r="F36" s="76" t="str">
        <f>IF($I36&gt;0,VLOOKUP(I36,'Lista de Precios'!$A$3:$H$2883,8,0),"")</f>
        <v/>
      </c>
      <c r="G36" s="101" t="str">
        <f t="shared" si="7"/>
        <v/>
      </c>
      <c r="H36" s="20" t="s">
        <v>3</v>
      </c>
      <c r="I36" s="18"/>
      <c r="J36" s="28" t="str">
        <f t="shared" si="0"/>
        <v/>
      </c>
      <c r="K36" s="24"/>
      <c r="L36" s="37"/>
      <c r="M36" s="37"/>
      <c r="N36" s="37"/>
      <c r="O36" s="37"/>
      <c r="P36" s="40"/>
      <c r="Q36" s="39"/>
      <c r="R36" s="37"/>
      <c r="S36" s="37"/>
      <c r="T36" s="37"/>
      <c r="U36" s="37"/>
      <c r="V36" s="37"/>
      <c r="W36" s="37"/>
      <c r="X36" s="37"/>
      <c r="Y36" s="37"/>
      <c r="Z36" s="40"/>
      <c r="AA36" s="41"/>
      <c r="AB36" s="37"/>
      <c r="AC36" s="37"/>
      <c r="AD36" s="37"/>
      <c r="AE36" s="37"/>
      <c r="AF36" s="37"/>
      <c r="AG36" s="37"/>
      <c r="AH36" s="36"/>
      <c r="AI36" s="36"/>
      <c r="AJ36" s="36"/>
      <c r="AK36" s="42"/>
      <c r="AL36" s="42"/>
      <c r="AM36" s="73">
        <f t="shared" si="1"/>
        <v>0</v>
      </c>
      <c r="AN36" s="71" t="str">
        <f>+IF($I36&gt;0,VLOOKUP($I36,'Lista de Precios'!$A$3:$H$2883,4,0),"")</f>
        <v/>
      </c>
      <c r="AO36" s="68" t="str">
        <f t="shared" si="2"/>
        <v/>
      </c>
      <c r="AP36" s="7" t="str">
        <f>IF($I36&gt;0,VLOOKUP($I36,'Lista de Precios'!$A$3:$K$2883,10,0),"")</f>
        <v/>
      </c>
      <c r="AQ36" s="7" t="str">
        <f>IF($I36&gt;0,VLOOKUP($I36,'Lista de Precios'!$A$3:$M$49893,13,0),"")</f>
        <v/>
      </c>
      <c r="HQ36" s="134"/>
      <c r="HR36" s="134"/>
      <c r="HS36" s="134"/>
      <c r="HT36" s="134"/>
      <c r="HU36" s="134"/>
      <c r="HV36" s="134"/>
      <c r="HW36" s="134"/>
      <c r="HX36" s="134"/>
      <c r="HY36" s="134"/>
      <c r="HZ36" s="134"/>
      <c r="IA36" s="134"/>
      <c r="IB36" s="134"/>
      <c r="ID36" s="134"/>
      <c r="IE36" s="134"/>
      <c r="IF36" s="134"/>
      <c r="IG36" s="134"/>
      <c r="IH36" s="134"/>
      <c r="II36" s="134"/>
      <c r="IJ36" s="134"/>
      <c r="IK36" s="134"/>
      <c r="IL36" s="134"/>
      <c r="IM36" s="135"/>
      <c r="IN36" s="135"/>
      <c r="IO36" s="135"/>
      <c r="XEO36" s="7" t="str">
        <f t="shared" si="3"/>
        <v/>
      </c>
      <c r="XEP36" s="7" t="str">
        <f t="shared" si="4"/>
        <v/>
      </c>
      <c r="XEQ36" s="7" t="str">
        <f t="shared" si="5"/>
        <v/>
      </c>
      <c r="XER36" s="7" t="str">
        <f t="shared" si="6"/>
        <v/>
      </c>
    </row>
    <row r="37" spans="1:249 16369:16372" ht="23.25" customHeight="1" x14ac:dyDescent="0.25">
      <c r="A37" s="74">
        <f>IF($I37&gt;0,VLOOKUP(I37,'Lista de Precios'!$A$3:$L$2883,9,0),0)</f>
        <v>0</v>
      </c>
      <c r="B37" s="74">
        <f>IF($I37&gt;0,VLOOKUP(I37,'Lista de Precios'!$A$3:$H$2883,7,0),0)</f>
        <v>0</v>
      </c>
      <c r="C37" s="7" t="str">
        <f>IF($I37&gt;0,VLOOKUP(I37,'Lista de Precios'!$A$3:$H$2883,2,0),"")</f>
        <v/>
      </c>
      <c r="D37" s="7" t="str">
        <f>IF($I37&gt;0,VLOOKUP(I37,'Lista de Precios'!$A$3:$H$2883,3,0),"")</f>
        <v/>
      </c>
      <c r="E37" s="76" t="str">
        <f>IF($I37&gt;0,VLOOKUP(I37,'Lista de Precios'!$A$3:$H$2883,6,0),"")</f>
        <v/>
      </c>
      <c r="F37" s="76" t="str">
        <f>IF($I37&gt;0,VLOOKUP(I37,'Lista de Precios'!$A$3:$H$2883,8,0),"")</f>
        <v/>
      </c>
      <c r="G37" s="101" t="str">
        <f t="shared" si="7"/>
        <v/>
      </c>
      <c r="H37" s="20" t="s">
        <v>3</v>
      </c>
      <c r="I37" s="18"/>
      <c r="J37" s="28" t="str">
        <f t="shared" si="0"/>
        <v/>
      </c>
      <c r="K37" s="24"/>
      <c r="L37" s="37"/>
      <c r="M37" s="37"/>
      <c r="N37" s="37"/>
      <c r="O37" s="37"/>
      <c r="P37" s="40"/>
      <c r="Q37" s="39"/>
      <c r="R37" s="37"/>
      <c r="S37" s="37"/>
      <c r="T37" s="37"/>
      <c r="U37" s="37"/>
      <c r="V37" s="37"/>
      <c r="W37" s="37"/>
      <c r="X37" s="37"/>
      <c r="Y37" s="37"/>
      <c r="Z37" s="40"/>
      <c r="AA37" s="41"/>
      <c r="AB37" s="37"/>
      <c r="AC37" s="37"/>
      <c r="AD37" s="37"/>
      <c r="AE37" s="37"/>
      <c r="AF37" s="37"/>
      <c r="AG37" s="37"/>
      <c r="AH37" s="36"/>
      <c r="AI37" s="36"/>
      <c r="AJ37" s="36"/>
      <c r="AK37" s="42"/>
      <c r="AL37" s="42"/>
      <c r="AM37" s="73">
        <f t="shared" si="1"/>
        <v>0</v>
      </c>
      <c r="AN37" s="71" t="str">
        <f>+IF($I37&gt;0,VLOOKUP($I37,'Lista de Precios'!$A$3:$H$2883,4,0),"")</f>
        <v/>
      </c>
      <c r="AO37" s="68" t="str">
        <f t="shared" si="2"/>
        <v/>
      </c>
      <c r="AP37" s="7" t="str">
        <f>IF($I37&gt;0,VLOOKUP($I37,'Lista de Precios'!$A$3:$K$2883,10,0),"")</f>
        <v/>
      </c>
      <c r="AQ37" s="7" t="str">
        <f>IF($I37&gt;0,VLOOKUP($I37,'Lista de Precios'!$A$3:$M$49893,13,0),"")</f>
        <v/>
      </c>
      <c r="HQ37" s="134"/>
      <c r="HR37" s="134"/>
      <c r="HS37" s="134"/>
      <c r="HT37" s="134"/>
      <c r="HU37" s="134"/>
      <c r="HV37" s="134"/>
      <c r="HW37" s="134"/>
      <c r="HX37" s="134"/>
      <c r="HY37" s="134"/>
      <c r="HZ37" s="134"/>
      <c r="IA37" s="134"/>
      <c r="IB37" s="134"/>
      <c r="ID37" s="134"/>
      <c r="IE37" s="134"/>
      <c r="IF37" s="134"/>
      <c r="IG37" s="134"/>
      <c r="IH37" s="134"/>
      <c r="II37" s="134"/>
      <c r="IJ37" s="134"/>
      <c r="IK37" s="134"/>
      <c r="IL37" s="134"/>
      <c r="IM37" s="135"/>
      <c r="IN37" s="135"/>
      <c r="IO37" s="135"/>
      <c r="XEO37" s="7" t="str">
        <f t="shared" si="3"/>
        <v/>
      </c>
      <c r="XEP37" s="7" t="str">
        <f t="shared" si="4"/>
        <v/>
      </c>
      <c r="XEQ37" s="7" t="str">
        <f t="shared" si="5"/>
        <v/>
      </c>
      <c r="XER37" s="7" t="str">
        <f t="shared" si="6"/>
        <v/>
      </c>
    </row>
    <row r="38" spans="1:249 16369:16372" ht="23.25" customHeight="1" x14ac:dyDescent="0.25">
      <c r="A38" s="74">
        <f>IF($I38&gt;0,VLOOKUP(I38,'Lista de Precios'!$A$3:$L$2883,9,0),0)</f>
        <v>0</v>
      </c>
      <c r="B38" s="74">
        <f>IF($I38&gt;0,VLOOKUP(I38,'Lista de Precios'!$A$3:$H$2883,7,0),0)</f>
        <v>0</v>
      </c>
      <c r="C38" s="7" t="str">
        <f>IF($I38&gt;0,VLOOKUP(I38,'Lista de Precios'!$A$3:$H$2883,2,0),"")</f>
        <v/>
      </c>
      <c r="D38" s="7" t="str">
        <f>IF($I38&gt;0,VLOOKUP(I38,'Lista de Precios'!$A$3:$H$2883,3,0),"")</f>
        <v/>
      </c>
      <c r="E38" s="76" t="str">
        <f>IF($I38&gt;0,VLOOKUP(I38,'Lista de Precios'!$A$3:$H$2883,6,0),"")</f>
        <v/>
      </c>
      <c r="F38" s="76" t="str">
        <f>IF($I38&gt;0,VLOOKUP(I38,'Lista de Precios'!$A$3:$H$2883,8,0),"")</f>
        <v/>
      </c>
      <c r="G38" s="101" t="str">
        <f t="shared" si="7"/>
        <v/>
      </c>
      <c r="H38" s="20" t="s">
        <v>3</v>
      </c>
      <c r="I38" s="18"/>
      <c r="J38" s="28" t="str">
        <f t="shared" si="0"/>
        <v/>
      </c>
      <c r="K38" s="24"/>
      <c r="L38" s="37"/>
      <c r="M38" s="37"/>
      <c r="N38" s="37"/>
      <c r="O38" s="37"/>
      <c r="P38" s="40"/>
      <c r="Q38" s="39"/>
      <c r="R38" s="37"/>
      <c r="S38" s="37"/>
      <c r="T38" s="37"/>
      <c r="U38" s="37"/>
      <c r="V38" s="37"/>
      <c r="W38" s="37"/>
      <c r="X38" s="37"/>
      <c r="Y38" s="37"/>
      <c r="Z38" s="40"/>
      <c r="AA38" s="41"/>
      <c r="AB38" s="37"/>
      <c r="AC38" s="37"/>
      <c r="AD38" s="37"/>
      <c r="AE38" s="37"/>
      <c r="AF38" s="37"/>
      <c r="AG38" s="37"/>
      <c r="AH38" s="36"/>
      <c r="AI38" s="36"/>
      <c r="AJ38" s="36"/>
      <c r="AK38" s="42"/>
      <c r="AL38" s="42"/>
      <c r="AM38" s="73">
        <f t="shared" si="1"/>
        <v>0</v>
      </c>
      <c r="AN38" s="71" t="str">
        <f>+IF($I38&gt;0,VLOOKUP($I38,'Lista de Precios'!$A$3:$H$2883,4,0),"")</f>
        <v/>
      </c>
      <c r="AO38" s="68" t="str">
        <f t="shared" si="2"/>
        <v/>
      </c>
      <c r="AP38" s="7" t="str">
        <f>IF($I38&gt;0,VLOOKUP($I38,'Lista de Precios'!$A$3:$K$2883,10,0),"")</f>
        <v/>
      </c>
      <c r="AQ38" s="7" t="str">
        <f>IF($I38&gt;0,VLOOKUP($I38,'Lista de Precios'!$A$3:$M$49893,13,0),"")</f>
        <v/>
      </c>
      <c r="HQ38" s="134"/>
      <c r="HR38" s="134"/>
      <c r="HS38" s="134"/>
      <c r="HT38" s="134"/>
      <c r="HU38" s="134"/>
      <c r="HV38" s="134"/>
      <c r="HW38" s="134"/>
      <c r="HX38" s="134"/>
      <c r="HY38" s="134"/>
      <c r="HZ38" s="134"/>
      <c r="IA38" s="134"/>
      <c r="IB38" s="134"/>
      <c r="ID38" s="134"/>
      <c r="IE38" s="134"/>
      <c r="IF38" s="134"/>
      <c r="IG38" s="134"/>
      <c r="IH38" s="134"/>
      <c r="II38" s="134"/>
      <c r="IJ38" s="134"/>
      <c r="IK38" s="134"/>
      <c r="IL38" s="134"/>
      <c r="IM38" s="135"/>
      <c r="IN38" s="135"/>
      <c r="IO38" s="135"/>
      <c r="XEO38" s="7" t="str">
        <f t="shared" si="3"/>
        <v/>
      </c>
      <c r="XEP38" s="7" t="str">
        <f t="shared" si="4"/>
        <v/>
      </c>
      <c r="XEQ38" s="7" t="str">
        <f t="shared" si="5"/>
        <v/>
      </c>
      <c r="XER38" s="7" t="str">
        <f t="shared" si="6"/>
        <v/>
      </c>
    </row>
    <row r="39" spans="1:249 16369:16372" ht="23.25" customHeight="1" x14ac:dyDescent="0.25">
      <c r="A39" s="74"/>
      <c r="B39" s="74"/>
      <c r="E39" s="76"/>
      <c r="F39" s="76"/>
      <c r="G39" s="101"/>
      <c r="H39" s="20"/>
      <c r="I39" s="18"/>
      <c r="J39" s="28"/>
      <c r="K39" s="24"/>
      <c r="L39" s="37"/>
      <c r="M39" s="37"/>
      <c r="N39" s="37"/>
      <c r="O39" s="37"/>
      <c r="P39" s="40"/>
      <c r="Q39" s="39"/>
      <c r="R39" s="37"/>
      <c r="S39" s="37"/>
      <c r="T39" s="37"/>
      <c r="U39" s="37"/>
      <c r="V39" s="37"/>
      <c r="W39" s="37"/>
      <c r="X39" s="37"/>
      <c r="Y39" s="37"/>
      <c r="Z39" s="40"/>
      <c r="AA39" s="41"/>
      <c r="AB39" s="37"/>
      <c r="AC39" s="37"/>
      <c r="AD39" s="37"/>
      <c r="AE39" s="37"/>
      <c r="AF39" s="37"/>
      <c r="AG39" s="37"/>
      <c r="AH39" s="36"/>
      <c r="AI39" s="36"/>
      <c r="AJ39" s="36"/>
      <c r="AK39" s="42"/>
      <c r="AL39" s="42"/>
      <c r="AM39" s="73"/>
      <c r="AN39" s="71"/>
      <c r="AO39" s="68"/>
      <c r="HQ39" s="134"/>
      <c r="HR39" s="134"/>
      <c r="HS39" s="134"/>
      <c r="HT39" s="134"/>
      <c r="HU39" s="134"/>
      <c r="HV39" s="134"/>
      <c r="HW39" s="134"/>
      <c r="HX39" s="134"/>
      <c r="HY39" s="134"/>
      <c r="HZ39" s="134"/>
      <c r="IA39" s="134"/>
      <c r="IB39" s="134"/>
      <c r="ID39" s="134"/>
      <c r="IE39" s="134"/>
      <c r="IF39" s="134"/>
      <c r="IG39" s="134"/>
      <c r="IH39" s="134"/>
      <c r="II39" s="134"/>
      <c r="IJ39" s="134"/>
      <c r="IK39" s="134"/>
      <c r="IL39" s="134"/>
      <c r="IM39" s="135"/>
      <c r="IN39" s="135"/>
      <c r="IO39" s="135"/>
    </row>
    <row r="40" spans="1:249 16369:16372" ht="23.25" customHeight="1" x14ac:dyDescent="0.25">
      <c r="A40" s="74"/>
      <c r="B40" s="74"/>
      <c r="E40" s="76"/>
      <c r="F40" s="76"/>
      <c r="G40" s="101"/>
      <c r="H40" s="20"/>
      <c r="I40" s="18"/>
      <c r="J40" s="28"/>
      <c r="K40" s="24"/>
      <c r="L40" s="37"/>
      <c r="M40" s="37"/>
      <c r="N40" s="37"/>
      <c r="O40" s="37"/>
      <c r="P40" s="40"/>
      <c r="Q40" s="39"/>
      <c r="R40" s="37"/>
      <c r="S40" s="37"/>
      <c r="T40" s="37"/>
      <c r="U40" s="37"/>
      <c r="V40" s="37"/>
      <c r="W40" s="37"/>
      <c r="X40" s="37"/>
      <c r="Y40" s="37"/>
      <c r="Z40" s="40"/>
      <c r="AA40" s="41"/>
      <c r="AB40" s="37"/>
      <c r="AC40" s="37"/>
      <c r="AD40" s="37"/>
      <c r="AE40" s="37"/>
      <c r="AF40" s="37"/>
      <c r="AG40" s="37"/>
      <c r="AH40" s="36"/>
      <c r="AI40" s="36"/>
      <c r="AJ40" s="36"/>
      <c r="AK40" s="42"/>
      <c r="AL40" s="42"/>
      <c r="AM40" s="73"/>
      <c r="AN40" s="71"/>
      <c r="AO40" s="68"/>
      <c r="HQ40" s="134"/>
      <c r="HR40" s="134"/>
      <c r="HS40" s="134"/>
      <c r="HT40" s="134"/>
      <c r="HU40" s="134"/>
      <c r="HV40" s="134"/>
      <c r="HW40" s="134"/>
      <c r="HX40" s="134"/>
      <c r="HY40" s="134"/>
      <c r="HZ40" s="134"/>
      <c r="IA40" s="134"/>
      <c r="IB40" s="134"/>
      <c r="ID40" s="134"/>
      <c r="IE40" s="134"/>
      <c r="IF40" s="134"/>
      <c r="IG40" s="134"/>
      <c r="IH40" s="134"/>
      <c r="II40" s="134"/>
      <c r="IJ40" s="134"/>
      <c r="IK40" s="134"/>
      <c r="IL40" s="134"/>
      <c r="IM40" s="135"/>
      <c r="IN40" s="135"/>
      <c r="IO40" s="135"/>
    </row>
    <row r="41" spans="1:249 16369:16372" ht="23.25" customHeight="1" x14ac:dyDescent="0.25">
      <c r="A41" s="74">
        <f>IF($I41&gt;0,VLOOKUP(I41,'Lista de Precios'!$A$3:$L$2883,9,0),0)</f>
        <v>0</v>
      </c>
      <c r="B41" s="74">
        <f>IF($I41&gt;0,VLOOKUP(I41,'Lista de Precios'!$A$3:$H$2883,7,0),0)</f>
        <v>0</v>
      </c>
      <c r="C41" s="7" t="str">
        <f>IF($I41&gt;0,VLOOKUP(I41,'Lista de Precios'!$A$3:$H$2883,2,0),"")</f>
        <v/>
      </c>
      <c r="D41" s="7" t="str">
        <f>IF($I41&gt;0,VLOOKUP(I41,'Lista de Precios'!$A$3:$H$2883,3,0),"")</f>
        <v/>
      </c>
      <c r="E41" s="76" t="str">
        <f>IF($I41&gt;0,VLOOKUP(I41,'Lista de Precios'!$A$3:$H$2883,6,0),"")</f>
        <v/>
      </c>
      <c r="F41" s="76" t="str">
        <f>IF($I41&gt;0,VLOOKUP(I41,'Lista de Precios'!$A$3:$H$2883,8,0),"")</f>
        <v/>
      </c>
      <c r="G41" s="101" t="str">
        <f t="shared" si="7"/>
        <v/>
      </c>
      <c r="H41" s="20" t="s">
        <v>3</v>
      </c>
      <c r="I41" s="18"/>
      <c r="J41" s="28" t="str">
        <f t="shared" si="0"/>
        <v/>
      </c>
      <c r="K41" s="24"/>
      <c r="L41" s="37"/>
      <c r="M41" s="37"/>
      <c r="N41" s="37"/>
      <c r="O41" s="37"/>
      <c r="P41" s="40"/>
      <c r="Q41" s="39"/>
      <c r="R41" s="37"/>
      <c r="S41" s="37"/>
      <c r="T41" s="37"/>
      <c r="U41" s="37"/>
      <c r="V41" s="37"/>
      <c r="W41" s="37"/>
      <c r="X41" s="37"/>
      <c r="Y41" s="37"/>
      <c r="Z41" s="40"/>
      <c r="AA41" s="41"/>
      <c r="AB41" s="37"/>
      <c r="AC41" s="37"/>
      <c r="AD41" s="37"/>
      <c r="AE41" s="37"/>
      <c r="AF41" s="37"/>
      <c r="AG41" s="37"/>
      <c r="AH41" s="36"/>
      <c r="AI41" s="36"/>
      <c r="AJ41" s="36"/>
      <c r="AK41" s="42"/>
      <c r="AL41" s="42"/>
      <c r="AM41" s="73">
        <f t="shared" si="1"/>
        <v>0</v>
      </c>
      <c r="AN41" s="71" t="str">
        <f>+IF($I41&gt;0,VLOOKUP($I41,'Lista de Precios'!$A$3:$H$2883,4,0),"")</f>
        <v/>
      </c>
      <c r="AO41" s="68" t="str">
        <f t="shared" si="2"/>
        <v/>
      </c>
      <c r="AP41" s="7" t="str">
        <f>IF($I41&gt;0,VLOOKUP($I41,'Lista de Precios'!$A$3:$K$2883,10,0),"")</f>
        <v/>
      </c>
      <c r="AQ41" s="7" t="str">
        <f>IF($I41&gt;0,VLOOKUP($I41,'Lista de Precios'!$A$3:$M$49893,13,0),"")</f>
        <v/>
      </c>
      <c r="HQ41" s="134"/>
      <c r="HR41" s="134"/>
      <c r="HS41" s="134"/>
      <c r="HT41" s="134"/>
      <c r="HU41" s="134"/>
      <c r="HV41" s="134"/>
      <c r="HW41" s="134"/>
      <c r="HX41" s="134"/>
      <c r="HY41" s="134"/>
      <c r="HZ41" s="134"/>
      <c r="IA41" s="134"/>
      <c r="IB41" s="134"/>
      <c r="ID41" s="134"/>
      <c r="IE41" s="134"/>
      <c r="IF41" s="134"/>
      <c r="IG41" s="134"/>
      <c r="IH41" s="134"/>
      <c r="II41" s="134"/>
      <c r="IJ41" s="134"/>
      <c r="IK41" s="134"/>
      <c r="IL41" s="134"/>
      <c r="IM41" s="135"/>
      <c r="IN41" s="135"/>
      <c r="IO41" s="135"/>
      <c r="XEO41" s="7" t="str">
        <f t="shared" si="3"/>
        <v/>
      </c>
      <c r="XEP41" s="7" t="str">
        <f t="shared" si="4"/>
        <v/>
      </c>
      <c r="XEQ41" s="7" t="str">
        <f t="shared" si="5"/>
        <v/>
      </c>
      <c r="XER41" s="7" t="str">
        <f t="shared" si="6"/>
        <v/>
      </c>
    </row>
    <row r="42" spans="1:249 16369:16372" ht="23.25" customHeight="1" x14ac:dyDescent="0.25">
      <c r="A42" s="74">
        <f>IF($I42&gt;0,VLOOKUP(I42,'Lista de Precios'!$A$3:$L$2883,9,0),0)</f>
        <v>0</v>
      </c>
      <c r="B42" s="74">
        <f>IF($I42&gt;0,VLOOKUP(I42,'Lista de Precios'!$A$3:$H$2883,7,0),0)</f>
        <v>0</v>
      </c>
      <c r="C42" s="7" t="str">
        <f>IF($I42&gt;0,VLOOKUP(I42,'Lista de Precios'!$A$3:$H$2883,2,0),"")</f>
        <v/>
      </c>
      <c r="D42" s="7" t="str">
        <f>IF($I42&gt;0,VLOOKUP(I42,'Lista de Precios'!$A$3:$H$2883,3,0),"")</f>
        <v/>
      </c>
      <c r="E42" s="76" t="str">
        <f>IF($I42&gt;0,VLOOKUP(I42,'Lista de Precios'!$A$3:$H$2883,6,0),"")</f>
        <v/>
      </c>
      <c r="F42" s="76" t="str">
        <f>IF($I42&gt;0,VLOOKUP(I42,'Lista de Precios'!$A$3:$H$2883,8,0),"")</f>
        <v/>
      </c>
      <c r="G42" s="101" t="str">
        <f t="shared" si="7"/>
        <v/>
      </c>
      <c r="H42" s="20" t="s">
        <v>3</v>
      </c>
      <c r="I42" s="18"/>
      <c r="J42" s="28" t="str">
        <f t="shared" si="0"/>
        <v/>
      </c>
      <c r="K42" s="24"/>
      <c r="L42" s="37"/>
      <c r="M42" s="37"/>
      <c r="N42" s="37"/>
      <c r="O42" s="37"/>
      <c r="P42" s="40"/>
      <c r="Q42" s="39"/>
      <c r="R42" s="37"/>
      <c r="S42" s="37"/>
      <c r="T42" s="37"/>
      <c r="U42" s="37"/>
      <c r="V42" s="37"/>
      <c r="W42" s="37"/>
      <c r="X42" s="37"/>
      <c r="Y42" s="37"/>
      <c r="Z42" s="40"/>
      <c r="AA42" s="41"/>
      <c r="AB42" s="37"/>
      <c r="AC42" s="37"/>
      <c r="AD42" s="37"/>
      <c r="AE42" s="37"/>
      <c r="AF42" s="37"/>
      <c r="AG42" s="37"/>
      <c r="AH42" s="36"/>
      <c r="AI42" s="36"/>
      <c r="AJ42" s="36"/>
      <c r="AK42" s="42"/>
      <c r="AL42" s="42"/>
      <c r="AM42" s="73">
        <f t="shared" si="1"/>
        <v>0</v>
      </c>
      <c r="AN42" s="71" t="str">
        <f>+IF($I42&gt;0,VLOOKUP($I42,'Lista de Precios'!$A$3:$H$2883,4,0),"")</f>
        <v/>
      </c>
      <c r="AO42" s="68" t="str">
        <f t="shared" si="2"/>
        <v/>
      </c>
      <c r="AP42" s="7" t="str">
        <f>IF($I42&gt;0,VLOOKUP($I42,'Lista de Precios'!$A$3:$K$2883,10,0),"")</f>
        <v/>
      </c>
      <c r="AQ42" s="7" t="str">
        <f>IF($I42&gt;0,VLOOKUP($I42,'Lista de Precios'!$A$3:$M$49893,13,0),"")</f>
        <v/>
      </c>
      <c r="HQ42" s="134"/>
      <c r="HR42" s="134"/>
      <c r="HS42" s="134"/>
      <c r="HT42" s="134"/>
      <c r="HU42" s="134"/>
      <c r="HV42" s="134"/>
      <c r="HW42" s="134"/>
      <c r="HX42" s="134"/>
      <c r="HY42" s="134"/>
      <c r="HZ42" s="134"/>
      <c r="IA42" s="134"/>
      <c r="IB42" s="134"/>
      <c r="ID42" s="134"/>
      <c r="IE42" s="134"/>
      <c r="IF42" s="134"/>
      <c r="IG42" s="134"/>
      <c r="IH42" s="134"/>
      <c r="II42" s="134"/>
      <c r="IJ42" s="134"/>
      <c r="IK42" s="134"/>
      <c r="IL42" s="134"/>
      <c r="IM42" s="135"/>
      <c r="IN42" s="135"/>
      <c r="IO42" s="135"/>
      <c r="XEO42" s="7" t="str">
        <f t="shared" si="3"/>
        <v/>
      </c>
      <c r="XEP42" s="7" t="str">
        <f t="shared" si="4"/>
        <v/>
      </c>
      <c r="XEQ42" s="7" t="str">
        <f t="shared" si="5"/>
        <v/>
      </c>
      <c r="XER42" s="7" t="str">
        <f t="shared" si="6"/>
        <v/>
      </c>
    </row>
    <row r="43" spans="1:249 16369:16372" ht="23.25" customHeight="1" x14ac:dyDescent="0.25">
      <c r="A43" s="74">
        <f>IF($I43&gt;0,VLOOKUP(I43,'Lista de Precios'!$A$3:$L$2883,9,0),0)</f>
        <v>0</v>
      </c>
      <c r="B43" s="74">
        <f>IF($I43&gt;0,VLOOKUP(I43,'Lista de Precios'!$A$3:$H$2883,7,0),0)</f>
        <v>0</v>
      </c>
      <c r="C43" s="7" t="str">
        <f>IF($I43&gt;0,VLOOKUP(I43,'Lista de Precios'!$A$3:$H$2883,2,0),"")</f>
        <v/>
      </c>
      <c r="D43" s="7" t="str">
        <f>IF($I43&gt;0,VLOOKUP(I43,'Lista de Precios'!$A$3:$H$2883,3,0),"")</f>
        <v/>
      </c>
      <c r="E43" s="76" t="str">
        <f>IF($I43&gt;0,VLOOKUP(I43,'Lista de Precios'!$A$3:$H$2883,6,0),"")</f>
        <v/>
      </c>
      <c r="F43" s="76" t="str">
        <f>IF($I43&gt;0,VLOOKUP(I43,'Lista de Precios'!$A$3:$H$2883,8,0),"")</f>
        <v/>
      </c>
      <c r="G43" s="101" t="str">
        <f t="shared" si="7"/>
        <v/>
      </c>
      <c r="H43" s="20" t="s">
        <v>3</v>
      </c>
      <c r="I43" s="18"/>
      <c r="J43" s="28" t="str">
        <f t="shared" si="0"/>
        <v/>
      </c>
      <c r="K43" s="24"/>
      <c r="L43" s="37"/>
      <c r="M43" s="37"/>
      <c r="N43" s="37"/>
      <c r="O43" s="37"/>
      <c r="P43" s="40"/>
      <c r="Q43" s="39"/>
      <c r="R43" s="37"/>
      <c r="S43" s="37"/>
      <c r="T43" s="37"/>
      <c r="U43" s="37"/>
      <c r="V43" s="37"/>
      <c r="W43" s="37"/>
      <c r="X43" s="37"/>
      <c r="Y43" s="37"/>
      <c r="Z43" s="40"/>
      <c r="AA43" s="41"/>
      <c r="AB43" s="37"/>
      <c r="AC43" s="37"/>
      <c r="AD43" s="37"/>
      <c r="AE43" s="37"/>
      <c r="AF43" s="37"/>
      <c r="AG43" s="37"/>
      <c r="AH43" s="36"/>
      <c r="AI43" s="36"/>
      <c r="AJ43" s="36"/>
      <c r="AK43" s="42"/>
      <c r="AL43" s="42"/>
      <c r="AM43" s="73">
        <f t="shared" si="1"/>
        <v>0</v>
      </c>
      <c r="AN43" s="71" t="str">
        <f>+IF($I43&gt;0,VLOOKUP($I43,'Lista de Precios'!$A$3:$H$2883,4,0),"")</f>
        <v/>
      </c>
      <c r="AO43" s="68" t="str">
        <f t="shared" si="2"/>
        <v/>
      </c>
      <c r="AP43" s="7" t="str">
        <f>IF($I43&gt;0,VLOOKUP($I43,'Lista de Precios'!$A$3:$K$2883,10,0),"")</f>
        <v/>
      </c>
      <c r="AQ43" s="7" t="str">
        <f>IF($I43&gt;0,VLOOKUP($I43,'Lista de Precios'!$A$3:$M$49893,13,0),"")</f>
        <v/>
      </c>
      <c r="HQ43" s="134"/>
      <c r="HR43" s="134"/>
      <c r="HS43" s="134"/>
      <c r="HT43" s="134"/>
      <c r="HU43" s="134"/>
      <c r="HV43" s="134"/>
      <c r="HW43" s="134"/>
      <c r="HX43" s="134"/>
      <c r="HY43" s="134"/>
      <c r="HZ43" s="134"/>
      <c r="IA43" s="134"/>
      <c r="IB43" s="134"/>
      <c r="ID43" s="134"/>
      <c r="IE43" s="134"/>
      <c r="IF43" s="134"/>
      <c r="IG43" s="134"/>
      <c r="IH43" s="134"/>
      <c r="II43" s="134"/>
      <c r="IJ43" s="134"/>
      <c r="IK43" s="134"/>
      <c r="IL43" s="134"/>
      <c r="IM43" s="135"/>
      <c r="IN43" s="135"/>
      <c r="IO43" s="135"/>
      <c r="XEO43" s="7" t="str">
        <f t="shared" si="3"/>
        <v/>
      </c>
      <c r="XEP43" s="7" t="str">
        <f t="shared" si="4"/>
        <v/>
      </c>
      <c r="XEQ43" s="7" t="str">
        <f t="shared" si="5"/>
        <v/>
      </c>
      <c r="XER43" s="7" t="str">
        <f t="shared" si="6"/>
        <v/>
      </c>
    </row>
    <row r="44" spans="1:249 16369:16372" ht="23.25" customHeight="1" x14ac:dyDescent="0.25">
      <c r="A44" s="74">
        <f>IF($I44&gt;0,VLOOKUP(I44,'Lista de Precios'!$A$3:$L$2883,9,0),0)</f>
        <v>0</v>
      </c>
      <c r="B44" s="74">
        <f>IF($I44&gt;0,VLOOKUP(I44,'Lista de Precios'!$A$3:$H$2883,7,0),0)</f>
        <v>0</v>
      </c>
      <c r="C44" s="7" t="str">
        <f>IF($I44&gt;0,VLOOKUP(I44,'Lista de Precios'!$A$3:$H$2883,2,0),"")</f>
        <v/>
      </c>
      <c r="D44" s="7" t="str">
        <f>IF($I44&gt;0,VLOOKUP(I44,'Lista de Precios'!$A$3:$H$2883,3,0),"")</f>
        <v/>
      </c>
      <c r="E44" s="76" t="str">
        <f>IF($I44&gt;0,VLOOKUP(I44,'Lista de Precios'!$A$3:$H$2883,6,0),"")</f>
        <v/>
      </c>
      <c r="F44" s="76" t="str">
        <f>IF($I44&gt;0,VLOOKUP(I44,'Lista de Precios'!$A$3:$H$2883,8,0),"")</f>
        <v/>
      </c>
      <c r="G44" s="101" t="str">
        <f t="shared" si="7"/>
        <v/>
      </c>
      <c r="H44" s="20" t="s">
        <v>3</v>
      </c>
      <c r="I44" s="18"/>
      <c r="J44" s="28" t="str">
        <f t="shared" si="0"/>
        <v/>
      </c>
      <c r="K44" s="24"/>
      <c r="L44" s="37"/>
      <c r="M44" s="37"/>
      <c r="N44" s="37"/>
      <c r="O44" s="37"/>
      <c r="P44" s="40"/>
      <c r="Q44" s="39"/>
      <c r="R44" s="37"/>
      <c r="S44" s="37"/>
      <c r="T44" s="37"/>
      <c r="U44" s="37"/>
      <c r="V44" s="37"/>
      <c r="W44" s="37"/>
      <c r="X44" s="37"/>
      <c r="Y44" s="37"/>
      <c r="Z44" s="40"/>
      <c r="AA44" s="41"/>
      <c r="AB44" s="37"/>
      <c r="AC44" s="37"/>
      <c r="AD44" s="37"/>
      <c r="AE44" s="37"/>
      <c r="AF44" s="37"/>
      <c r="AG44" s="37"/>
      <c r="AH44" s="36"/>
      <c r="AI44" s="36"/>
      <c r="AJ44" s="36"/>
      <c r="AK44" s="42"/>
      <c r="AL44" s="42"/>
      <c r="AM44" s="73">
        <f t="shared" si="1"/>
        <v>0</v>
      </c>
      <c r="AN44" s="71" t="str">
        <f>+IF($I44&gt;0,VLOOKUP($I44,'Lista de Precios'!$A$3:$H$2883,4,0),"")</f>
        <v/>
      </c>
      <c r="AO44" s="68" t="str">
        <f t="shared" si="2"/>
        <v/>
      </c>
      <c r="AP44" s="7" t="str">
        <f>IF($I44&gt;0,VLOOKUP($I44,'Lista de Precios'!$A$3:$K$2883,10,0),"")</f>
        <v/>
      </c>
      <c r="AQ44" s="7" t="str">
        <f>IF($I44&gt;0,VLOOKUP($I44,'Lista de Precios'!$A$3:$M$49893,13,0),"")</f>
        <v/>
      </c>
      <c r="HQ44" s="134"/>
      <c r="HR44" s="134"/>
      <c r="HS44" s="134"/>
      <c r="HT44" s="134"/>
      <c r="HU44" s="134"/>
      <c r="HV44" s="134"/>
      <c r="HW44" s="134"/>
      <c r="HX44" s="134"/>
      <c r="HY44" s="134"/>
      <c r="HZ44" s="134"/>
      <c r="IA44" s="134"/>
      <c r="IB44" s="134"/>
      <c r="ID44" s="134"/>
      <c r="IE44" s="134"/>
      <c r="IF44" s="134"/>
      <c r="IG44" s="134"/>
      <c r="IH44" s="134"/>
      <c r="II44" s="134"/>
      <c r="IJ44" s="134"/>
      <c r="IK44" s="134"/>
      <c r="IL44" s="134"/>
      <c r="IM44" s="135"/>
      <c r="IN44" s="135"/>
      <c r="IO44" s="135"/>
      <c r="XEO44" s="7" t="str">
        <f t="shared" si="3"/>
        <v/>
      </c>
      <c r="XEP44" s="7" t="str">
        <f t="shared" si="4"/>
        <v/>
      </c>
      <c r="XEQ44" s="7" t="str">
        <f t="shared" si="5"/>
        <v/>
      </c>
      <c r="XER44" s="7" t="str">
        <f t="shared" si="6"/>
        <v/>
      </c>
    </row>
    <row r="45" spans="1:249 16369:16372" ht="23.25" customHeight="1" x14ac:dyDescent="0.25">
      <c r="A45" s="74">
        <f>IF($I45&gt;0,VLOOKUP(I45,'Lista de Precios'!$A$3:$L$2883,9,0),0)</f>
        <v>0</v>
      </c>
      <c r="B45" s="74">
        <f>IF($I45&gt;0,VLOOKUP(I45,'Lista de Precios'!$A$3:$H$2883,7,0),0)</f>
        <v>0</v>
      </c>
      <c r="C45" s="7" t="str">
        <f>IF($I45&gt;0,VLOOKUP(I45,'Lista de Precios'!$A$3:$H$2883,2,0),"")</f>
        <v/>
      </c>
      <c r="D45" s="7" t="str">
        <f>IF($I45&gt;0,VLOOKUP(I45,'Lista de Precios'!$A$3:$H$2883,3,0),"")</f>
        <v/>
      </c>
      <c r="E45" s="76" t="str">
        <f>IF($I45&gt;0,VLOOKUP(I45,'Lista de Precios'!$A$3:$H$2883,6,0),"")</f>
        <v/>
      </c>
      <c r="F45" s="76" t="str">
        <f>IF($I45&gt;0,VLOOKUP(I45,'Lista de Precios'!$A$3:$H$2883,8,0),"")</f>
        <v/>
      </c>
      <c r="G45" s="101" t="str">
        <f t="shared" si="7"/>
        <v/>
      </c>
      <c r="H45" s="20" t="s">
        <v>3</v>
      </c>
      <c r="I45" s="18"/>
      <c r="J45" s="28" t="str">
        <f t="shared" si="0"/>
        <v/>
      </c>
      <c r="K45" s="24"/>
      <c r="L45" s="37"/>
      <c r="M45" s="37"/>
      <c r="N45" s="37"/>
      <c r="O45" s="37"/>
      <c r="P45" s="40"/>
      <c r="Q45" s="39"/>
      <c r="R45" s="37"/>
      <c r="S45" s="37"/>
      <c r="T45" s="37"/>
      <c r="U45" s="37"/>
      <c r="V45" s="37"/>
      <c r="W45" s="37"/>
      <c r="X45" s="37"/>
      <c r="Y45" s="37"/>
      <c r="Z45" s="40"/>
      <c r="AA45" s="41"/>
      <c r="AB45" s="37"/>
      <c r="AC45" s="37"/>
      <c r="AD45" s="37"/>
      <c r="AE45" s="37"/>
      <c r="AF45" s="37"/>
      <c r="AG45" s="37"/>
      <c r="AH45" s="36"/>
      <c r="AI45" s="36"/>
      <c r="AJ45" s="36"/>
      <c r="AK45" s="42"/>
      <c r="AL45" s="42"/>
      <c r="AM45" s="73">
        <f t="shared" si="1"/>
        <v>0</v>
      </c>
      <c r="AN45" s="71" t="str">
        <f>+IF($I45&gt;0,VLOOKUP($I45,'Lista de Precios'!$A$3:$H$2883,4,0),"")</f>
        <v/>
      </c>
      <c r="AO45" s="68" t="str">
        <f t="shared" si="2"/>
        <v/>
      </c>
      <c r="AP45" s="7" t="str">
        <f>IF($I45&gt;0,VLOOKUP($I45,'Lista de Precios'!$A$3:$K$2883,10,0),"")</f>
        <v/>
      </c>
      <c r="AQ45" s="7" t="str">
        <f>IF($I45&gt;0,VLOOKUP($I45,'Lista de Precios'!$A$3:$M$49893,13,0),"")</f>
        <v/>
      </c>
      <c r="HQ45" s="134"/>
      <c r="HR45" s="134"/>
      <c r="HS45" s="134"/>
      <c r="HT45" s="134"/>
      <c r="HU45" s="134"/>
      <c r="HV45" s="134"/>
      <c r="HW45" s="134"/>
      <c r="HX45" s="134"/>
      <c r="HY45" s="134"/>
      <c r="HZ45" s="134"/>
      <c r="IA45" s="134"/>
      <c r="IB45" s="134"/>
      <c r="ID45" s="134"/>
      <c r="IE45" s="134"/>
      <c r="IF45" s="134"/>
      <c r="IG45" s="134"/>
      <c r="IH45" s="134"/>
      <c r="II45" s="134"/>
      <c r="IJ45" s="134"/>
      <c r="IK45" s="134"/>
      <c r="IL45" s="134"/>
      <c r="IM45" s="135"/>
      <c r="IN45" s="135"/>
      <c r="IO45" s="135"/>
      <c r="XEO45" s="7" t="str">
        <f t="shared" si="3"/>
        <v/>
      </c>
      <c r="XEP45" s="7" t="str">
        <f t="shared" si="4"/>
        <v/>
      </c>
      <c r="XEQ45" s="7" t="str">
        <f t="shared" si="5"/>
        <v/>
      </c>
      <c r="XER45" s="7" t="str">
        <f t="shared" si="6"/>
        <v/>
      </c>
    </row>
    <row r="46" spans="1:249 16369:16372" ht="23.25" customHeight="1" x14ac:dyDescent="0.25">
      <c r="A46" s="74">
        <f>IF($I46&gt;0,VLOOKUP(I46,'Lista de Precios'!$A$3:$L$2883,9,0),0)</f>
        <v>0</v>
      </c>
      <c r="B46" s="74">
        <f>IF($I46&gt;0,VLOOKUP(I46,'Lista de Precios'!$A$3:$H$2883,7,0),0)</f>
        <v>0</v>
      </c>
      <c r="C46" s="7" t="str">
        <f>IF($I46&gt;0,VLOOKUP(I46,'Lista de Precios'!$A$3:$H$2883,2,0),"")</f>
        <v/>
      </c>
      <c r="D46" s="7" t="str">
        <f>IF($I46&gt;0,VLOOKUP(I46,'Lista de Precios'!$A$3:$H$2883,3,0),"")</f>
        <v/>
      </c>
      <c r="E46" s="76" t="str">
        <f>IF($I46&gt;0,VLOOKUP(I46,'Lista de Precios'!$A$3:$H$2883,6,0),"")</f>
        <v/>
      </c>
      <c r="F46" s="76" t="str">
        <f>IF($I46&gt;0,VLOOKUP(I46,'Lista de Precios'!$A$3:$H$2883,8,0),"")</f>
        <v/>
      </c>
      <c r="G46" s="101" t="str">
        <f t="shared" si="7"/>
        <v/>
      </c>
      <c r="H46" s="20" t="s">
        <v>3</v>
      </c>
      <c r="I46" s="18"/>
      <c r="J46" s="28" t="str">
        <f t="shared" si="0"/>
        <v/>
      </c>
      <c r="K46" s="24"/>
      <c r="L46" s="37"/>
      <c r="M46" s="37"/>
      <c r="N46" s="37"/>
      <c r="O46" s="37"/>
      <c r="P46" s="40"/>
      <c r="Q46" s="39"/>
      <c r="R46" s="37"/>
      <c r="S46" s="37"/>
      <c r="T46" s="37"/>
      <c r="U46" s="37"/>
      <c r="V46" s="37"/>
      <c r="W46" s="37"/>
      <c r="X46" s="37"/>
      <c r="Y46" s="37"/>
      <c r="Z46" s="40"/>
      <c r="AA46" s="41"/>
      <c r="AB46" s="37"/>
      <c r="AC46" s="37"/>
      <c r="AD46" s="37"/>
      <c r="AE46" s="37"/>
      <c r="AF46" s="37"/>
      <c r="AG46" s="37"/>
      <c r="AH46" s="36"/>
      <c r="AI46" s="36"/>
      <c r="AJ46" s="36"/>
      <c r="AK46" s="42"/>
      <c r="AL46" s="42"/>
      <c r="AM46" s="73">
        <f t="shared" si="1"/>
        <v>0</v>
      </c>
      <c r="AN46" s="71" t="str">
        <f>+IF($I46&gt;0,VLOOKUP($I46,'Lista de Precios'!$A$3:$H$2883,4,0),"")</f>
        <v/>
      </c>
      <c r="AO46" s="68" t="str">
        <f t="shared" si="2"/>
        <v/>
      </c>
      <c r="AP46" s="7" t="str">
        <f>IF($I46&gt;0,VLOOKUP($I46,'Lista de Precios'!$A$3:$K$2883,10,0),"")</f>
        <v/>
      </c>
      <c r="AQ46" s="7" t="str">
        <f>IF($I46&gt;0,VLOOKUP($I46,'Lista de Precios'!$A$3:$M$49893,13,0),"")</f>
        <v/>
      </c>
      <c r="HQ46" s="134"/>
      <c r="HR46" s="134"/>
      <c r="HS46" s="134"/>
      <c r="HT46" s="134"/>
      <c r="HU46" s="134"/>
      <c r="HV46" s="134"/>
      <c r="HW46" s="134"/>
      <c r="HX46" s="134"/>
      <c r="HY46" s="134"/>
      <c r="HZ46" s="134"/>
      <c r="IA46" s="134"/>
      <c r="IB46" s="134"/>
      <c r="ID46" s="134"/>
      <c r="IE46" s="134"/>
      <c r="IF46" s="134"/>
      <c r="IG46" s="134"/>
      <c r="IH46" s="134"/>
      <c r="II46" s="134"/>
      <c r="IJ46" s="134"/>
      <c r="IK46" s="134"/>
      <c r="IL46" s="134"/>
      <c r="IM46" s="135"/>
      <c r="IN46" s="135"/>
      <c r="IO46" s="135"/>
      <c r="XEO46" s="7" t="str">
        <f t="shared" si="3"/>
        <v/>
      </c>
      <c r="XEP46" s="7" t="str">
        <f t="shared" si="4"/>
        <v/>
      </c>
      <c r="XEQ46" s="7" t="str">
        <f t="shared" si="5"/>
        <v/>
      </c>
      <c r="XER46" s="7" t="str">
        <f t="shared" si="6"/>
        <v/>
      </c>
    </row>
    <row r="47" spans="1:249 16369:16372" ht="23.25" customHeight="1" x14ac:dyDescent="0.25">
      <c r="A47" s="74">
        <f>IF($I47&gt;0,VLOOKUP(I47,'Lista de Precios'!$A$3:$L$2883,9,0),0)</f>
        <v>0</v>
      </c>
      <c r="B47" s="74">
        <f>IF($I47&gt;0,VLOOKUP(I47,'Lista de Precios'!$A$3:$H$2883,7,0),0)</f>
        <v>0</v>
      </c>
      <c r="C47" s="7" t="str">
        <f>IF($I47&gt;0,VLOOKUP(I47,'Lista de Precios'!$A$3:$H$2883,2,0),"")</f>
        <v/>
      </c>
      <c r="D47" s="7" t="str">
        <f>IF($I47&gt;0,VLOOKUP(I47,'Lista de Precios'!$A$3:$H$2883,3,0),"")</f>
        <v/>
      </c>
      <c r="E47" s="76" t="str">
        <f>IF($I47&gt;0,VLOOKUP(I47,'Lista de Precios'!$A$3:$H$2883,6,0),"")</f>
        <v/>
      </c>
      <c r="F47" s="76" t="str">
        <f>IF($I47&gt;0,VLOOKUP(I47,'Lista de Precios'!$A$3:$H$2883,8,0),"")</f>
        <v/>
      </c>
      <c r="G47" s="101" t="str">
        <f t="shared" si="7"/>
        <v/>
      </c>
      <c r="H47" s="20" t="s">
        <v>3</v>
      </c>
      <c r="I47" s="18"/>
      <c r="J47" s="28" t="str">
        <f t="shared" si="0"/>
        <v/>
      </c>
      <c r="K47" s="24"/>
      <c r="L47" s="37"/>
      <c r="M47" s="37"/>
      <c r="N47" s="37"/>
      <c r="O47" s="37"/>
      <c r="P47" s="40"/>
      <c r="Q47" s="39"/>
      <c r="R47" s="37"/>
      <c r="S47" s="37"/>
      <c r="T47" s="37"/>
      <c r="U47" s="37"/>
      <c r="V47" s="37"/>
      <c r="W47" s="37"/>
      <c r="X47" s="37"/>
      <c r="Y47" s="37"/>
      <c r="Z47" s="40"/>
      <c r="AA47" s="41"/>
      <c r="AB47" s="37"/>
      <c r="AC47" s="37"/>
      <c r="AD47" s="37"/>
      <c r="AE47" s="37"/>
      <c r="AF47" s="37"/>
      <c r="AG47" s="37"/>
      <c r="AH47" s="36"/>
      <c r="AI47" s="36"/>
      <c r="AJ47" s="36"/>
      <c r="AK47" s="42"/>
      <c r="AL47" s="42"/>
      <c r="AM47" s="73">
        <f t="shared" si="1"/>
        <v>0</v>
      </c>
      <c r="AN47" s="71" t="str">
        <f>+IF($I47&gt;0,VLOOKUP($I47,'Lista de Precios'!$A$3:$H$2883,4,0),"")</f>
        <v/>
      </c>
      <c r="AO47" s="68" t="str">
        <f t="shared" si="2"/>
        <v/>
      </c>
      <c r="AP47" s="7" t="str">
        <f>IF($I47&gt;0,VLOOKUP($I47,'Lista de Precios'!$A$3:$K$2883,10,0),"")</f>
        <v/>
      </c>
      <c r="AQ47" s="7" t="str">
        <f>IF($I47&gt;0,VLOOKUP($I47,'Lista de Precios'!$A$3:$M$49893,13,0),"")</f>
        <v/>
      </c>
      <c r="HQ47" s="134"/>
      <c r="HR47" s="134"/>
      <c r="HS47" s="134"/>
      <c r="HT47" s="134"/>
      <c r="HU47" s="134"/>
      <c r="HV47" s="134"/>
      <c r="HW47" s="134"/>
      <c r="HX47" s="134"/>
      <c r="HY47" s="134"/>
      <c r="HZ47" s="134"/>
      <c r="IA47" s="134"/>
      <c r="IB47" s="134"/>
      <c r="ID47" s="134"/>
      <c r="IE47" s="134"/>
      <c r="IF47" s="134"/>
      <c r="IG47" s="134"/>
      <c r="IH47" s="134"/>
      <c r="II47" s="134"/>
      <c r="IJ47" s="134"/>
      <c r="IK47" s="134"/>
      <c r="IL47" s="134"/>
      <c r="IM47" s="135"/>
      <c r="IN47" s="135"/>
      <c r="IO47" s="135"/>
      <c r="XEO47" s="7" t="str">
        <f t="shared" si="3"/>
        <v/>
      </c>
      <c r="XEP47" s="7" t="str">
        <f t="shared" si="4"/>
        <v/>
      </c>
      <c r="XEQ47" s="7" t="str">
        <f t="shared" si="5"/>
        <v/>
      </c>
      <c r="XER47" s="7" t="str">
        <f t="shared" si="6"/>
        <v/>
      </c>
    </row>
    <row r="48" spans="1:249 16369:16372" ht="23.25" customHeight="1" x14ac:dyDescent="0.25">
      <c r="A48" s="74">
        <f>IF($I48&gt;0,VLOOKUP(I48,'Lista de Precios'!$A$3:$L$2883,9,0),0)</f>
        <v>0</v>
      </c>
      <c r="B48" s="74">
        <f>IF($I48&gt;0,VLOOKUP(I48,'Lista de Precios'!$A$3:$H$2883,7,0),0)</f>
        <v>0</v>
      </c>
      <c r="C48" s="7" t="str">
        <f>IF($I48&gt;0,VLOOKUP(I48,'Lista de Precios'!$A$3:$H$2883,2,0),"")</f>
        <v/>
      </c>
      <c r="D48" s="7" t="str">
        <f>IF($I48&gt;0,VLOOKUP(I48,'Lista de Precios'!$A$3:$H$2883,3,0),"")</f>
        <v/>
      </c>
      <c r="E48" s="76" t="str">
        <f>IF($I48&gt;0,VLOOKUP(I48,'Lista de Precios'!$A$3:$H$2883,6,0),"")</f>
        <v/>
      </c>
      <c r="F48" s="76" t="str">
        <f>IF($I48&gt;0,VLOOKUP(I48,'Lista de Precios'!$A$3:$H$2883,8,0),"")</f>
        <v/>
      </c>
      <c r="G48" s="101" t="str">
        <f t="shared" si="7"/>
        <v/>
      </c>
      <c r="H48" s="20" t="s">
        <v>3</v>
      </c>
      <c r="I48" s="18"/>
      <c r="J48" s="28" t="str">
        <f t="shared" si="0"/>
        <v/>
      </c>
      <c r="K48" s="24"/>
      <c r="L48" s="37"/>
      <c r="M48" s="37"/>
      <c r="N48" s="37"/>
      <c r="O48" s="37"/>
      <c r="P48" s="40"/>
      <c r="Q48" s="39"/>
      <c r="R48" s="37"/>
      <c r="S48" s="37"/>
      <c r="T48" s="37"/>
      <c r="U48" s="37"/>
      <c r="V48" s="37"/>
      <c r="W48" s="37"/>
      <c r="X48" s="37"/>
      <c r="Y48" s="37"/>
      <c r="Z48" s="40"/>
      <c r="AA48" s="41"/>
      <c r="AB48" s="37"/>
      <c r="AC48" s="37"/>
      <c r="AD48" s="37"/>
      <c r="AE48" s="37"/>
      <c r="AF48" s="37"/>
      <c r="AG48" s="37"/>
      <c r="AH48" s="36"/>
      <c r="AI48" s="36"/>
      <c r="AJ48" s="36"/>
      <c r="AK48" s="42"/>
      <c r="AL48" s="42"/>
      <c r="AM48" s="73">
        <f t="shared" si="1"/>
        <v>0</v>
      </c>
      <c r="AN48" s="71" t="str">
        <f>+IF($I48&gt;0,VLOOKUP($I48,'Lista de Precios'!$A$3:$H$2883,4,0),"")</f>
        <v/>
      </c>
      <c r="AO48" s="68" t="str">
        <f t="shared" si="2"/>
        <v/>
      </c>
      <c r="AP48" s="7" t="str">
        <f>IF($I48&gt;0,VLOOKUP($I48,'Lista de Precios'!$A$3:$K$2883,10,0),"")</f>
        <v/>
      </c>
      <c r="AQ48" s="7" t="str">
        <f>IF($I48&gt;0,VLOOKUP($I48,'Lista de Precios'!$A$3:$M$49893,13,0),"")</f>
        <v/>
      </c>
      <c r="HQ48" s="134"/>
      <c r="HR48" s="134"/>
      <c r="HS48" s="134"/>
      <c r="HT48" s="134"/>
      <c r="HU48" s="134"/>
      <c r="HV48" s="134"/>
      <c r="HW48" s="134"/>
      <c r="HX48" s="134"/>
      <c r="HY48" s="134"/>
      <c r="HZ48" s="134"/>
      <c r="IA48" s="134"/>
      <c r="IB48" s="134"/>
      <c r="ID48" s="134"/>
      <c r="IE48" s="134"/>
      <c r="IF48" s="134"/>
      <c r="IG48" s="134"/>
      <c r="IH48" s="134"/>
      <c r="II48" s="134"/>
      <c r="IJ48" s="134"/>
      <c r="IK48" s="134"/>
      <c r="IL48" s="134"/>
      <c r="IM48" s="135"/>
      <c r="IN48" s="135"/>
      <c r="IO48" s="135"/>
      <c r="XEO48" s="7" t="str">
        <f t="shared" si="3"/>
        <v/>
      </c>
      <c r="XEP48" s="7" t="str">
        <f t="shared" si="4"/>
        <v/>
      </c>
      <c r="XEQ48" s="7" t="str">
        <f t="shared" si="5"/>
        <v/>
      </c>
      <c r="XER48" s="7" t="str">
        <f t="shared" si="6"/>
        <v/>
      </c>
    </row>
    <row r="49" spans="1:249 16369:16372" ht="23.25" customHeight="1" x14ac:dyDescent="0.25">
      <c r="A49" s="74">
        <f>IF($I49&gt;0,VLOOKUP(I49,'Lista de Precios'!$A$3:$L$2883,9,0),0)</f>
        <v>0</v>
      </c>
      <c r="B49" s="74">
        <f>IF($I49&gt;0,VLOOKUP(I49,'Lista de Precios'!$A$3:$H$2883,7,0),0)</f>
        <v>0</v>
      </c>
      <c r="C49" s="7" t="str">
        <f>IF($I49&gt;0,VLOOKUP(I49,'Lista de Precios'!$A$3:$H$2883,2,0),"")</f>
        <v/>
      </c>
      <c r="D49" s="7" t="str">
        <f>IF($I49&gt;0,VLOOKUP(I49,'Lista de Precios'!$A$3:$H$2883,3,0),"")</f>
        <v/>
      </c>
      <c r="E49" s="76" t="str">
        <f>IF($I49&gt;0,VLOOKUP(I49,'Lista de Precios'!$A$3:$H$2883,6,0),"")</f>
        <v/>
      </c>
      <c r="F49" s="76" t="str">
        <f>IF($I49&gt;0,VLOOKUP(I49,'Lista de Precios'!$A$3:$H$2883,8,0),"")</f>
        <v/>
      </c>
      <c r="G49" s="101" t="str">
        <f t="shared" si="7"/>
        <v/>
      </c>
      <c r="H49" s="20" t="s">
        <v>3</v>
      </c>
      <c r="I49" s="18"/>
      <c r="J49" s="28" t="str">
        <f t="shared" si="0"/>
        <v/>
      </c>
      <c r="K49" s="24"/>
      <c r="L49" s="37"/>
      <c r="M49" s="37"/>
      <c r="N49" s="37"/>
      <c r="O49" s="37"/>
      <c r="P49" s="40"/>
      <c r="Q49" s="39"/>
      <c r="R49" s="37"/>
      <c r="S49" s="37"/>
      <c r="T49" s="37"/>
      <c r="U49" s="37"/>
      <c r="V49" s="37"/>
      <c r="W49" s="37"/>
      <c r="X49" s="37"/>
      <c r="Y49" s="37"/>
      <c r="Z49" s="40"/>
      <c r="AA49" s="41"/>
      <c r="AB49" s="37"/>
      <c r="AC49" s="37"/>
      <c r="AD49" s="37"/>
      <c r="AE49" s="37"/>
      <c r="AF49" s="37"/>
      <c r="AG49" s="37"/>
      <c r="AH49" s="36"/>
      <c r="AI49" s="36"/>
      <c r="AJ49" s="36"/>
      <c r="AK49" s="42"/>
      <c r="AL49" s="42"/>
      <c r="AM49" s="73">
        <f t="shared" si="1"/>
        <v>0</v>
      </c>
      <c r="AN49" s="71" t="str">
        <f>+IF($I49&gt;0,VLOOKUP($I49,'Lista de Precios'!$A$3:$H$2883,4,0),"")</f>
        <v/>
      </c>
      <c r="AO49" s="68" t="str">
        <f t="shared" si="2"/>
        <v/>
      </c>
      <c r="AP49" s="7" t="str">
        <f>IF($I49&gt;0,VLOOKUP($I49,'Lista de Precios'!$A$3:$K$2883,10,0),"")</f>
        <v/>
      </c>
      <c r="AQ49" s="7" t="str">
        <f>IF($I49&gt;0,VLOOKUP($I49,'Lista de Precios'!$A$3:$M$49893,13,0),"")</f>
        <v/>
      </c>
      <c r="HQ49" s="134"/>
      <c r="HR49" s="134"/>
      <c r="HS49" s="134"/>
      <c r="HT49" s="134"/>
      <c r="HU49" s="134"/>
      <c r="HV49" s="134"/>
      <c r="HW49" s="134"/>
      <c r="HX49" s="134"/>
      <c r="HY49" s="134"/>
      <c r="HZ49" s="134"/>
      <c r="IA49" s="134"/>
      <c r="IB49" s="134"/>
      <c r="ID49" s="134"/>
      <c r="IE49" s="134"/>
      <c r="IF49" s="134"/>
      <c r="IG49" s="134"/>
      <c r="IH49" s="134"/>
      <c r="II49" s="134"/>
      <c r="IJ49" s="134"/>
      <c r="IK49" s="134"/>
      <c r="IL49" s="134"/>
      <c r="IM49" s="135"/>
      <c r="IN49" s="135"/>
      <c r="IO49" s="135"/>
      <c r="XEO49" s="7" t="str">
        <f t="shared" si="3"/>
        <v/>
      </c>
      <c r="XEP49" s="7" t="str">
        <f t="shared" si="4"/>
        <v/>
      </c>
      <c r="XEQ49" s="7" t="str">
        <f t="shared" si="5"/>
        <v/>
      </c>
      <c r="XER49" s="7" t="str">
        <f t="shared" si="6"/>
        <v/>
      </c>
    </row>
    <row r="50" spans="1:249 16369:16372" ht="23.25" customHeight="1" x14ac:dyDescent="0.25">
      <c r="A50" s="74">
        <f>IF($I50&gt;0,VLOOKUP(I50,'Lista de Precios'!$A$3:$L$2883,9,0),0)</f>
        <v>0</v>
      </c>
      <c r="B50" s="74">
        <f>IF($I50&gt;0,VLOOKUP(I50,'Lista de Precios'!$A$3:$H$2883,7,0),0)</f>
        <v>0</v>
      </c>
      <c r="C50" s="7" t="str">
        <f>IF($I50&gt;0,VLOOKUP(I50,'Lista de Precios'!$A$3:$H$2883,2,0),"")</f>
        <v/>
      </c>
      <c r="D50" s="7" t="str">
        <f>IF($I50&gt;0,VLOOKUP(I50,'Lista de Precios'!$A$3:$H$2883,3,0),"")</f>
        <v/>
      </c>
      <c r="E50" s="76" t="str">
        <f>IF($I50&gt;0,VLOOKUP(I50,'Lista de Precios'!$A$3:$H$2883,6,0),"")</f>
        <v/>
      </c>
      <c r="F50" s="76" t="str">
        <f>IF($I50&gt;0,VLOOKUP(I50,'Lista de Precios'!$A$3:$H$2883,8,0),"")</f>
        <v/>
      </c>
      <c r="G50" s="101" t="str">
        <f t="shared" si="7"/>
        <v/>
      </c>
      <c r="H50" s="20" t="s">
        <v>3</v>
      </c>
      <c r="I50" s="18"/>
      <c r="J50" s="28" t="str">
        <f t="shared" si="0"/>
        <v/>
      </c>
      <c r="K50" s="24"/>
      <c r="L50" s="37"/>
      <c r="M50" s="37"/>
      <c r="N50" s="37"/>
      <c r="O50" s="37"/>
      <c r="P50" s="40"/>
      <c r="Q50" s="39"/>
      <c r="R50" s="37"/>
      <c r="S50" s="37"/>
      <c r="T50" s="37"/>
      <c r="U50" s="37"/>
      <c r="V50" s="37"/>
      <c r="W50" s="37"/>
      <c r="X50" s="37"/>
      <c r="Y50" s="37"/>
      <c r="Z50" s="40"/>
      <c r="AA50" s="41"/>
      <c r="AB50" s="37"/>
      <c r="AC50" s="37"/>
      <c r="AD50" s="37"/>
      <c r="AE50" s="37"/>
      <c r="AF50" s="37"/>
      <c r="AG50" s="37"/>
      <c r="AH50" s="36"/>
      <c r="AI50" s="36"/>
      <c r="AJ50" s="36"/>
      <c r="AK50" s="42"/>
      <c r="AL50" s="42"/>
      <c r="AM50" s="73">
        <f t="shared" si="1"/>
        <v>0</v>
      </c>
      <c r="AN50" s="71" t="str">
        <f>+IF($I50&gt;0,VLOOKUP($I50,'Lista de Precios'!$A$3:$H$2883,4,0),"")</f>
        <v/>
      </c>
      <c r="AO50" s="68" t="str">
        <f t="shared" si="2"/>
        <v/>
      </c>
      <c r="AP50" s="7" t="str">
        <f>IF($I50&gt;0,VLOOKUP($I50,'Lista de Precios'!$A$3:$K$2883,10,0),"")</f>
        <v/>
      </c>
      <c r="AQ50" s="7" t="str">
        <f>IF($I50&gt;0,VLOOKUP($I50,'Lista de Precios'!$A$3:$M$49893,13,0),"")</f>
        <v/>
      </c>
      <c r="HQ50" s="134"/>
      <c r="HR50" s="134"/>
      <c r="HS50" s="134"/>
      <c r="HT50" s="134"/>
      <c r="HU50" s="134"/>
      <c r="HV50" s="134"/>
      <c r="HW50" s="134"/>
      <c r="HX50" s="134"/>
      <c r="HY50" s="134"/>
      <c r="HZ50" s="134"/>
      <c r="IA50" s="134"/>
      <c r="IB50" s="134"/>
      <c r="ID50" s="134"/>
      <c r="IE50" s="134"/>
      <c r="IF50" s="134"/>
      <c r="IG50" s="134"/>
      <c r="IH50" s="134"/>
      <c r="II50" s="134"/>
      <c r="IJ50" s="134"/>
      <c r="IK50" s="134"/>
      <c r="IL50" s="134"/>
      <c r="IM50" s="135"/>
      <c r="IN50" s="135"/>
      <c r="IO50" s="135"/>
      <c r="XEO50" s="7" t="str">
        <f t="shared" si="3"/>
        <v/>
      </c>
      <c r="XEP50" s="7" t="str">
        <f t="shared" si="4"/>
        <v/>
      </c>
      <c r="XEQ50" s="7" t="str">
        <f t="shared" si="5"/>
        <v/>
      </c>
      <c r="XER50" s="7" t="str">
        <f t="shared" si="6"/>
        <v/>
      </c>
    </row>
    <row r="51" spans="1:249 16369:16372" ht="23.25" customHeight="1" x14ac:dyDescent="0.25">
      <c r="A51" s="74"/>
      <c r="B51" s="74">
        <f>IF($I51&gt;0,VLOOKUP(I51,'Lista de Precios'!$A$3:$H$2883,7,0),0)</f>
        <v>0</v>
      </c>
      <c r="C51" s="7" t="str">
        <f>IF($I51&gt;0,VLOOKUP(I51,'Lista de Precios'!$A$3:$H$2883,2,0),"")</f>
        <v/>
      </c>
      <c r="D51" s="7" t="str">
        <f>IF($I51&gt;0,VLOOKUP(I51,'Lista de Precios'!$A$3:$H$2883,3,0),"")</f>
        <v/>
      </c>
      <c r="E51" s="76" t="str">
        <f>IF($I51&gt;0,VLOOKUP(I51,'Lista de Precios'!$A$3:$H$2883,6,0),"")</f>
        <v/>
      </c>
      <c r="F51" s="76" t="str">
        <f>IF($I51&gt;0,VLOOKUP(I51,'Lista de Precios'!$A$3:$H$2883,8,0),"")</f>
        <v/>
      </c>
      <c r="G51" s="101" t="str">
        <f t="shared" si="7"/>
        <v/>
      </c>
      <c r="H51" s="20" t="s">
        <v>3</v>
      </c>
      <c r="I51" s="18"/>
      <c r="J51" s="28" t="str">
        <f t="shared" si="0"/>
        <v/>
      </c>
      <c r="K51" s="24"/>
      <c r="L51" s="37"/>
      <c r="M51" s="37"/>
      <c r="N51" s="37"/>
      <c r="O51" s="37"/>
      <c r="P51" s="40"/>
      <c r="Q51" s="39"/>
      <c r="R51" s="37"/>
      <c r="S51" s="37"/>
      <c r="T51" s="37"/>
      <c r="U51" s="37"/>
      <c r="V51" s="37"/>
      <c r="W51" s="37"/>
      <c r="X51" s="37"/>
      <c r="Y51" s="37"/>
      <c r="Z51" s="40"/>
      <c r="AA51" s="41"/>
      <c r="AB51" s="37"/>
      <c r="AC51" s="37"/>
      <c r="AD51" s="37"/>
      <c r="AE51" s="37"/>
      <c r="AF51" s="37"/>
      <c r="AG51" s="37"/>
      <c r="AH51" s="36"/>
      <c r="AI51" s="36"/>
      <c r="AJ51" s="36"/>
      <c r="AK51" s="42"/>
      <c r="AL51" s="42"/>
      <c r="AM51" s="73">
        <f t="shared" si="1"/>
        <v>0</v>
      </c>
      <c r="AN51" s="71" t="str">
        <f>+IF($I51&gt;0,VLOOKUP($I51,'Lista de Precios'!$A$3:$H$2883,4,0),"")</f>
        <v/>
      </c>
      <c r="AO51" s="68" t="str">
        <f t="shared" si="2"/>
        <v/>
      </c>
      <c r="AP51" s="7" t="str">
        <f>IF($I51&gt;0,VLOOKUP($I51,'Lista de Precios'!$A$3:$K$2883,10,0),"")</f>
        <v/>
      </c>
      <c r="AQ51" s="7" t="str">
        <f>IF($I51&gt;0,VLOOKUP($I51,'Lista de Precios'!$A$3:$M$49893,13,0),"")</f>
        <v/>
      </c>
      <c r="HQ51" s="134"/>
      <c r="HR51" s="134"/>
      <c r="HS51" s="134"/>
      <c r="HT51" s="134"/>
      <c r="HU51" s="134"/>
      <c r="HV51" s="134"/>
      <c r="HW51" s="134"/>
      <c r="HX51" s="134"/>
      <c r="HY51" s="134"/>
      <c r="HZ51" s="134"/>
      <c r="IA51" s="134"/>
      <c r="IB51" s="134"/>
      <c r="ID51" s="134"/>
      <c r="IE51" s="134"/>
      <c r="IF51" s="134"/>
      <c r="IG51" s="134"/>
      <c r="IH51" s="134"/>
      <c r="II51" s="134"/>
      <c r="IJ51" s="134"/>
      <c r="IK51" s="134"/>
      <c r="IL51" s="134"/>
      <c r="IM51" s="135"/>
      <c r="IN51" s="135"/>
      <c r="IO51" s="135"/>
      <c r="XEO51" s="7" t="str">
        <f t="shared" si="3"/>
        <v/>
      </c>
      <c r="XEP51" s="7" t="str">
        <f t="shared" si="4"/>
        <v/>
      </c>
      <c r="XEQ51" s="7" t="str">
        <f t="shared" si="5"/>
        <v/>
      </c>
      <c r="XER51" s="7" t="str">
        <f t="shared" si="6"/>
        <v/>
      </c>
    </row>
    <row r="52" spans="1:249 16369:16372" ht="23.25" customHeight="1" x14ac:dyDescent="0.25">
      <c r="A52" s="74">
        <f>IF($I52&gt;0,VLOOKUP(I52,'Lista de Precios'!$A$3:$L$2883,9,0),0)</f>
        <v>0</v>
      </c>
      <c r="B52" s="74">
        <f>IF($I52&gt;0,VLOOKUP(I52,'Lista de Precios'!$A$3:$H$2883,7,0),0)</f>
        <v>0</v>
      </c>
      <c r="C52" s="7" t="str">
        <f>IF($I52&gt;0,VLOOKUP(I52,'Lista de Precios'!$A$3:$H$2883,2,0),"")</f>
        <v/>
      </c>
      <c r="D52" s="7" t="str">
        <f>IF($I52&gt;0,VLOOKUP(I52,'Lista de Precios'!$A$3:$H$2883,3,0),"")</f>
        <v/>
      </c>
      <c r="E52" s="76" t="str">
        <f>IF($I52&gt;0,VLOOKUP(I52,'Lista de Precios'!$A$3:$H$2883,6,0),"")</f>
        <v/>
      </c>
      <c r="F52" s="76" t="str">
        <f>IF($I52&gt;0,VLOOKUP(I52,'Lista de Precios'!$A$3:$H$2883,8,0),"")</f>
        <v/>
      </c>
      <c r="G52" s="101" t="str">
        <f t="shared" si="7"/>
        <v/>
      </c>
      <c r="H52" s="20" t="s">
        <v>3</v>
      </c>
      <c r="I52" s="18"/>
      <c r="J52" s="28" t="str">
        <f t="shared" si="0"/>
        <v/>
      </c>
      <c r="K52" s="24"/>
      <c r="L52" s="37"/>
      <c r="M52" s="37"/>
      <c r="N52" s="37"/>
      <c r="O52" s="37"/>
      <c r="P52" s="40"/>
      <c r="Q52" s="39"/>
      <c r="R52" s="37"/>
      <c r="S52" s="37"/>
      <c r="T52" s="37"/>
      <c r="U52" s="37"/>
      <c r="V52" s="37"/>
      <c r="W52" s="37"/>
      <c r="X52" s="37"/>
      <c r="Y52" s="37"/>
      <c r="Z52" s="40"/>
      <c r="AA52" s="41"/>
      <c r="AB52" s="37"/>
      <c r="AC52" s="37"/>
      <c r="AD52" s="37"/>
      <c r="AE52" s="37"/>
      <c r="AF52" s="37"/>
      <c r="AG52" s="37"/>
      <c r="AH52" s="36"/>
      <c r="AI52" s="36"/>
      <c r="AJ52" s="36"/>
      <c r="AK52" s="42"/>
      <c r="AL52" s="42"/>
      <c r="AM52" s="73">
        <f t="shared" si="1"/>
        <v>0</v>
      </c>
      <c r="AN52" s="71" t="str">
        <f>+IF($I52&gt;0,VLOOKUP($I52,'Lista de Precios'!$A$3:$H$2883,4,0),"")</f>
        <v/>
      </c>
      <c r="AO52" s="68" t="str">
        <f t="shared" si="2"/>
        <v/>
      </c>
      <c r="AP52" s="7" t="str">
        <f>IF($I52&gt;0,VLOOKUP($I52,'Lista de Precios'!$A$3:$K$2883,10,0),"")</f>
        <v/>
      </c>
      <c r="AQ52" s="7" t="str">
        <f>IF($I52&gt;0,VLOOKUP($I52,'Lista de Precios'!$A$3:$M$49893,13,0),"")</f>
        <v/>
      </c>
      <c r="HQ52" s="134"/>
      <c r="HR52" s="134"/>
      <c r="HS52" s="134"/>
      <c r="HT52" s="134"/>
      <c r="HU52" s="134"/>
      <c r="HV52" s="134"/>
      <c r="HW52" s="134"/>
      <c r="HX52" s="134"/>
      <c r="HY52" s="134"/>
      <c r="HZ52" s="134"/>
      <c r="IA52" s="134"/>
      <c r="IB52" s="134"/>
      <c r="ID52" s="134"/>
      <c r="IE52" s="134"/>
      <c r="IF52" s="134"/>
      <c r="IG52" s="134"/>
      <c r="IH52" s="134"/>
      <c r="II52" s="134"/>
      <c r="IJ52" s="134"/>
      <c r="IK52" s="134"/>
      <c r="IL52" s="134"/>
      <c r="IM52" s="135"/>
      <c r="IN52" s="135"/>
      <c r="IO52" s="135"/>
      <c r="XEO52" s="7" t="str">
        <f t="shared" si="3"/>
        <v/>
      </c>
      <c r="XEP52" s="7" t="str">
        <f t="shared" si="4"/>
        <v/>
      </c>
      <c r="XEQ52" s="7" t="str">
        <f t="shared" si="5"/>
        <v/>
      </c>
      <c r="XER52" s="7" t="str">
        <f t="shared" si="6"/>
        <v/>
      </c>
    </row>
    <row r="53" spans="1:249 16369:16372" ht="23.25" customHeight="1" x14ac:dyDescent="0.25">
      <c r="A53" s="74">
        <f>IF($I53&gt;0,VLOOKUP(I53,'Lista de Precios'!$A$3:$L$2883,9,0),0)</f>
        <v>0</v>
      </c>
      <c r="B53" s="74">
        <f>IF($I53&gt;0,VLOOKUP(I53,'Lista de Precios'!$A$3:$H$2883,7,0),0)</f>
        <v>0</v>
      </c>
      <c r="C53" s="7" t="str">
        <f>IF($I53&gt;0,VLOOKUP(I53,'Lista de Precios'!$A$3:$H$2883,2,0),"")</f>
        <v/>
      </c>
      <c r="D53" s="7" t="str">
        <f>IF($I53&gt;0,VLOOKUP(I53,'Lista de Precios'!$A$3:$H$2883,3,0),"")</f>
        <v/>
      </c>
      <c r="E53" s="76" t="str">
        <f>IF($I53&gt;0,VLOOKUP(I53,'Lista de Precios'!$A$3:$H$2883,6,0),"")</f>
        <v/>
      </c>
      <c r="F53" s="76" t="str">
        <f>IF($I53&gt;0,VLOOKUP(I53,'Lista de Precios'!$A$3:$H$2883,8,0),"")</f>
        <v/>
      </c>
      <c r="G53" s="101" t="str">
        <f t="shared" si="7"/>
        <v/>
      </c>
      <c r="H53" s="20" t="s">
        <v>3</v>
      </c>
      <c r="I53" s="18"/>
      <c r="J53" s="28" t="str">
        <f t="shared" si="0"/>
        <v/>
      </c>
      <c r="K53" s="24"/>
      <c r="L53" s="37"/>
      <c r="M53" s="37"/>
      <c r="N53" s="37"/>
      <c r="O53" s="37"/>
      <c r="P53" s="40"/>
      <c r="Q53" s="39"/>
      <c r="R53" s="37"/>
      <c r="S53" s="37"/>
      <c r="T53" s="37"/>
      <c r="U53" s="37"/>
      <c r="V53" s="37"/>
      <c r="W53" s="37"/>
      <c r="X53" s="37"/>
      <c r="Y53" s="37"/>
      <c r="Z53" s="40"/>
      <c r="AA53" s="41"/>
      <c r="AB53" s="37"/>
      <c r="AC53" s="37"/>
      <c r="AD53" s="37"/>
      <c r="AE53" s="37"/>
      <c r="AF53" s="37"/>
      <c r="AG53" s="37"/>
      <c r="AH53" s="36"/>
      <c r="AI53" s="36"/>
      <c r="AJ53" s="36"/>
      <c r="AK53" s="42"/>
      <c r="AL53" s="42"/>
      <c r="AM53" s="73">
        <f t="shared" si="1"/>
        <v>0</v>
      </c>
      <c r="AN53" s="71" t="str">
        <f>+IF($I53&gt;0,VLOOKUP($I53,'Lista de Precios'!$A$3:$H$2883,4,0),"")</f>
        <v/>
      </c>
      <c r="AO53" s="68" t="str">
        <f t="shared" si="2"/>
        <v/>
      </c>
      <c r="AP53" s="7" t="str">
        <f>IF($I53&gt;0,VLOOKUP($I53,'Lista de Precios'!$A$3:$K$2883,10,0),"")</f>
        <v/>
      </c>
      <c r="AQ53" s="7" t="str">
        <f>IF($I53&gt;0,VLOOKUP($I53,'Lista de Precios'!$A$3:$M$49893,13,0),"")</f>
        <v/>
      </c>
      <c r="HQ53" s="134"/>
      <c r="HR53" s="134"/>
      <c r="HS53" s="134"/>
      <c r="HT53" s="134"/>
      <c r="HU53" s="134"/>
      <c r="HV53" s="134"/>
      <c r="HW53" s="134"/>
      <c r="HX53" s="134"/>
      <c r="HY53" s="134"/>
      <c r="HZ53" s="134"/>
      <c r="IA53" s="134"/>
      <c r="IB53" s="134"/>
      <c r="ID53" s="134"/>
      <c r="IE53" s="134"/>
      <c r="IF53" s="134"/>
      <c r="IG53" s="134"/>
      <c r="IH53" s="134"/>
      <c r="II53" s="134"/>
      <c r="IJ53" s="134"/>
      <c r="IK53" s="134"/>
      <c r="IL53" s="134"/>
      <c r="IM53" s="135"/>
      <c r="IN53" s="135"/>
      <c r="IO53" s="135"/>
      <c r="XEO53" s="7" t="str">
        <f t="shared" si="3"/>
        <v/>
      </c>
      <c r="XEP53" s="7" t="str">
        <f t="shared" si="4"/>
        <v/>
      </c>
      <c r="XEQ53" s="7" t="str">
        <f t="shared" si="5"/>
        <v/>
      </c>
      <c r="XER53" s="7" t="str">
        <f t="shared" si="6"/>
        <v/>
      </c>
    </row>
    <row r="54" spans="1:249 16369:16372" ht="23.25" customHeight="1" x14ac:dyDescent="0.25">
      <c r="A54" s="74">
        <f>IF($I54&gt;0,VLOOKUP(I54,'Lista de Precios'!$A$3:$L$2883,9,0),0)</f>
        <v>0</v>
      </c>
      <c r="B54" s="74">
        <f>IF($I54&gt;0,VLOOKUP(I54,'Lista de Precios'!$A$3:$H$2883,7,0),0)</f>
        <v>0</v>
      </c>
      <c r="C54" s="7" t="str">
        <f>IF($I54&gt;0,VLOOKUP(I54,'Lista de Precios'!$A$3:$H$2883,2,0),"")</f>
        <v/>
      </c>
      <c r="D54" s="7" t="str">
        <f>IF($I54&gt;0,VLOOKUP(I54,'Lista de Precios'!$A$3:$H$2883,3,0),"")</f>
        <v/>
      </c>
      <c r="E54" s="76" t="str">
        <f>IF($I54&gt;0,VLOOKUP(I54,'Lista de Precios'!$A$3:$H$2883,6,0),"")</f>
        <v/>
      </c>
      <c r="F54" s="76" t="str">
        <f>IF($I54&gt;0,VLOOKUP(I54,'Lista de Precios'!$A$3:$H$2883,8,0),"")</f>
        <v/>
      </c>
      <c r="G54" s="101" t="str">
        <f t="shared" si="7"/>
        <v/>
      </c>
      <c r="H54" s="20" t="s">
        <v>3</v>
      </c>
      <c r="I54" s="18"/>
      <c r="J54" s="28" t="str">
        <f t="shared" si="0"/>
        <v/>
      </c>
      <c r="K54" s="24"/>
      <c r="L54" s="37"/>
      <c r="M54" s="37"/>
      <c r="N54" s="37"/>
      <c r="O54" s="37"/>
      <c r="P54" s="40"/>
      <c r="Q54" s="39"/>
      <c r="R54" s="37"/>
      <c r="S54" s="37"/>
      <c r="T54" s="37"/>
      <c r="U54" s="37"/>
      <c r="V54" s="37"/>
      <c r="W54" s="37"/>
      <c r="X54" s="37"/>
      <c r="Y54" s="37"/>
      <c r="Z54" s="40"/>
      <c r="AA54" s="41"/>
      <c r="AB54" s="37"/>
      <c r="AC54" s="37"/>
      <c r="AD54" s="37"/>
      <c r="AE54" s="37"/>
      <c r="AF54" s="37"/>
      <c r="AG54" s="37"/>
      <c r="AH54" s="36"/>
      <c r="AI54" s="36"/>
      <c r="AJ54" s="36"/>
      <c r="AK54" s="42"/>
      <c r="AL54" s="42"/>
      <c r="AM54" s="73">
        <f t="shared" ref="AM54:AM88" si="12">+IF(I54&gt;0,SUM(L54:AL54),0)</f>
        <v>0</v>
      </c>
      <c r="AN54" s="71" t="str">
        <f>+IF($I54&gt;0,VLOOKUP($I54,'Lista de Precios'!$A$3:$H$2883,4,0),"")</f>
        <v/>
      </c>
      <c r="AO54" s="68" t="str">
        <f t="shared" si="2"/>
        <v/>
      </c>
      <c r="AP54" s="7" t="str">
        <f>IF($I54&gt;0,VLOOKUP($I54,'Lista de Precios'!$A$3:$K$2883,10,0),"")</f>
        <v/>
      </c>
      <c r="AQ54" s="7" t="str">
        <f>IF($I54&gt;0,VLOOKUP($I54,'Lista de Precios'!$A$3:$M$49893,13,0),"")</f>
        <v/>
      </c>
      <c r="HQ54" s="134"/>
      <c r="HR54" s="134"/>
      <c r="HS54" s="134"/>
      <c r="HT54" s="134"/>
      <c r="HU54" s="134"/>
      <c r="HV54" s="134"/>
      <c r="HW54" s="134"/>
      <c r="HX54" s="134"/>
      <c r="HY54" s="134"/>
      <c r="HZ54" s="134"/>
      <c r="IA54" s="134"/>
      <c r="IB54" s="134"/>
      <c r="ID54" s="134"/>
      <c r="IE54" s="134"/>
      <c r="IF54" s="134"/>
      <c r="IG54" s="134"/>
      <c r="IH54" s="134"/>
      <c r="II54" s="134"/>
      <c r="IJ54" s="134"/>
      <c r="IK54" s="134"/>
      <c r="IL54" s="134"/>
      <c r="IM54" s="135"/>
      <c r="IN54" s="135"/>
      <c r="IO54" s="135"/>
      <c r="XEO54" s="7" t="str">
        <f t="shared" ref="XEO54:XEO88" si="13">+IF($AQ54=$XEO$13,$AM54,"")</f>
        <v/>
      </c>
      <c r="XEP54" s="7" t="str">
        <f t="shared" ref="XEP54:XEP88" si="14">+IF($AQ54=$XEP$13,$AM54,"")</f>
        <v/>
      </c>
      <c r="XEQ54" s="7" t="str">
        <f t="shared" ref="XEQ54:XEQ88" si="15">+IF($AQ54=$XEQ$13,$AM54,"")</f>
        <v/>
      </c>
      <c r="XER54" s="7" t="str">
        <f t="shared" ref="XER54:XER88" si="16">+IF($AQ54=$XER$13,$AM54,"")</f>
        <v/>
      </c>
    </row>
    <row r="55" spans="1:249 16369:16372" ht="23.25" customHeight="1" x14ac:dyDescent="0.25">
      <c r="A55" s="74"/>
      <c r="B55" s="74">
        <f>IF($I55&gt;0,VLOOKUP(I55,'Lista de Precios'!$A$3:$H$2883,7,0),0)</f>
        <v>0</v>
      </c>
      <c r="C55" s="7" t="str">
        <f>IF($I55&gt;0,VLOOKUP(I55,'Lista de Precios'!$A$3:$H$2883,2,0),"")</f>
        <v/>
      </c>
      <c r="D55" s="7" t="str">
        <f>IF($I55&gt;0,VLOOKUP(I55,'Lista de Precios'!$A$3:$H$2883,3,0),"")</f>
        <v/>
      </c>
      <c r="E55" s="76" t="str">
        <f>IF($I55&gt;0,VLOOKUP(I55,'Lista de Precios'!$A$3:$H$2883,6,0),"")</f>
        <v/>
      </c>
      <c r="F55" s="76" t="str">
        <f>IF($I55&gt;0,VLOOKUP(I55,'Lista de Precios'!$A$3:$H$2883,8,0),"")</f>
        <v/>
      </c>
      <c r="G55" s="101" t="str">
        <f t="shared" ref="G55" si="17">IF(AN55="","",AN55*1.87)</f>
        <v/>
      </c>
      <c r="H55" s="20" t="s">
        <v>3</v>
      </c>
      <c r="I55" s="18"/>
      <c r="J55" s="28" t="str">
        <f t="shared" ref="J55" si="18">+E55</f>
        <v/>
      </c>
      <c r="K55" s="24"/>
      <c r="L55" s="37"/>
      <c r="M55" s="37"/>
      <c r="N55" s="37"/>
      <c r="O55" s="37"/>
      <c r="P55" s="40"/>
      <c r="Q55" s="39"/>
      <c r="R55" s="37"/>
      <c r="S55" s="37"/>
      <c r="T55" s="37"/>
      <c r="U55" s="37"/>
      <c r="V55" s="37"/>
      <c r="W55" s="37"/>
      <c r="X55" s="37"/>
      <c r="Y55" s="37"/>
      <c r="Z55" s="40"/>
      <c r="AA55" s="41"/>
      <c r="AB55" s="37"/>
      <c r="AC55" s="37"/>
      <c r="AD55" s="37"/>
      <c r="AE55" s="37"/>
      <c r="AF55" s="37"/>
      <c r="AG55" s="37"/>
      <c r="AH55" s="36"/>
      <c r="AI55" s="36"/>
      <c r="AJ55" s="36"/>
      <c r="AK55" s="42"/>
      <c r="AL55" s="42"/>
      <c r="AM55" s="73">
        <f t="shared" ref="AM55" si="19">+IF(I55&gt;0,SUM(L55:AL55),0)</f>
        <v>0</v>
      </c>
      <c r="AN55" s="71" t="str">
        <f>+IF($I55&gt;0,VLOOKUP($I55,'Lista de Precios'!$A$3:$H$2883,4,0),"")</f>
        <v/>
      </c>
      <c r="AO55" s="68" t="str">
        <f t="shared" ref="AO55" si="20">+IF(AM55&gt;0,AN55*AM55,"")</f>
        <v/>
      </c>
      <c r="AP55" s="7" t="str">
        <f>IF($I55&gt;0,VLOOKUP($I55,'Lista de Precios'!$A$3:$K$2883,10,0),"")</f>
        <v/>
      </c>
      <c r="AQ55" s="7" t="str">
        <f>IF($I55&gt;0,VLOOKUP($I55,'Lista de Precios'!$A$3:$M$49893,13,0),"")</f>
        <v/>
      </c>
      <c r="HQ55" s="134"/>
      <c r="HR55" s="134"/>
      <c r="HS55" s="134"/>
      <c r="HT55" s="134"/>
      <c r="HU55" s="134"/>
      <c r="HV55" s="134"/>
      <c r="HW55" s="134"/>
      <c r="HX55" s="134"/>
      <c r="HY55" s="134"/>
      <c r="HZ55" s="134"/>
      <c r="IA55" s="134"/>
      <c r="IB55" s="134"/>
      <c r="ID55" s="134"/>
      <c r="IE55" s="134"/>
      <c r="IF55" s="134"/>
      <c r="IG55" s="134"/>
      <c r="IH55" s="134"/>
      <c r="II55" s="134"/>
      <c r="IJ55" s="134"/>
      <c r="IK55" s="134"/>
      <c r="IL55" s="134"/>
      <c r="IM55" s="135"/>
      <c r="IN55" s="135"/>
      <c r="IO55" s="135"/>
      <c r="XEO55" s="7" t="str">
        <f t="shared" si="13"/>
        <v/>
      </c>
      <c r="XEP55" s="7" t="str">
        <f t="shared" si="14"/>
        <v/>
      </c>
      <c r="XEQ55" s="7" t="str">
        <f t="shared" si="15"/>
        <v/>
      </c>
      <c r="XER55" s="7" t="str">
        <f t="shared" si="16"/>
        <v/>
      </c>
    </row>
    <row r="56" spans="1:249 16369:16372" ht="23.25" customHeight="1" x14ac:dyDescent="0.25">
      <c r="A56" s="74"/>
      <c r="B56" s="74"/>
      <c r="E56" s="76"/>
      <c r="F56" s="76"/>
      <c r="G56" s="101"/>
      <c r="H56" s="20"/>
      <c r="I56" s="18"/>
      <c r="J56" s="28"/>
      <c r="K56" s="24"/>
      <c r="L56" s="37"/>
      <c r="M56" s="37"/>
      <c r="N56" s="37"/>
      <c r="O56" s="37"/>
      <c r="P56" s="40"/>
      <c r="Q56" s="39"/>
      <c r="R56" s="37"/>
      <c r="S56" s="37"/>
      <c r="T56" s="37"/>
      <c r="U56" s="37"/>
      <c r="V56" s="37"/>
      <c r="W56" s="37"/>
      <c r="X56" s="37"/>
      <c r="Y56" s="37"/>
      <c r="Z56" s="40"/>
      <c r="AA56" s="41"/>
      <c r="AB56" s="37"/>
      <c r="AC56" s="37"/>
      <c r="AD56" s="37"/>
      <c r="AE56" s="37"/>
      <c r="AF56" s="37"/>
      <c r="AG56" s="37"/>
      <c r="AH56" s="36"/>
      <c r="AI56" s="36"/>
      <c r="AJ56" s="36"/>
      <c r="AK56" s="42"/>
      <c r="AL56" s="42"/>
      <c r="AM56" s="73"/>
      <c r="AN56" s="71"/>
      <c r="AO56" s="68"/>
      <c r="HQ56" s="134"/>
      <c r="HR56" s="134"/>
      <c r="HS56" s="134"/>
      <c r="HT56" s="134"/>
      <c r="HU56" s="134"/>
      <c r="HV56" s="134"/>
      <c r="HW56" s="134"/>
      <c r="HX56" s="134"/>
      <c r="HY56" s="134"/>
      <c r="HZ56" s="134"/>
      <c r="IA56" s="134"/>
      <c r="IB56" s="134"/>
      <c r="ID56" s="134"/>
      <c r="IE56" s="134"/>
      <c r="IF56" s="134"/>
      <c r="IG56" s="134"/>
      <c r="IH56" s="134"/>
      <c r="II56" s="134"/>
      <c r="IJ56" s="134"/>
      <c r="IK56" s="134"/>
      <c r="IL56" s="134"/>
      <c r="IM56" s="135"/>
      <c r="IN56" s="135"/>
      <c r="IO56" s="135"/>
    </row>
    <row r="57" spans="1:249 16369:16372" ht="23.25" customHeight="1" x14ac:dyDescent="0.25">
      <c r="A57" s="74"/>
      <c r="B57" s="74"/>
      <c r="E57" s="76"/>
      <c r="F57" s="76"/>
      <c r="G57" s="101"/>
      <c r="H57" s="20"/>
      <c r="I57" s="18"/>
      <c r="J57" s="28"/>
      <c r="K57" s="24"/>
      <c r="L57" s="37"/>
      <c r="M57" s="37"/>
      <c r="N57" s="37"/>
      <c r="O57" s="37"/>
      <c r="P57" s="40"/>
      <c r="Q57" s="39"/>
      <c r="R57" s="37"/>
      <c r="S57" s="37"/>
      <c r="T57" s="37"/>
      <c r="U57" s="37"/>
      <c r="V57" s="37"/>
      <c r="W57" s="37"/>
      <c r="X57" s="37"/>
      <c r="Y57" s="37"/>
      <c r="Z57" s="40"/>
      <c r="AA57" s="41"/>
      <c r="AB57" s="37"/>
      <c r="AC57" s="37"/>
      <c r="AD57" s="37"/>
      <c r="AE57" s="37"/>
      <c r="AF57" s="37"/>
      <c r="AG57" s="37"/>
      <c r="AH57" s="36"/>
      <c r="AI57" s="36"/>
      <c r="AJ57" s="36"/>
      <c r="AK57" s="42"/>
      <c r="AL57" s="42"/>
      <c r="AM57" s="73"/>
      <c r="AN57" s="71"/>
      <c r="AO57" s="68"/>
      <c r="HQ57" s="134"/>
      <c r="HR57" s="134"/>
      <c r="HS57" s="134"/>
      <c r="HT57" s="134"/>
      <c r="HU57" s="134"/>
      <c r="HV57" s="134"/>
      <c r="HW57" s="134"/>
      <c r="HX57" s="134"/>
      <c r="HY57" s="134"/>
      <c r="HZ57" s="134"/>
      <c r="IA57" s="134"/>
      <c r="IB57" s="134"/>
      <c r="ID57" s="134"/>
      <c r="IE57" s="134"/>
      <c r="IF57" s="134"/>
      <c r="IG57" s="134"/>
      <c r="IH57" s="134"/>
      <c r="II57" s="134"/>
      <c r="IJ57" s="134"/>
      <c r="IK57" s="134"/>
      <c r="IL57" s="134"/>
      <c r="IM57" s="135"/>
      <c r="IN57" s="135"/>
      <c r="IO57" s="135"/>
    </row>
    <row r="58" spans="1:249 16369:16372" ht="23.25" customHeight="1" x14ac:dyDescent="0.25">
      <c r="A58" s="74">
        <f>IF($I58&gt;0,VLOOKUP(I58,'Lista de Precios'!$A$3:$L$2883,9,0),0)</f>
        <v>0</v>
      </c>
      <c r="B58" s="74">
        <f>IF($I58&gt;0,VLOOKUP(I58,'Lista de Precios'!$A$3:$H$2883,7,0),0)</f>
        <v>0</v>
      </c>
      <c r="C58" s="7" t="str">
        <f>IF($I58&gt;0,VLOOKUP(I58,'Lista de Precios'!$A$3:$H$2883,2,0),"")</f>
        <v/>
      </c>
      <c r="D58" s="7" t="str">
        <f>IF($I58&gt;0,VLOOKUP(I58,'Lista de Precios'!$A$3:$H$2883,3,0),"")</f>
        <v/>
      </c>
      <c r="E58" s="76" t="str">
        <f>IF($I58&gt;0,VLOOKUP(I58,'Lista de Precios'!$A$3:$H$2883,6,0),"")</f>
        <v/>
      </c>
      <c r="F58" s="76" t="str">
        <f>IF($I58&gt;0,VLOOKUP(I58,'Lista de Precios'!$A$3:$H$2883,8,0),"")</f>
        <v/>
      </c>
      <c r="G58" s="101" t="str">
        <f t="shared" si="7"/>
        <v/>
      </c>
      <c r="H58" s="20" t="s">
        <v>3</v>
      </c>
      <c r="I58" s="18"/>
      <c r="J58" s="28" t="str">
        <f t="shared" si="0"/>
        <v/>
      </c>
      <c r="K58" s="24"/>
      <c r="L58" s="37"/>
      <c r="M58" s="37"/>
      <c r="N58" s="37"/>
      <c r="O58" s="37"/>
      <c r="P58" s="40"/>
      <c r="Q58" s="39"/>
      <c r="R58" s="37"/>
      <c r="S58" s="37"/>
      <c r="T58" s="37"/>
      <c r="U58" s="37"/>
      <c r="V58" s="37"/>
      <c r="W58" s="37"/>
      <c r="X58" s="37"/>
      <c r="Y58" s="37"/>
      <c r="Z58" s="40"/>
      <c r="AA58" s="41"/>
      <c r="AB58" s="37"/>
      <c r="AC58" s="37"/>
      <c r="AD58" s="37"/>
      <c r="AE58" s="37"/>
      <c r="AF58" s="37"/>
      <c r="AG58" s="37"/>
      <c r="AH58" s="36"/>
      <c r="AI58" s="36"/>
      <c r="AJ58" s="36"/>
      <c r="AK58" s="42"/>
      <c r="AL58" s="42"/>
      <c r="AM58" s="73">
        <f t="shared" si="12"/>
        <v>0</v>
      </c>
      <c r="AN58" s="71" t="str">
        <f>+IF($I58&gt;0,VLOOKUP($I58,'Lista de Precios'!$A$3:$H$2883,4,0),"")</f>
        <v/>
      </c>
      <c r="AO58" s="68" t="str">
        <f t="shared" si="2"/>
        <v/>
      </c>
      <c r="AP58" s="7" t="str">
        <f>IF($I58&gt;0,VLOOKUP($I58,'Lista de Precios'!$A$3:$K$2883,10,0),"")</f>
        <v/>
      </c>
      <c r="AQ58" s="7" t="str">
        <f>IF($I58&gt;0,VLOOKUP($I58,'Lista de Precios'!$A$3:$M$49893,13,0),"")</f>
        <v/>
      </c>
      <c r="HQ58" s="134"/>
      <c r="HR58" s="134"/>
      <c r="HS58" s="134"/>
      <c r="HT58" s="134"/>
      <c r="HU58" s="134"/>
      <c r="HV58" s="134"/>
      <c r="HW58" s="134"/>
      <c r="HX58" s="134"/>
      <c r="HY58" s="134"/>
      <c r="HZ58" s="134"/>
      <c r="IA58" s="134"/>
      <c r="IB58" s="134"/>
      <c r="ID58" s="134"/>
      <c r="IE58" s="134"/>
      <c r="IF58" s="134"/>
      <c r="IG58" s="134"/>
      <c r="IH58" s="134"/>
      <c r="II58" s="134"/>
      <c r="IJ58" s="134"/>
      <c r="IK58" s="134"/>
      <c r="IL58" s="134"/>
      <c r="IM58" s="135"/>
      <c r="IN58" s="135"/>
      <c r="IO58" s="135"/>
      <c r="XEO58" s="7" t="str">
        <f t="shared" si="13"/>
        <v/>
      </c>
      <c r="XEP58" s="7" t="str">
        <f t="shared" si="14"/>
        <v/>
      </c>
      <c r="XEQ58" s="7" t="str">
        <f t="shared" si="15"/>
        <v/>
      </c>
      <c r="XER58" s="7" t="str">
        <f t="shared" si="16"/>
        <v/>
      </c>
    </row>
    <row r="59" spans="1:249 16369:16372" ht="23.25" customHeight="1" x14ac:dyDescent="0.25">
      <c r="A59" s="74">
        <f>IF($I59&gt;0,VLOOKUP(I59,'Lista de Precios'!$A$3:$L$2883,9,0),0)</f>
        <v>0</v>
      </c>
      <c r="B59" s="74">
        <f>IF($I59&gt;0,VLOOKUP(I59,'Lista de Precios'!$A$3:$H$2883,7,0),0)</f>
        <v>0</v>
      </c>
      <c r="C59" s="7" t="str">
        <f>IF($I59&gt;0,VLOOKUP(I59,'Lista de Precios'!$A$3:$H$2883,2,0),"")</f>
        <v/>
      </c>
      <c r="D59" s="7" t="str">
        <f>IF($I59&gt;0,VLOOKUP(I59,'Lista de Precios'!$A$3:$H$2883,3,0),"")</f>
        <v/>
      </c>
      <c r="E59" s="76" t="str">
        <f>IF($I59&gt;0,VLOOKUP(I59,'Lista de Precios'!$A$3:$H$2883,6,0),"")</f>
        <v/>
      </c>
      <c r="F59" s="76" t="str">
        <f>IF($I59&gt;0,VLOOKUP(I59,'Lista de Precios'!$A$3:$H$2883,8,0),"")</f>
        <v/>
      </c>
      <c r="G59" s="101" t="str">
        <f t="shared" si="7"/>
        <v/>
      </c>
      <c r="H59" s="20" t="s">
        <v>3</v>
      </c>
      <c r="I59" s="18"/>
      <c r="J59" s="28" t="str">
        <f t="shared" si="0"/>
        <v/>
      </c>
      <c r="K59" s="24"/>
      <c r="L59" s="37"/>
      <c r="M59" s="37"/>
      <c r="N59" s="37"/>
      <c r="O59" s="37"/>
      <c r="P59" s="40"/>
      <c r="Q59" s="39"/>
      <c r="R59" s="37"/>
      <c r="S59" s="37"/>
      <c r="T59" s="37"/>
      <c r="U59" s="37"/>
      <c r="V59" s="37"/>
      <c r="W59" s="37"/>
      <c r="X59" s="37"/>
      <c r="Y59" s="37"/>
      <c r="Z59" s="40"/>
      <c r="AA59" s="41"/>
      <c r="AB59" s="37"/>
      <c r="AC59" s="37"/>
      <c r="AD59" s="37"/>
      <c r="AE59" s="37"/>
      <c r="AF59" s="37"/>
      <c r="AG59" s="37"/>
      <c r="AH59" s="36"/>
      <c r="AI59" s="36"/>
      <c r="AJ59" s="36"/>
      <c r="AK59" s="42"/>
      <c r="AL59" s="42"/>
      <c r="AM59" s="73">
        <f t="shared" si="12"/>
        <v>0</v>
      </c>
      <c r="AN59" s="71" t="str">
        <f>+IF($I59&gt;0,VLOOKUP($I59,'Lista de Precios'!$A$3:$H$2883,4,0),"")</f>
        <v/>
      </c>
      <c r="AO59" s="68" t="str">
        <f t="shared" si="2"/>
        <v/>
      </c>
      <c r="AP59" s="7" t="str">
        <f>IF($I59&gt;0,VLOOKUP($I59,'Lista de Precios'!$A$3:$K$2883,10,0),"")</f>
        <v/>
      </c>
      <c r="AQ59" s="7" t="str">
        <f>IF($I59&gt;0,VLOOKUP($I59,'Lista de Precios'!$A$3:$M$49893,13,0),"")</f>
        <v/>
      </c>
      <c r="HQ59" s="134"/>
      <c r="HR59" s="134"/>
      <c r="HS59" s="134"/>
      <c r="HT59" s="134"/>
      <c r="HU59" s="134"/>
      <c r="HV59" s="134"/>
      <c r="HW59" s="134"/>
      <c r="HX59" s="134"/>
      <c r="HY59" s="134"/>
      <c r="HZ59" s="134"/>
      <c r="IA59" s="134"/>
      <c r="IB59" s="134"/>
      <c r="ID59" s="134"/>
      <c r="IE59" s="134"/>
      <c r="IF59" s="134"/>
      <c r="IG59" s="134"/>
      <c r="IH59" s="134"/>
      <c r="II59" s="134"/>
      <c r="IJ59" s="134"/>
      <c r="IK59" s="134"/>
      <c r="IL59" s="134"/>
      <c r="IM59" s="135"/>
      <c r="IN59" s="135"/>
      <c r="IO59" s="135"/>
      <c r="XEO59" s="7" t="str">
        <f t="shared" si="13"/>
        <v/>
      </c>
      <c r="XEP59" s="7" t="str">
        <f t="shared" si="14"/>
        <v/>
      </c>
      <c r="XEQ59" s="7" t="str">
        <f t="shared" si="15"/>
        <v/>
      </c>
      <c r="XER59" s="7" t="str">
        <f t="shared" si="16"/>
        <v/>
      </c>
    </row>
    <row r="60" spans="1:249 16369:16372" ht="23.25" customHeight="1" x14ac:dyDescent="0.25">
      <c r="A60" s="74">
        <f>IF($I60&gt;0,VLOOKUP(I60,'Lista de Precios'!$A$3:$L$2883,9,0),0)</f>
        <v>0</v>
      </c>
      <c r="B60" s="74">
        <f>IF($I60&gt;0,VLOOKUP(I60,'Lista de Precios'!$A$3:$H$2883,7,0),0)</f>
        <v>0</v>
      </c>
      <c r="C60" s="7" t="str">
        <f>IF($I60&gt;0,VLOOKUP(I60,'Lista de Precios'!$A$3:$H$2883,2,0),"")</f>
        <v/>
      </c>
      <c r="D60" s="7" t="str">
        <f>IF($I60&gt;0,VLOOKUP(I60,'Lista de Precios'!$A$3:$H$2883,3,0),"")</f>
        <v/>
      </c>
      <c r="E60" s="76" t="str">
        <f>IF($I60&gt;0,VLOOKUP(I60,'Lista de Precios'!$A$3:$H$2883,6,0),"")</f>
        <v/>
      </c>
      <c r="F60" s="76" t="str">
        <f>IF($I60&gt;0,VLOOKUP(I60,'Lista de Precios'!$A$3:$H$2883,8,0),"")</f>
        <v/>
      </c>
      <c r="G60" s="101" t="str">
        <f t="shared" ref="G60:G71" si="21">IF(AN60="","",AN60*1.87)</f>
        <v/>
      </c>
      <c r="H60" s="20" t="s">
        <v>3</v>
      </c>
      <c r="I60" s="18"/>
      <c r="J60" s="28" t="str">
        <f t="shared" ref="J60:J71" si="22">+E60</f>
        <v/>
      </c>
      <c r="K60" s="24"/>
      <c r="L60" s="37"/>
      <c r="M60" s="37"/>
      <c r="N60" s="37"/>
      <c r="O60" s="37"/>
      <c r="P60" s="40"/>
      <c r="Q60" s="39"/>
      <c r="R60" s="37"/>
      <c r="S60" s="37"/>
      <c r="T60" s="37"/>
      <c r="U60" s="37"/>
      <c r="V60" s="37"/>
      <c r="W60" s="37"/>
      <c r="X60" s="37"/>
      <c r="Y60" s="37"/>
      <c r="Z60" s="40"/>
      <c r="AA60" s="41"/>
      <c r="AB60" s="37"/>
      <c r="AC60" s="37"/>
      <c r="AD60" s="37"/>
      <c r="AE60" s="37"/>
      <c r="AF60" s="37"/>
      <c r="AG60" s="37"/>
      <c r="AH60" s="36"/>
      <c r="AI60" s="36"/>
      <c r="AJ60" s="36"/>
      <c r="AK60" s="42"/>
      <c r="AL60" s="42"/>
      <c r="AM60" s="73">
        <f t="shared" si="12"/>
        <v>0</v>
      </c>
      <c r="AN60" s="71" t="str">
        <f>+IF($I60&gt;0,VLOOKUP($I60,'Lista de Precios'!$A$3:$H$2883,4,0),"")</f>
        <v/>
      </c>
      <c r="AO60" s="68" t="str">
        <f t="shared" ref="AO60:AO71" si="23">+IF(AM60&gt;0,AN60*AM60,"")</f>
        <v/>
      </c>
      <c r="AP60" s="7" t="str">
        <f>IF($I60&gt;0,VLOOKUP($I60,'Lista de Precios'!$A$3:$K$2883,10,0),"")</f>
        <v/>
      </c>
      <c r="AQ60" s="7" t="str">
        <f>IF($I60&gt;0,VLOOKUP($I60,'Lista de Precios'!$A$3:$M$49893,13,0),"")</f>
        <v/>
      </c>
      <c r="HQ60" s="134"/>
      <c r="HR60" s="134"/>
      <c r="HS60" s="134"/>
      <c r="HT60" s="134"/>
      <c r="HU60" s="134"/>
      <c r="HV60" s="134"/>
      <c r="HW60" s="134"/>
      <c r="HX60" s="134"/>
      <c r="HY60" s="134"/>
      <c r="HZ60" s="134"/>
      <c r="IA60" s="134"/>
      <c r="IB60" s="134"/>
      <c r="ID60" s="134"/>
      <c r="IE60" s="134"/>
      <c r="IF60" s="134"/>
      <c r="IG60" s="134"/>
      <c r="IH60" s="134"/>
      <c r="II60" s="134"/>
      <c r="IJ60" s="134"/>
      <c r="IK60" s="134"/>
      <c r="IL60" s="134"/>
      <c r="IM60" s="135"/>
      <c r="IN60" s="135"/>
      <c r="IO60" s="135"/>
      <c r="XEO60" s="7" t="str">
        <f t="shared" si="13"/>
        <v/>
      </c>
      <c r="XEP60" s="7" t="str">
        <f t="shared" si="14"/>
        <v/>
      </c>
      <c r="XEQ60" s="7" t="str">
        <f t="shared" si="15"/>
        <v/>
      </c>
      <c r="XER60" s="7" t="str">
        <f t="shared" si="16"/>
        <v/>
      </c>
    </row>
    <row r="61" spans="1:249 16369:16372" ht="23.25" customHeight="1" x14ac:dyDescent="0.25">
      <c r="A61" s="74">
        <f>IF($I61&gt;0,VLOOKUP(I61,'Lista de Precios'!$A$3:$L$2883,9,0),0)</f>
        <v>0</v>
      </c>
      <c r="B61" s="74">
        <f>IF($I61&gt;0,VLOOKUP(I61,'Lista de Precios'!$A$3:$H$2883,7,0),0)</f>
        <v>0</v>
      </c>
      <c r="C61" s="7" t="str">
        <f>IF($I61&gt;0,VLOOKUP(I61,'Lista de Precios'!$A$3:$H$2883,2,0),"")</f>
        <v/>
      </c>
      <c r="D61" s="7" t="str">
        <f>IF($I61&gt;0,VLOOKUP(I61,'Lista de Precios'!$A$3:$H$2883,3,0),"")</f>
        <v/>
      </c>
      <c r="E61" s="76" t="str">
        <f>IF($I61&gt;0,VLOOKUP(I61,'Lista de Precios'!$A$3:$H$2883,6,0),"")</f>
        <v/>
      </c>
      <c r="F61" s="76" t="str">
        <f>IF($I61&gt;0,VLOOKUP(I61,'Lista de Precios'!$A$3:$H$2883,8,0),"")</f>
        <v/>
      </c>
      <c r="G61" s="101" t="str">
        <f t="shared" si="21"/>
        <v/>
      </c>
      <c r="H61" s="20" t="s">
        <v>3</v>
      </c>
      <c r="I61" s="18"/>
      <c r="J61" s="28" t="str">
        <f t="shared" si="22"/>
        <v/>
      </c>
      <c r="K61" s="24"/>
      <c r="L61" s="37"/>
      <c r="M61" s="37"/>
      <c r="N61" s="37"/>
      <c r="O61" s="37"/>
      <c r="P61" s="40"/>
      <c r="Q61" s="39"/>
      <c r="R61" s="37"/>
      <c r="S61" s="37"/>
      <c r="T61" s="37"/>
      <c r="U61" s="37"/>
      <c r="V61" s="37"/>
      <c r="W61" s="37"/>
      <c r="X61" s="37"/>
      <c r="Y61" s="37"/>
      <c r="Z61" s="40"/>
      <c r="AA61" s="41"/>
      <c r="AB61" s="37"/>
      <c r="AC61" s="37"/>
      <c r="AD61" s="37"/>
      <c r="AE61" s="36"/>
      <c r="AF61" s="37"/>
      <c r="AG61" s="37"/>
      <c r="AH61" s="36"/>
      <c r="AI61" s="36"/>
      <c r="AJ61" s="42"/>
      <c r="AK61" s="42"/>
      <c r="AL61" s="43"/>
      <c r="AM61" s="73">
        <f t="shared" si="12"/>
        <v>0</v>
      </c>
      <c r="AN61" s="71" t="str">
        <f>+IF($I61&gt;0,VLOOKUP($I61,'Lista de Precios'!$A$3:$H$2883,4,0),"")</f>
        <v/>
      </c>
      <c r="AO61" s="68" t="str">
        <f t="shared" si="23"/>
        <v/>
      </c>
      <c r="AP61" s="7" t="str">
        <f>IF($I61&gt;0,VLOOKUP($I61,'Lista de Precios'!$A$3:$K$2883,10,0),"")</f>
        <v/>
      </c>
      <c r="AQ61" s="7" t="str">
        <f>IF($I61&gt;0,VLOOKUP($I61,'Lista de Precios'!$A$3:$M$49893,13,0),"")</f>
        <v/>
      </c>
      <c r="HQ61" s="134"/>
      <c r="HR61" s="134"/>
      <c r="HS61" s="134"/>
      <c r="HT61" s="134"/>
      <c r="HU61" s="134"/>
      <c r="HV61" s="134"/>
      <c r="HW61" s="134"/>
      <c r="HX61" s="134"/>
      <c r="HY61" s="134"/>
      <c r="HZ61" s="134"/>
      <c r="IA61" s="134"/>
      <c r="IB61" s="134"/>
      <c r="ID61" s="134"/>
      <c r="IE61" s="134"/>
      <c r="IF61" s="134"/>
      <c r="IG61" s="134"/>
      <c r="IH61" s="134"/>
      <c r="II61" s="134"/>
      <c r="IJ61" s="134"/>
      <c r="IK61" s="134"/>
      <c r="IL61" s="134"/>
      <c r="IM61" s="135"/>
      <c r="IN61" s="135"/>
      <c r="IO61" s="135"/>
      <c r="XEO61" s="7" t="str">
        <f t="shared" si="13"/>
        <v/>
      </c>
      <c r="XEP61" s="7" t="str">
        <f t="shared" si="14"/>
        <v/>
      </c>
      <c r="XEQ61" s="7" t="str">
        <f t="shared" si="15"/>
        <v/>
      </c>
      <c r="XER61" s="7" t="str">
        <f t="shared" si="16"/>
        <v/>
      </c>
    </row>
    <row r="62" spans="1:249 16369:16372" ht="23.25" customHeight="1" x14ac:dyDescent="0.25">
      <c r="A62" s="74">
        <f>IF($I62&gt;0,VLOOKUP(I62,'Lista de Precios'!$A$3:$L$2883,9,0),0)</f>
        <v>0</v>
      </c>
      <c r="B62" s="74">
        <f>IF($I62&gt;0,VLOOKUP(I62,'Lista de Precios'!$A$3:$H$2883,7,0),0)</f>
        <v>0</v>
      </c>
      <c r="C62" s="7" t="str">
        <f>IF($I62&gt;0,VLOOKUP(I62,'Lista de Precios'!$A$3:$H$2883,2,0),"")</f>
        <v/>
      </c>
      <c r="D62" s="7" t="str">
        <f>IF($I62&gt;0,VLOOKUP(I62,'Lista de Precios'!$A$3:$H$2883,3,0),"")</f>
        <v/>
      </c>
      <c r="E62" s="76" t="str">
        <f>IF($I62&gt;0,VLOOKUP(I62,'Lista de Precios'!$A$3:$H$2883,6,0),"")</f>
        <v/>
      </c>
      <c r="F62" s="76" t="str">
        <f>IF($I62&gt;0,VLOOKUP(I62,'Lista de Precios'!$A$3:$H$2883,8,0),"")</f>
        <v/>
      </c>
      <c r="G62" s="101" t="str">
        <f t="shared" si="21"/>
        <v/>
      </c>
      <c r="H62" s="20" t="s">
        <v>3</v>
      </c>
      <c r="I62" s="18"/>
      <c r="J62" s="28" t="str">
        <f t="shared" si="22"/>
        <v/>
      </c>
      <c r="K62" s="24"/>
      <c r="L62" s="37"/>
      <c r="M62" s="37"/>
      <c r="N62" s="37"/>
      <c r="O62" s="37"/>
      <c r="P62" s="40"/>
      <c r="Q62" s="39"/>
      <c r="R62" s="37"/>
      <c r="S62" s="37"/>
      <c r="T62" s="37"/>
      <c r="U62" s="37"/>
      <c r="V62" s="37"/>
      <c r="W62" s="37"/>
      <c r="X62" s="37"/>
      <c r="Y62" s="37"/>
      <c r="Z62" s="37"/>
      <c r="AA62" s="41"/>
      <c r="AB62" s="37"/>
      <c r="AC62" s="37"/>
      <c r="AD62" s="37"/>
      <c r="AE62" s="36"/>
      <c r="AF62" s="37"/>
      <c r="AG62" s="37"/>
      <c r="AH62" s="36"/>
      <c r="AI62" s="36"/>
      <c r="AJ62" s="42"/>
      <c r="AK62" s="42"/>
      <c r="AL62" s="42"/>
      <c r="AM62" s="73">
        <f t="shared" si="12"/>
        <v>0</v>
      </c>
      <c r="AN62" s="71" t="str">
        <f>+IF($I62&gt;0,VLOOKUP($I62,'Lista de Precios'!$A$3:$H$2883,4,0),"")</f>
        <v/>
      </c>
      <c r="AO62" s="68" t="str">
        <f t="shared" si="23"/>
        <v/>
      </c>
      <c r="AP62" s="7" t="str">
        <f>IF($I62&gt;0,VLOOKUP($I62,'Lista de Precios'!$A$3:$K$2883,10,0),"")</f>
        <v/>
      </c>
      <c r="AQ62" s="7" t="str">
        <f>IF($I62&gt;0,VLOOKUP($I62,'Lista de Precios'!$A$3:$M$49893,13,0),"")</f>
        <v/>
      </c>
      <c r="HQ62" s="134"/>
      <c r="HR62" s="134"/>
      <c r="HS62" s="134"/>
      <c r="HT62" s="134"/>
      <c r="HU62" s="134"/>
      <c r="HV62" s="134"/>
      <c r="HW62" s="134"/>
      <c r="HX62" s="134"/>
      <c r="HY62" s="134"/>
      <c r="HZ62" s="134"/>
      <c r="IA62" s="134"/>
      <c r="IB62" s="134"/>
      <c r="ID62" s="134"/>
      <c r="IE62" s="134"/>
      <c r="IF62" s="134"/>
      <c r="IG62" s="134"/>
      <c r="IH62" s="134"/>
      <c r="II62" s="134"/>
      <c r="IJ62" s="134"/>
      <c r="IK62" s="134"/>
      <c r="IL62" s="134"/>
      <c r="IM62" s="135"/>
      <c r="IN62" s="135"/>
      <c r="IO62" s="135"/>
      <c r="XEO62" s="7" t="str">
        <f t="shared" si="13"/>
        <v/>
      </c>
      <c r="XEP62" s="7" t="str">
        <f t="shared" si="14"/>
        <v/>
      </c>
      <c r="XEQ62" s="7" t="str">
        <f t="shared" si="15"/>
        <v/>
      </c>
      <c r="XER62" s="7" t="str">
        <f t="shared" si="16"/>
        <v/>
      </c>
    </row>
    <row r="63" spans="1:249 16369:16372" ht="23.25" customHeight="1" x14ac:dyDescent="0.25">
      <c r="A63" s="74">
        <f>IF($I63&gt;0,VLOOKUP(I63,'Lista de Precios'!$A$3:$L$2883,9,0),0)</f>
        <v>0</v>
      </c>
      <c r="B63" s="74">
        <f>IF($I63&gt;0,VLOOKUP(I63,'Lista de Precios'!$A$3:$H$2883,7,0),0)</f>
        <v>0</v>
      </c>
      <c r="C63" s="7" t="str">
        <f>IF($I63&gt;0,VLOOKUP(I63,'Lista de Precios'!$A$3:$H$2883,2,0),"")</f>
        <v/>
      </c>
      <c r="D63" s="7" t="str">
        <f>IF($I63&gt;0,VLOOKUP(I63,'Lista de Precios'!$A$3:$H$2883,3,0),"")</f>
        <v/>
      </c>
      <c r="E63" s="76" t="str">
        <f>IF($I63&gt;0,VLOOKUP(I63,'Lista de Precios'!$A$3:$H$2883,6,0),"")</f>
        <v/>
      </c>
      <c r="F63" s="76" t="str">
        <f>IF($I63&gt;0,VLOOKUP(I63,'Lista de Precios'!$A$3:$H$2883,8,0),"")</f>
        <v/>
      </c>
      <c r="G63" s="101" t="str">
        <f t="shared" si="21"/>
        <v/>
      </c>
      <c r="H63" s="20" t="s">
        <v>3</v>
      </c>
      <c r="I63" s="18"/>
      <c r="J63" s="28" t="str">
        <f t="shared" si="22"/>
        <v/>
      </c>
      <c r="K63" s="24"/>
      <c r="L63" s="37"/>
      <c r="M63" s="37"/>
      <c r="N63" s="37"/>
      <c r="O63" s="37"/>
      <c r="P63" s="40"/>
      <c r="Q63" s="39"/>
      <c r="R63" s="37"/>
      <c r="S63" s="37"/>
      <c r="T63" s="37"/>
      <c r="U63" s="37"/>
      <c r="V63" s="37"/>
      <c r="W63" s="37"/>
      <c r="X63" s="37"/>
      <c r="Y63" s="37"/>
      <c r="Z63" s="40"/>
      <c r="AA63" s="41"/>
      <c r="AB63" s="37"/>
      <c r="AC63" s="37"/>
      <c r="AD63" s="37"/>
      <c r="AE63" s="36"/>
      <c r="AF63" s="37"/>
      <c r="AG63" s="37"/>
      <c r="AH63" s="36"/>
      <c r="AI63" s="36"/>
      <c r="AJ63" s="42"/>
      <c r="AK63" s="42"/>
      <c r="AL63" s="42"/>
      <c r="AM63" s="73">
        <f t="shared" si="12"/>
        <v>0</v>
      </c>
      <c r="AN63" s="71" t="str">
        <f>+IF($I63&gt;0,VLOOKUP($I63,'Lista de Precios'!$A$3:$H$2883,4,0),"")</f>
        <v/>
      </c>
      <c r="AO63" s="68" t="str">
        <f t="shared" si="23"/>
        <v/>
      </c>
      <c r="AP63" s="7" t="str">
        <f>IF($I63&gt;0,VLOOKUP($I63,'Lista de Precios'!$A$3:$K$2883,10,0),"")</f>
        <v/>
      </c>
      <c r="AQ63" s="7" t="str">
        <f>IF($I63&gt;0,VLOOKUP($I63,'Lista de Precios'!$A$3:$M$49893,13,0),"")</f>
        <v/>
      </c>
      <c r="HQ63" s="134"/>
      <c r="HR63" s="134"/>
      <c r="HS63" s="134"/>
      <c r="HT63" s="134"/>
      <c r="HU63" s="134"/>
      <c r="HV63" s="134"/>
      <c r="HW63" s="134"/>
      <c r="HX63" s="134"/>
      <c r="HY63" s="134"/>
      <c r="HZ63" s="134"/>
      <c r="IA63" s="134"/>
      <c r="IB63" s="134"/>
      <c r="ID63" s="134"/>
      <c r="IE63" s="134"/>
      <c r="IF63" s="134"/>
      <c r="IG63" s="134"/>
      <c r="IH63" s="134"/>
      <c r="II63" s="134"/>
      <c r="IJ63" s="134"/>
      <c r="IK63" s="134"/>
      <c r="IL63" s="134"/>
      <c r="IM63" s="135"/>
      <c r="IN63" s="135"/>
      <c r="IO63" s="135"/>
      <c r="XEO63" s="7" t="str">
        <f t="shared" si="13"/>
        <v/>
      </c>
      <c r="XEP63" s="7" t="str">
        <f t="shared" si="14"/>
        <v/>
      </c>
      <c r="XEQ63" s="7" t="str">
        <f t="shared" si="15"/>
        <v/>
      </c>
      <c r="XER63" s="7" t="str">
        <f t="shared" si="16"/>
        <v/>
      </c>
    </row>
    <row r="64" spans="1:249 16369:16372" ht="23.25" customHeight="1" x14ac:dyDescent="0.25">
      <c r="A64" s="74">
        <f>IF($I64&gt;0,VLOOKUP(I64,'Lista de Precios'!$A$3:$L$2883,9,0),0)</f>
        <v>0</v>
      </c>
      <c r="B64" s="74">
        <f>IF($I64&gt;0,VLOOKUP(I64,'Lista de Precios'!$A$3:$H$2883,7,0),0)</f>
        <v>0</v>
      </c>
      <c r="C64" s="7" t="str">
        <f>IF($I64&gt;0,VLOOKUP(I64,'Lista de Precios'!$A$3:$H$2883,2,0),"")</f>
        <v/>
      </c>
      <c r="D64" s="7" t="str">
        <f>IF($I64&gt;0,VLOOKUP(I64,'Lista de Precios'!$A$3:$H$2883,3,0),"")</f>
        <v/>
      </c>
      <c r="E64" s="76" t="str">
        <f>IF($I64&gt;0,VLOOKUP(I64,'Lista de Precios'!$A$3:$H$2883,6,0),"")</f>
        <v/>
      </c>
      <c r="F64" s="76" t="str">
        <f>IF($I64&gt;0,VLOOKUP(I64,'Lista de Precios'!$A$3:$H$2883,8,0),"")</f>
        <v/>
      </c>
      <c r="G64" s="101" t="str">
        <f t="shared" si="21"/>
        <v/>
      </c>
      <c r="H64" s="20" t="s">
        <v>3</v>
      </c>
      <c r="I64" s="18"/>
      <c r="J64" s="28" t="str">
        <f t="shared" si="22"/>
        <v/>
      </c>
      <c r="K64" s="24"/>
      <c r="L64" s="37"/>
      <c r="M64" s="37"/>
      <c r="N64" s="37"/>
      <c r="O64" s="37"/>
      <c r="P64" s="40"/>
      <c r="Q64" s="39"/>
      <c r="R64" s="37"/>
      <c r="S64" s="37"/>
      <c r="T64" s="37"/>
      <c r="U64" s="37"/>
      <c r="V64" s="37"/>
      <c r="W64" s="37"/>
      <c r="X64" s="37"/>
      <c r="Y64" s="37"/>
      <c r="Z64" s="40"/>
      <c r="AA64" s="41"/>
      <c r="AB64" s="37"/>
      <c r="AC64" s="37"/>
      <c r="AD64" s="37"/>
      <c r="AE64" s="36"/>
      <c r="AF64" s="37"/>
      <c r="AG64" s="37"/>
      <c r="AH64" s="36"/>
      <c r="AI64" s="36"/>
      <c r="AJ64" s="42"/>
      <c r="AK64" s="42"/>
      <c r="AL64" s="42"/>
      <c r="AM64" s="73">
        <f t="shared" si="12"/>
        <v>0</v>
      </c>
      <c r="AN64" s="71" t="str">
        <f>+IF($I64&gt;0,VLOOKUP($I64,'Lista de Precios'!$A$3:$H$2883,4,0),"")</f>
        <v/>
      </c>
      <c r="AO64" s="68" t="str">
        <f t="shared" si="23"/>
        <v/>
      </c>
      <c r="AP64" s="7" t="str">
        <f>IF($I64&gt;0,VLOOKUP($I64,'Lista de Precios'!$A$3:$K$2883,10,0),"")</f>
        <v/>
      </c>
      <c r="AQ64" s="7" t="str">
        <f>IF($I64&gt;0,VLOOKUP($I64,'Lista de Precios'!$A$3:$M$49893,13,0),"")</f>
        <v/>
      </c>
      <c r="HQ64" s="134"/>
      <c r="HR64" s="134"/>
      <c r="HS64" s="134"/>
      <c r="HT64" s="134"/>
      <c r="HU64" s="134"/>
      <c r="HV64" s="134"/>
      <c r="HW64" s="134"/>
      <c r="HX64" s="134"/>
      <c r="HY64" s="134"/>
      <c r="HZ64" s="134"/>
      <c r="IA64" s="134"/>
      <c r="IB64" s="134"/>
      <c r="ID64" s="134"/>
      <c r="IE64" s="134"/>
      <c r="IF64" s="134"/>
      <c r="IG64" s="134"/>
      <c r="IH64" s="134"/>
      <c r="II64" s="134"/>
      <c r="IJ64" s="134"/>
      <c r="IK64" s="134"/>
      <c r="IL64" s="134"/>
      <c r="IM64" s="135"/>
      <c r="IN64" s="135"/>
      <c r="IO64" s="135"/>
      <c r="XEO64" s="7" t="str">
        <f t="shared" si="13"/>
        <v/>
      </c>
      <c r="XEP64" s="7" t="str">
        <f t="shared" si="14"/>
        <v/>
      </c>
      <c r="XEQ64" s="7" t="str">
        <f t="shared" si="15"/>
        <v/>
      </c>
      <c r="XER64" s="7" t="str">
        <f t="shared" si="16"/>
        <v/>
      </c>
    </row>
    <row r="65" spans="1:249 16369:16372" ht="23.25" customHeight="1" x14ac:dyDescent="0.25">
      <c r="A65" s="74">
        <f>IF($I65&gt;0,VLOOKUP(I65,'Lista de Precios'!$A$3:$L$2883,9,0),0)</f>
        <v>0</v>
      </c>
      <c r="B65" s="74">
        <f>IF($I65&gt;0,VLOOKUP(I65,'Lista de Precios'!$A$3:$H$2883,7,0),0)</f>
        <v>0</v>
      </c>
      <c r="C65" s="7" t="str">
        <f>IF($I65&gt;0,VLOOKUP(I65,'Lista de Precios'!$A$3:$H$2883,2,0),"")</f>
        <v/>
      </c>
      <c r="D65" s="7" t="str">
        <f>IF($I65&gt;0,VLOOKUP(I65,'Lista de Precios'!$A$3:$H$2883,3,0),"")</f>
        <v/>
      </c>
      <c r="E65" s="76" t="str">
        <f>IF($I65&gt;0,VLOOKUP(I65,'Lista de Precios'!$A$3:$H$2883,6,0),"")</f>
        <v/>
      </c>
      <c r="F65" s="76" t="str">
        <f>IF($I65&gt;0,VLOOKUP(I65,'Lista de Precios'!$A$3:$H$2883,8,0),"")</f>
        <v/>
      </c>
      <c r="G65" s="101" t="str">
        <f t="shared" si="21"/>
        <v/>
      </c>
      <c r="H65" s="20" t="s">
        <v>3</v>
      </c>
      <c r="I65" s="18"/>
      <c r="J65" s="28" t="str">
        <f t="shared" si="22"/>
        <v/>
      </c>
      <c r="K65" s="24"/>
      <c r="L65" s="37"/>
      <c r="M65" s="37"/>
      <c r="N65" s="37"/>
      <c r="O65" s="37"/>
      <c r="P65" s="40"/>
      <c r="Q65" s="39"/>
      <c r="R65" s="37"/>
      <c r="S65" s="37"/>
      <c r="T65" s="37"/>
      <c r="U65" s="37"/>
      <c r="V65" s="37"/>
      <c r="W65" s="37"/>
      <c r="X65" s="37"/>
      <c r="Y65" s="37"/>
      <c r="Z65" s="40"/>
      <c r="AA65" s="41"/>
      <c r="AB65" s="37"/>
      <c r="AC65" s="37"/>
      <c r="AD65" s="37"/>
      <c r="AE65" s="37"/>
      <c r="AF65" s="37"/>
      <c r="AG65" s="57"/>
      <c r="AH65" s="54"/>
      <c r="AI65" s="54"/>
      <c r="AJ65" s="54"/>
      <c r="AK65" s="54"/>
      <c r="AL65" s="54"/>
      <c r="AM65" s="73">
        <f t="shared" si="12"/>
        <v>0</v>
      </c>
      <c r="AN65" s="71" t="str">
        <f>+IF($I65&gt;0,VLOOKUP($I65,'Lista de Precios'!$A$3:$H$2883,4,0),"")</f>
        <v/>
      </c>
      <c r="AO65" s="68" t="str">
        <f t="shared" si="23"/>
        <v/>
      </c>
      <c r="AP65" s="7" t="str">
        <f>IF($I65&gt;0,VLOOKUP($I65,'Lista de Precios'!$A$3:$K$2883,10,0),"")</f>
        <v/>
      </c>
      <c r="AQ65" s="7" t="str">
        <f>IF($I65&gt;0,VLOOKUP($I65,'Lista de Precios'!$A$3:$M$49893,13,0),"")</f>
        <v/>
      </c>
      <c r="HQ65" s="134"/>
      <c r="HR65" s="134"/>
      <c r="HS65" s="134"/>
      <c r="HT65" s="134"/>
      <c r="HU65" s="134"/>
      <c r="HV65" s="134"/>
      <c r="HW65" s="134"/>
      <c r="HX65" s="134"/>
      <c r="HY65" s="134"/>
      <c r="HZ65" s="134"/>
      <c r="IA65" s="134"/>
      <c r="IB65" s="134"/>
      <c r="ID65" s="134"/>
      <c r="IE65" s="134"/>
      <c r="IF65" s="134"/>
      <c r="IG65" s="134"/>
      <c r="IH65" s="134"/>
      <c r="II65" s="134"/>
      <c r="IJ65" s="134"/>
      <c r="IK65" s="134"/>
      <c r="IL65" s="134"/>
      <c r="IM65" s="135"/>
      <c r="IN65" s="135"/>
      <c r="IO65" s="135"/>
      <c r="XEO65" s="7" t="str">
        <f t="shared" si="13"/>
        <v/>
      </c>
      <c r="XEP65" s="7" t="str">
        <f t="shared" si="14"/>
        <v/>
      </c>
      <c r="XEQ65" s="7" t="str">
        <f t="shared" si="15"/>
        <v/>
      </c>
      <c r="XER65" s="7" t="str">
        <f t="shared" si="16"/>
        <v/>
      </c>
    </row>
    <row r="66" spans="1:249 16369:16372" ht="23.25" customHeight="1" x14ac:dyDescent="0.25">
      <c r="A66" s="74">
        <f>IF($I66&gt;0,VLOOKUP(I66,'Lista de Precios'!$A$3:$L$2883,9,0),0)</f>
        <v>0</v>
      </c>
      <c r="B66" s="74">
        <f>IF($I66&gt;0,VLOOKUP(I66,'Lista de Precios'!$A$3:$H$2883,7,0),0)</f>
        <v>0</v>
      </c>
      <c r="C66" s="7" t="str">
        <f>IF($I66&gt;0,VLOOKUP(I66,'Lista de Precios'!$A$3:$H$2883,2,0),"")</f>
        <v/>
      </c>
      <c r="D66" s="7" t="str">
        <f>IF($I66&gt;0,VLOOKUP(I66,'Lista de Precios'!$A$3:$H$2883,3,0),"")</f>
        <v/>
      </c>
      <c r="E66" s="76" t="str">
        <f>IF($I66&gt;0,VLOOKUP(I66,'Lista de Precios'!$A$3:$H$2883,6,0),"")</f>
        <v/>
      </c>
      <c r="F66" s="76" t="str">
        <f>IF($I66&gt;0,VLOOKUP(I66,'Lista de Precios'!$A$3:$H$2883,8,0),"")</f>
        <v/>
      </c>
      <c r="G66" s="101" t="str">
        <f t="shared" si="21"/>
        <v/>
      </c>
      <c r="H66" s="20" t="s">
        <v>3</v>
      </c>
      <c r="I66" s="18"/>
      <c r="J66" s="28" t="str">
        <f t="shared" si="22"/>
        <v/>
      </c>
      <c r="K66" s="24"/>
      <c r="L66" s="37"/>
      <c r="M66" s="37"/>
      <c r="N66" s="37"/>
      <c r="O66" s="37"/>
      <c r="P66" s="40"/>
      <c r="Q66" s="39"/>
      <c r="R66" s="37"/>
      <c r="S66" s="37"/>
      <c r="T66" s="37"/>
      <c r="U66" s="37"/>
      <c r="V66" s="37"/>
      <c r="W66" s="37"/>
      <c r="X66" s="37"/>
      <c r="Y66" s="37"/>
      <c r="Z66" s="40"/>
      <c r="AA66" s="41"/>
      <c r="AB66" s="37"/>
      <c r="AC66" s="37"/>
      <c r="AD66" s="37"/>
      <c r="AE66" s="37"/>
      <c r="AF66" s="37"/>
      <c r="AG66" s="57"/>
      <c r="AH66" s="54"/>
      <c r="AI66" s="54"/>
      <c r="AJ66" s="42"/>
      <c r="AK66" s="42"/>
      <c r="AL66" s="42"/>
      <c r="AM66" s="73">
        <f t="shared" si="12"/>
        <v>0</v>
      </c>
      <c r="AN66" s="71" t="str">
        <f>+IF($I66&gt;0,VLOOKUP($I66,'Lista de Precios'!$A$3:$H$2883,4,0),"")</f>
        <v/>
      </c>
      <c r="AO66" s="68" t="str">
        <f t="shared" si="23"/>
        <v/>
      </c>
      <c r="AP66" s="7" t="str">
        <f>IF($I66&gt;0,VLOOKUP($I66,'Lista de Precios'!$A$3:$K$2883,10,0),"")</f>
        <v/>
      </c>
      <c r="AQ66" s="7" t="str">
        <f>IF($I66&gt;0,VLOOKUP($I66,'Lista de Precios'!$A$3:$M$49893,13,0),"")</f>
        <v/>
      </c>
      <c r="HQ66" s="134"/>
      <c r="HR66" s="134"/>
      <c r="HS66" s="134"/>
      <c r="HT66" s="134"/>
      <c r="HU66" s="134"/>
      <c r="HV66" s="134"/>
      <c r="HW66" s="134"/>
      <c r="HX66" s="134"/>
      <c r="HY66" s="134"/>
      <c r="HZ66" s="134"/>
      <c r="IA66" s="134"/>
      <c r="IB66" s="134"/>
      <c r="ID66" s="134"/>
      <c r="IE66" s="134"/>
      <c r="IF66" s="134"/>
      <c r="IG66" s="134"/>
      <c r="IH66" s="134"/>
      <c r="II66" s="134"/>
      <c r="IJ66" s="134"/>
      <c r="IK66" s="134"/>
      <c r="IL66" s="134"/>
      <c r="IM66" s="135"/>
      <c r="IN66" s="135"/>
      <c r="IO66" s="135"/>
      <c r="XEO66" s="7" t="str">
        <f t="shared" si="13"/>
        <v/>
      </c>
      <c r="XEP66" s="7" t="str">
        <f t="shared" si="14"/>
        <v/>
      </c>
      <c r="XEQ66" s="7" t="str">
        <f t="shared" si="15"/>
        <v/>
      </c>
      <c r="XER66" s="7" t="str">
        <f t="shared" si="16"/>
        <v/>
      </c>
    </row>
    <row r="67" spans="1:249 16369:16372" ht="23.25" customHeight="1" x14ac:dyDescent="0.25">
      <c r="A67" s="74">
        <f>IF($I67&gt;0,VLOOKUP(I67,'Lista de Precios'!$A$3:$L$2883,9,0),0)</f>
        <v>0</v>
      </c>
      <c r="B67" s="74">
        <f>IF($I67&gt;0,VLOOKUP(I67,'Lista de Precios'!$A$3:$H$2883,7,0),0)</f>
        <v>0</v>
      </c>
      <c r="C67" s="7" t="str">
        <f>IF($I67&gt;0,VLOOKUP(I67,'Lista de Precios'!$A$3:$H$2883,2,0),"")</f>
        <v/>
      </c>
      <c r="D67" s="7" t="str">
        <f>IF($I67&gt;0,VLOOKUP(I67,'Lista de Precios'!$A$3:$H$2883,3,0),"")</f>
        <v/>
      </c>
      <c r="E67" s="76" t="str">
        <f>IF($I67&gt;0,VLOOKUP(I67,'Lista de Precios'!$A$3:$H$2883,6,0),"")</f>
        <v/>
      </c>
      <c r="F67" s="76" t="str">
        <f>IF($I67&gt;0,VLOOKUP(I67,'Lista de Precios'!$A$3:$H$2883,8,0),"")</f>
        <v/>
      </c>
      <c r="G67" s="101" t="str">
        <f t="shared" si="21"/>
        <v/>
      </c>
      <c r="H67" s="20" t="s">
        <v>3</v>
      </c>
      <c r="I67" s="18"/>
      <c r="J67" s="28" t="str">
        <f t="shared" si="22"/>
        <v/>
      </c>
      <c r="K67" s="24"/>
      <c r="L67" s="37"/>
      <c r="M67" s="37"/>
      <c r="N67" s="37"/>
      <c r="O67" s="37"/>
      <c r="P67" s="40"/>
      <c r="Q67" s="39"/>
      <c r="R67" s="37"/>
      <c r="S67" s="37"/>
      <c r="T67" s="37"/>
      <c r="U67" s="37"/>
      <c r="V67" s="37"/>
      <c r="W67" s="37"/>
      <c r="X67" s="37"/>
      <c r="Y67" s="37"/>
      <c r="Z67" s="40"/>
      <c r="AA67" s="41"/>
      <c r="AB67" s="37"/>
      <c r="AC67" s="37"/>
      <c r="AD67" s="37"/>
      <c r="AE67" s="37"/>
      <c r="AF67" s="37"/>
      <c r="AG67" s="37"/>
      <c r="AH67" s="42"/>
      <c r="AI67" s="42"/>
      <c r="AJ67" s="43"/>
      <c r="AK67" s="43"/>
      <c r="AL67" s="43"/>
      <c r="AM67" s="73">
        <f t="shared" si="12"/>
        <v>0</v>
      </c>
      <c r="AN67" s="71" t="str">
        <f>+IF($I67&gt;0,VLOOKUP($I67,'Lista de Precios'!$A$3:$H$2883,4,0),"")</f>
        <v/>
      </c>
      <c r="AO67" s="68" t="str">
        <f t="shared" si="23"/>
        <v/>
      </c>
      <c r="AP67" s="7" t="str">
        <f>IF($I67&gt;0,VLOOKUP($I67,'Lista de Precios'!$A$3:$K$2883,10,0),"")</f>
        <v/>
      </c>
      <c r="AQ67" s="7" t="str">
        <f>IF($I67&gt;0,VLOOKUP($I67,'Lista de Precios'!$A$3:$M$49893,13,0),"")</f>
        <v/>
      </c>
      <c r="HQ67" s="134"/>
      <c r="HR67" s="134"/>
      <c r="HS67" s="134"/>
      <c r="HT67" s="134"/>
      <c r="HU67" s="134"/>
      <c r="HV67" s="134"/>
      <c r="HW67" s="134"/>
      <c r="HX67" s="134"/>
      <c r="HY67" s="134"/>
      <c r="HZ67" s="134"/>
      <c r="IA67" s="134"/>
      <c r="IB67" s="134"/>
      <c r="ID67" s="134"/>
      <c r="IE67" s="134"/>
      <c r="IF67" s="134"/>
      <c r="IG67" s="134"/>
      <c r="IH67" s="134"/>
      <c r="II67" s="134"/>
      <c r="IJ67" s="134"/>
      <c r="IK67" s="134"/>
      <c r="IL67" s="134"/>
      <c r="IM67" s="135"/>
      <c r="IN67" s="135"/>
      <c r="IO67" s="135"/>
      <c r="XEO67" s="7" t="str">
        <f t="shared" si="13"/>
        <v/>
      </c>
      <c r="XEP67" s="7" t="str">
        <f t="shared" si="14"/>
        <v/>
      </c>
      <c r="XEQ67" s="7" t="str">
        <f t="shared" si="15"/>
        <v/>
      </c>
      <c r="XER67" s="7" t="str">
        <f t="shared" si="16"/>
        <v/>
      </c>
    </row>
    <row r="68" spans="1:249 16369:16372" ht="23.25" customHeight="1" x14ac:dyDescent="0.25">
      <c r="A68" s="74">
        <f>IF($I68&gt;0,VLOOKUP(I68,'Lista de Precios'!$A$3:$L$2883,9,0),0)</f>
        <v>0</v>
      </c>
      <c r="B68" s="74">
        <f>IF($I68&gt;0,VLOOKUP(I68,'Lista de Precios'!$A$3:$H$2883,7,0),0)</f>
        <v>0</v>
      </c>
      <c r="C68" s="7" t="str">
        <f>IF($I68&gt;0,VLOOKUP(I68,'Lista de Precios'!$A$3:$H$2883,2,0),"")</f>
        <v/>
      </c>
      <c r="D68" s="7" t="str">
        <f>IF($I68&gt;0,VLOOKUP(I68,'Lista de Precios'!$A$3:$H$2883,3,0),"")</f>
        <v/>
      </c>
      <c r="E68" s="76" t="str">
        <f>IF($I68&gt;0,VLOOKUP(I68,'Lista de Precios'!$A$3:$H$2883,6,0),"")</f>
        <v/>
      </c>
      <c r="F68" s="76" t="str">
        <f>IF($I68&gt;0,VLOOKUP(I68,'Lista de Precios'!$A$3:$H$2883,8,0),"")</f>
        <v/>
      </c>
      <c r="G68" s="101" t="str">
        <f t="shared" si="21"/>
        <v/>
      </c>
      <c r="H68" s="20" t="s">
        <v>3</v>
      </c>
      <c r="I68" s="18"/>
      <c r="J68" s="28" t="str">
        <f t="shared" si="22"/>
        <v/>
      </c>
      <c r="K68" s="24"/>
      <c r="L68" s="36"/>
      <c r="M68" s="36"/>
      <c r="N68" s="36"/>
      <c r="O68" s="37"/>
      <c r="P68" s="38"/>
      <c r="Q68" s="39"/>
      <c r="R68" s="37"/>
      <c r="S68" s="37"/>
      <c r="T68" s="37"/>
      <c r="U68" s="37"/>
      <c r="V68" s="37"/>
      <c r="W68" s="37"/>
      <c r="X68" s="37"/>
      <c r="Y68" s="37"/>
      <c r="Z68" s="40"/>
      <c r="AA68" s="41"/>
      <c r="AB68" s="37"/>
      <c r="AC68" s="37"/>
      <c r="AD68" s="37"/>
      <c r="AE68" s="37"/>
      <c r="AF68" s="37"/>
      <c r="AG68" s="37"/>
      <c r="AH68" s="42"/>
      <c r="AI68" s="42"/>
      <c r="AJ68" s="43"/>
      <c r="AK68" s="43"/>
      <c r="AL68" s="43"/>
      <c r="AM68" s="73">
        <f t="shared" si="12"/>
        <v>0</v>
      </c>
      <c r="AN68" s="71" t="str">
        <f>+IF($I68&gt;0,VLOOKUP($I68,'Lista de Precios'!$A$3:$H$2883,4,0),"")</f>
        <v/>
      </c>
      <c r="AO68" s="68" t="str">
        <f t="shared" si="23"/>
        <v/>
      </c>
      <c r="AP68" s="7" t="str">
        <f>IF($I68&gt;0,VLOOKUP($I68,'Lista de Precios'!$A$3:$K$2883,10,0),"")</f>
        <v/>
      </c>
      <c r="AQ68" s="7" t="str">
        <f>IF($I68&gt;0,VLOOKUP($I68,'Lista de Precios'!$A$3:$M$49893,13,0),"")</f>
        <v/>
      </c>
      <c r="HQ68" s="134"/>
      <c r="HR68" s="134"/>
      <c r="HS68" s="134"/>
      <c r="HT68" s="134"/>
      <c r="HU68" s="134"/>
      <c r="HV68" s="134"/>
      <c r="HW68" s="134"/>
      <c r="HX68" s="134"/>
      <c r="HY68" s="134"/>
      <c r="HZ68" s="134"/>
      <c r="IA68" s="134"/>
      <c r="IB68" s="134"/>
      <c r="ID68" s="134"/>
      <c r="IE68" s="134"/>
      <c r="IF68" s="134"/>
      <c r="IG68" s="134"/>
      <c r="IH68" s="134"/>
      <c r="II68" s="134"/>
      <c r="IJ68" s="134"/>
      <c r="IK68" s="134"/>
      <c r="IL68" s="134"/>
      <c r="IM68" s="135"/>
      <c r="IN68" s="135"/>
      <c r="IO68" s="135"/>
      <c r="XEO68" s="7" t="str">
        <f t="shared" si="13"/>
        <v/>
      </c>
      <c r="XEP68" s="7" t="str">
        <f t="shared" si="14"/>
        <v/>
      </c>
      <c r="XEQ68" s="7" t="str">
        <f t="shared" si="15"/>
        <v/>
      </c>
      <c r="XER68" s="7" t="str">
        <f t="shared" si="16"/>
        <v/>
      </c>
    </row>
    <row r="69" spans="1:249 16369:16372" ht="23.25" customHeight="1" x14ac:dyDescent="0.25">
      <c r="A69" s="74">
        <f>IF($I69&gt;0,VLOOKUP(I69,'Lista de Precios'!$A$3:$L$2883,9,0),0)</f>
        <v>0</v>
      </c>
      <c r="B69" s="74">
        <f>IF($I69&gt;0,VLOOKUP(I69,'Lista de Precios'!$A$3:$H$2883,7,0),0)</f>
        <v>0</v>
      </c>
      <c r="C69" s="7" t="str">
        <f>IF($I69&gt;0,VLOOKUP(I69,'Lista de Precios'!$A$3:$H$2883,2,0),"")</f>
        <v/>
      </c>
      <c r="D69" s="7" t="str">
        <f>IF($I69&gt;0,VLOOKUP(I69,'Lista de Precios'!$A$3:$H$2883,3,0),"")</f>
        <v/>
      </c>
      <c r="E69" s="76" t="str">
        <f>IF($I69&gt;0,VLOOKUP(I69,'Lista de Precios'!$A$3:$H$2883,6,0),"")</f>
        <v/>
      </c>
      <c r="F69" s="76" t="str">
        <f>IF($I69&gt;0,VLOOKUP(I69,'Lista de Precios'!$A$3:$H$2883,8,0),"")</f>
        <v/>
      </c>
      <c r="G69" s="101" t="str">
        <f t="shared" si="21"/>
        <v/>
      </c>
      <c r="H69" s="20" t="s">
        <v>3</v>
      </c>
      <c r="I69" s="18"/>
      <c r="J69" s="28" t="str">
        <f t="shared" si="22"/>
        <v/>
      </c>
      <c r="K69" s="24"/>
      <c r="L69" s="37"/>
      <c r="M69" s="37"/>
      <c r="N69" s="37"/>
      <c r="O69" s="37"/>
      <c r="P69" s="40"/>
      <c r="Q69" s="39"/>
      <c r="R69" s="37"/>
      <c r="S69" s="37"/>
      <c r="T69" s="37"/>
      <c r="U69" s="37"/>
      <c r="V69" s="37"/>
      <c r="W69" s="37"/>
      <c r="X69" s="37"/>
      <c r="Y69" s="37"/>
      <c r="Z69" s="40"/>
      <c r="AA69" s="41"/>
      <c r="AB69" s="37"/>
      <c r="AC69" s="43"/>
      <c r="AD69" s="43"/>
      <c r="AE69" s="43"/>
      <c r="AF69" s="43"/>
      <c r="AG69" s="43"/>
      <c r="AH69" s="42"/>
      <c r="AI69" s="42"/>
      <c r="AJ69" s="42"/>
      <c r="AK69" s="42"/>
      <c r="AL69" s="43"/>
      <c r="AM69" s="73">
        <f t="shared" si="12"/>
        <v>0</v>
      </c>
      <c r="AN69" s="71" t="str">
        <f>+IF($I69&gt;0,VLOOKUP($I69,'Lista de Precios'!$A$3:$H$2883,4,0),"")</f>
        <v/>
      </c>
      <c r="AO69" s="68" t="str">
        <f t="shared" si="23"/>
        <v/>
      </c>
      <c r="AP69" s="7" t="str">
        <f>IF($I69&gt;0,VLOOKUP($I69,'Lista de Precios'!$A$3:$K$2883,10,0),"")</f>
        <v/>
      </c>
      <c r="AQ69" s="7" t="str">
        <f>IF($I69&gt;0,VLOOKUP($I69,'Lista de Precios'!$A$3:$M$49893,13,0),"")</f>
        <v/>
      </c>
      <c r="HQ69" s="134"/>
      <c r="HR69" s="134"/>
      <c r="HS69" s="134"/>
      <c r="HT69" s="134"/>
      <c r="HU69" s="134"/>
      <c r="HV69" s="134"/>
      <c r="HW69" s="134"/>
      <c r="HX69" s="134"/>
      <c r="HY69" s="134"/>
      <c r="HZ69" s="134"/>
      <c r="IA69" s="134"/>
      <c r="IB69" s="134"/>
      <c r="ID69" s="134"/>
      <c r="IE69" s="134"/>
      <c r="IF69" s="134"/>
      <c r="IG69" s="134"/>
      <c r="IH69" s="134"/>
      <c r="II69" s="134"/>
      <c r="IJ69" s="134"/>
      <c r="IK69" s="134"/>
      <c r="IL69" s="134"/>
      <c r="IM69" s="135"/>
      <c r="IN69" s="135"/>
      <c r="IO69" s="135"/>
      <c r="XEO69" s="7" t="str">
        <f t="shared" si="13"/>
        <v/>
      </c>
      <c r="XEP69" s="7" t="str">
        <f t="shared" si="14"/>
        <v/>
      </c>
      <c r="XEQ69" s="7" t="str">
        <f t="shared" si="15"/>
        <v/>
      </c>
      <c r="XER69" s="7" t="str">
        <f t="shared" si="16"/>
        <v/>
      </c>
    </row>
    <row r="70" spans="1:249 16369:16372" ht="23.25" customHeight="1" x14ac:dyDescent="0.25">
      <c r="A70" s="74">
        <f>IF($I70&gt;0,VLOOKUP(I70,'Lista de Precios'!$A$3:$L$2883,9,0),0)</f>
        <v>0</v>
      </c>
      <c r="B70" s="74">
        <f>IF($I70&gt;0,VLOOKUP(I70,'Lista de Precios'!$A$3:$H$2883,7,0),0)</f>
        <v>0</v>
      </c>
      <c r="C70" s="7" t="str">
        <f>IF($I70&gt;0,VLOOKUP(I70,'Lista de Precios'!$A$3:$H$2883,2,0),"")</f>
        <v/>
      </c>
      <c r="D70" s="7" t="str">
        <f>IF($I70&gt;0,VLOOKUP(I70,'Lista de Precios'!$A$3:$H$2883,3,0),"")</f>
        <v/>
      </c>
      <c r="E70" s="76" t="str">
        <f>IF($I70&gt;0,VLOOKUP(I70,'Lista de Precios'!$A$3:$H$2883,6,0),"")</f>
        <v/>
      </c>
      <c r="F70" s="76" t="str">
        <f>IF($I70&gt;0,VLOOKUP(I70,'Lista de Precios'!$A$3:$H$2883,8,0),"")</f>
        <v/>
      </c>
      <c r="G70" s="101" t="str">
        <f t="shared" si="21"/>
        <v/>
      </c>
      <c r="H70" s="20" t="s">
        <v>3</v>
      </c>
      <c r="I70" s="18"/>
      <c r="J70" s="28" t="str">
        <f t="shared" si="22"/>
        <v/>
      </c>
      <c r="K70" s="24"/>
      <c r="L70" s="36"/>
      <c r="M70" s="36"/>
      <c r="N70" s="36"/>
      <c r="O70" s="37"/>
      <c r="P70" s="38"/>
      <c r="Q70" s="45"/>
      <c r="R70" s="43"/>
      <c r="S70" s="43"/>
      <c r="T70" s="43"/>
      <c r="U70" s="43"/>
      <c r="V70" s="43"/>
      <c r="W70" s="43"/>
      <c r="X70" s="43"/>
      <c r="Y70" s="37"/>
      <c r="Z70" s="40"/>
      <c r="AA70" s="41"/>
      <c r="AB70" s="37"/>
      <c r="AC70" s="43"/>
      <c r="AD70" s="43"/>
      <c r="AE70" s="43"/>
      <c r="AF70" s="43"/>
      <c r="AG70" s="43"/>
      <c r="AH70" s="42"/>
      <c r="AI70" s="42"/>
      <c r="AJ70" s="42"/>
      <c r="AK70" s="42"/>
      <c r="AL70" s="43"/>
      <c r="AM70" s="73">
        <f t="shared" si="12"/>
        <v>0</v>
      </c>
      <c r="AN70" s="71" t="str">
        <f>+IF($I70&gt;0,VLOOKUP($I70,'Lista de Precios'!$A$3:$H$2883,4,0),"")</f>
        <v/>
      </c>
      <c r="AO70" s="68" t="str">
        <f t="shared" si="23"/>
        <v/>
      </c>
      <c r="AP70" s="7" t="str">
        <f>IF($I70&gt;0,VLOOKUP($I70,'Lista de Precios'!$A$3:$K$2883,10,0),"")</f>
        <v/>
      </c>
      <c r="AQ70" s="7" t="str">
        <f>IF($I70&gt;0,VLOOKUP($I70,'Lista de Precios'!$A$3:$M$49893,13,0),"")</f>
        <v/>
      </c>
      <c r="HQ70" s="134"/>
      <c r="HR70" s="134"/>
      <c r="HS70" s="134"/>
      <c r="HT70" s="134"/>
      <c r="HU70" s="134"/>
      <c r="HV70" s="134"/>
      <c r="HW70" s="134"/>
      <c r="HX70" s="134"/>
      <c r="HY70" s="134"/>
      <c r="HZ70" s="134"/>
      <c r="IA70" s="134"/>
      <c r="IB70" s="134"/>
      <c r="ID70" s="134"/>
      <c r="IE70" s="134"/>
      <c r="IF70" s="134"/>
      <c r="IG70" s="134"/>
      <c r="IH70" s="134"/>
      <c r="II70" s="134"/>
      <c r="IJ70" s="134"/>
      <c r="IK70" s="134"/>
      <c r="IL70" s="134"/>
      <c r="IM70" s="135"/>
      <c r="IN70" s="135"/>
      <c r="IO70" s="135"/>
      <c r="XEO70" s="7" t="str">
        <f t="shared" si="13"/>
        <v/>
      </c>
      <c r="XEP70" s="7" t="str">
        <f t="shared" si="14"/>
        <v/>
      </c>
      <c r="XEQ70" s="7" t="str">
        <f t="shared" si="15"/>
        <v/>
      </c>
      <c r="XER70" s="7" t="str">
        <f t="shared" si="16"/>
        <v/>
      </c>
    </row>
    <row r="71" spans="1:249 16369:16372" ht="23.25" customHeight="1" x14ac:dyDescent="0.25">
      <c r="A71" s="74">
        <f>IF($I71&gt;0,VLOOKUP(I71,'Lista de Precios'!$A$3:$L$2883,9,0),0)</f>
        <v>0</v>
      </c>
      <c r="B71" s="74">
        <f>IF($I71&gt;0,VLOOKUP(I71,'Lista de Precios'!$A$3:$H$2883,7,0),0)</f>
        <v>0</v>
      </c>
      <c r="C71" s="7" t="str">
        <f>IF($I71&gt;0,VLOOKUP(I71,'Lista de Precios'!$A$3:$H$2883,2,0),"")</f>
        <v/>
      </c>
      <c r="D71" s="7" t="str">
        <f>IF($I71&gt;0,VLOOKUP(I71,'Lista de Precios'!$A$3:$H$2883,3,0),"")</f>
        <v/>
      </c>
      <c r="E71" s="76" t="str">
        <f>IF($I71&gt;0,VLOOKUP(I71,'Lista de Precios'!$A$3:$H$2883,6,0),"")</f>
        <v/>
      </c>
      <c r="F71" s="76" t="str">
        <f>IF($I71&gt;0,VLOOKUP(I71,'Lista de Precios'!$A$3:$H$2883,8,0),"")</f>
        <v/>
      </c>
      <c r="G71" s="101" t="str">
        <f t="shared" si="21"/>
        <v/>
      </c>
      <c r="H71" s="20" t="s">
        <v>3</v>
      </c>
      <c r="I71" s="18"/>
      <c r="J71" s="28" t="str">
        <f t="shared" si="22"/>
        <v/>
      </c>
      <c r="K71" s="24"/>
      <c r="L71" s="42"/>
      <c r="M71" s="42"/>
      <c r="N71" s="42"/>
      <c r="O71" s="43"/>
      <c r="P71" s="46"/>
      <c r="Q71" s="45"/>
      <c r="R71" s="43"/>
      <c r="S71" s="43"/>
      <c r="T71" s="43"/>
      <c r="U71" s="43"/>
      <c r="V71" s="43"/>
      <c r="W71" s="43"/>
      <c r="X71" s="43"/>
      <c r="Y71" s="37"/>
      <c r="Z71" s="40"/>
      <c r="AA71" s="41"/>
      <c r="AB71" s="37"/>
      <c r="AC71" s="43"/>
      <c r="AD71" s="43"/>
      <c r="AE71" s="43"/>
      <c r="AF71" s="43"/>
      <c r="AG71" s="43"/>
      <c r="AH71" s="42"/>
      <c r="AI71" s="42"/>
      <c r="AJ71" s="42"/>
      <c r="AK71" s="42"/>
      <c r="AL71" s="43"/>
      <c r="AM71" s="73">
        <f t="shared" si="12"/>
        <v>0</v>
      </c>
      <c r="AN71" s="71" t="str">
        <f>+IF($I71&gt;0,VLOOKUP($I71,'Lista de Precios'!$A$3:$H$2883,4,0),"")</f>
        <v/>
      </c>
      <c r="AO71" s="68" t="str">
        <f t="shared" si="23"/>
        <v/>
      </c>
      <c r="AP71" s="7" t="str">
        <f>IF($I71&gt;0,VLOOKUP($I71,'Lista de Precios'!$A$3:$K$2883,10,0),"")</f>
        <v/>
      </c>
      <c r="AQ71" s="7" t="str">
        <f>IF($I71&gt;0,VLOOKUP($I71,'Lista de Precios'!$A$3:$M$49893,13,0),"")</f>
        <v/>
      </c>
      <c r="HQ71" s="134"/>
      <c r="HR71" s="134"/>
      <c r="HS71" s="134"/>
      <c r="HT71" s="134"/>
      <c r="HU71" s="134"/>
      <c r="HV71" s="134"/>
      <c r="HW71" s="134"/>
      <c r="HX71" s="134"/>
      <c r="HY71" s="134"/>
      <c r="HZ71" s="134"/>
      <c r="IA71" s="134"/>
      <c r="IB71" s="134"/>
      <c r="ID71" s="134"/>
      <c r="IE71" s="134"/>
      <c r="IF71" s="134"/>
      <c r="IG71" s="134"/>
      <c r="IH71" s="134"/>
      <c r="II71" s="134"/>
      <c r="IJ71" s="134"/>
      <c r="IK71" s="134"/>
      <c r="IL71" s="134"/>
      <c r="IM71" s="135"/>
      <c r="IN71" s="135"/>
      <c r="IO71" s="135"/>
      <c r="XEO71" s="7" t="str">
        <f t="shared" si="13"/>
        <v/>
      </c>
      <c r="XEP71" s="7" t="str">
        <f t="shared" si="14"/>
        <v/>
      </c>
      <c r="XEQ71" s="7" t="str">
        <f t="shared" si="15"/>
        <v/>
      </c>
      <c r="XER71" s="7" t="str">
        <f t="shared" si="16"/>
        <v/>
      </c>
    </row>
    <row r="72" spans="1:249 16369:16372" ht="23.25" customHeight="1" x14ac:dyDescent="0.25">
      <c r="A72" s="74">
        <f>IF($I72&gt;0,VLOOKUP(I72,'Lista de Precios'!$A$3:$L$2883,9,0),0)</f>
        <v>0</v>
      </c>
      <c r="B72" s="74">
        <f>IF($I72&gt;0,VLOOKUP(I72,'Lista de Precios'!$A$3:$H$2883,7,0),0)</f>
        <v>0</v>
      </c>
      <c r="C72" s="7" t="str">
        <f>IF($I72&gt;0,VLOOKUP(I72,'Lista de Precios'!$A$3:$H$2883,2,0),"")</f>
        <v/>
      </c>
      <c r="D72" s="7" t="str">
        <f>IF($I72&gt;0,VLOOKUP(I72,'Lista de Precios'!$A$3:$H$2883,3,0),"")</f>
        <v/>
      </c>
      <c r="E72" s="76" t="str">
        <f>IF($I72&gt;0,VLOOKUP(I72,'Lista de Precios'!$A$3:$H$2883,6,0),"")</f>
        <v/>
      </c>
      <c r="F72" s="76" t="str">
        <f>IF($I72&gt;0,VLOOKUP(I72,'Lista de Precios'!$A$3:$H$2883,8,0),"")</f>
        <v/>
      </c>
      <c r="G72" s="101" t="str">
        <f t="shared" ref="G72:G104" si="24">IF(AN72="","",AN72*1.87)</f>
        <v/>
      </c>
      <c r="H72" s="20" t="s">
        <v>3</v>
      </c>
      <c r="I72" s="18"/>
      <c r="J72" s="28" t="str">
        <f t="shared" ref="J72:J104" si="25">+E72</f>
        <v/>
      </c>
      <c r="K72" s="24"/>
      <c r="L72" s="43"/>
      <c r="M72" s="43"/>
      <c r="N72" s="43"/>
      <c r="O72" s="43"/>
      <c r="P72" s="44"/>
      <c r="Q72" s="45"/>
      <c r="R72" s="43"/>
      <c r="S72" s="43"/>
      <c r="T72" s="43"/>
      <c r="U72" s="43"/>
      <c r="V72" s="43"/>
      <c r="W72" s="43"/>
      <c r="X72" s="43"/>
      <c r="Y72" s="37"/>
      <c r="Z72" s="40"/>
      <c r="AA72" s="41"/>
      <c r="AB72" s="37"/>
      <c r="AC72" s="43"/>
      <c r="AD72" s="43"/>
      <c r="AE72" s="43"/>
      <c r="AF72" s="43"/>
      <c r="AG72" s="43"/>
      <c r="AH72" s="42"/>
      <c r="AI72" s="42"/>
      <c r="AJ72" s="42"/>
      <c r="AK72" s="42"/>
      <c r="AL72" s="43"/>
      <c r="AM72" s="73">
        <f t="shared" si="12"/>
        <v>0</v>
      </c>
      <c r="AN72" s="71" t="str">
        <f>+IF($I72&gt;0,VLOOKUP($I72,'Lista de Precios'!$A$3:$H$2883,4,0),"")</f>
        <v/>
      </c>
      <c r="AO72" s="68" t="str">
        <f t="shared" ref="AO72:AO104" si="26">+IF(AM72&gt;0,AN72*AM72,"")</f>
        <v/>
      </c>
      <c r="AP72" s="7" t="str">
        <f>IF($I72&gt;0,VLOOKUP($I72,'Lista de Precios'!$A$3:$K$2883,10,0),"")</f>
        <v/>
      </c>
      <c r="AQ72" s="7" t="str">
        <f>IF($I72&gt;0,VLOOKUP($I72,'Lista de Precios'!$A$3:$M$49893,13,0),"")</f>
        <v/>
      </c>
      <c r="HQ72" s="134"/>
      <c r="HR72" s="134"/>
      <c r="HS72" s="134"/>
      <c r="HT72" s="134"/>
      <c r="HU72" s="134"/>
      <c r="HV72" s="134"/>
      <c r="HW72" s="134"/>
      <c r="HX72" s="134"/>
      <c r="HY72" s="134"/>
      <c r="HZ72" s="134"/>
      <c r="IA72" s="134"/>
      <c r="IB72" s="134"/>
      <c r="ID72" s="134"/>
      <c r="IE72" s="134"/>
      <c r="IF72" s="134"/>
      <c r="IG72" s="134"/>
      <c r="IH72" s="134"/>
      <c r="II72" s="134"/>
      <c r="IJ72" s="134"/>
      <c r="IK72" s="134"/>
      <c r="IL72" s="134"/>
      <c r="IM72" s="135"/>
      <c r="IN72" s="135"/>
      <c r="IO72" s="135"/>
      <c r="XEO72" s="7" t="str">
        <f t="shared" si="13"/>
        <v/>
      </c>
      <c r="XEP72" s="7" t="str">
        <f t="shared" si="14"/>
        <v/>
      </c>
      <c r="XEQ72" s="7" t="str">
        <f t="shared" si="15"/>
        <v/>
      </c>
      <c r="XER72" s="7" t="str">
        <f t="shared" si="16"/>
        <v/>
      </c>
    </row>
    <row r="73" spans="1:249 16369:16372" ht="23.25" customHeight="1" x14ac:dyDescent="0.25">
      <c r="A73" s="74">
        <f>IF($I73&gt;0,VLOOKUP(I73,'Lista de Precios'!$A$3:$L$2883,9,0),0)</f>
        <v>0</v>
      </c>
      <c r="B73" s="74">
        <f>IF($I73&gt;0,VLOOKUP(I73,'Lista de Precios'!$A$3:$H$2883,7,0),0)</f>
        <v>0</v>
      </c>
      <c r="C73" s="7" t="str">
        <f>IF($I73&gt;0,VLOOKUP(I73,'Lista de Precios'!$A$3:$H$2883,2,0),"")</f>
        <v/>
      </c>
      <c r="D73" s="7" t="str">
        <f>IF($I73&gt;0,VLOOKUP(I73,'Lista de Precios'!$A$3:$H$2883,3,0),"")</f>
        <v/>
      </c>
      <c r="E73" s="76" t="str">
        <f>IF($I73&gt;0,VLOOKUP(I73,'Lista de Precios'!$A$3:$H$2883,6,0),"")</f>
        <v/>
      </c>
      <c r="F73" s="76" t="str">
        <f>IF($I73&gt;0,VLOOKUP(I73,'Lista de Precios'!$A$3:$H$2883,8,0),"")</f>
        <v/>
      </c>
      <c r="G73" s="101" t="str">
        <f t="shared" si="24"/>
        <v/>
      </c>
      <c r="H73" s="20" t="s">
        <v>3</v>
      </c>
      <c r="I73" s="18"/>
      <c r="J73" s="28" t="str">
        <f t="shared" si="25"/>
        <v/>
      </c>
      <c r="K73" s="24"/>
      <c r="L73" s="43"/>
      <c r="M73" s="43"/>
      <c r="N73" s="43"/>
      <c r="O73" s="37"/>
      <c r="P73" s="44"/>
      <c r="Q73" s="39"/>
      <c r="R73" s="37"/>
      <c r="S73" s="37"/>
      <c r="T73" s="37"/>
      <c r="U73" s="37"/>
      <c r="V73" s="37"/>
      <c r="W73" s="37"/>
      <c r="X73" s="37"/>
      <c r="Y73" s="37"/>
      <c r="Z73" s="40"/>
      <c r="AA73" s="41"/>
      <c r="AB73" s="37"/>
      <c r="AC73" s="43"/>
      <c r="AD73" s="43"/>
      <c r="AE73" s="43"/>
      <c r="AF73" s="43"/>
      <c r="AG73" s="43"/>
      <c r="AH73" s="42"/>
      <c r="AI73" s="42"/>
      <c r="AJ73" s="42"/>
      <c r="AK73" s="42"/>
      <c r="AL73" s="43"/>
      <c r="AM73" s="73">
        <f t="shared" si="12"/>
        <v>0</v>
      </c>
      <c r="AN73" s="71" t="str">
        <f>+IF($I73&gt;0,VLOOKUP($I73,'Lista de Precios'!$A$3:$H$2883,4,0),"")</f>
        <v/>
      </c>
      <c r="AO73" s="68" t="str">
        <f t="shared" si="26"/>
        <v/>
      </c>
      <c r="AP73" s="7" t="str">
        <f>IF($I73&gt;0,VLOOKUP($I73,'Lista de Precios'!$A$3:$K$2883,10,0),"")</f>
        <v/>
      </c>
      <c r="AQ73" s="7" t="str">
        <f>IF($I73&gt;0,VLOOKUP($I73,'Lista de Precios'!$A$3:$M$49893,13,0),"")</f>
        <v/>
      </c>
      <c r="HQ73" s="134"/>
      <c r="HR73" s="134"/>
      <c r="HS73" s="134"/>
      <c r="HT73" s="134"/>
      <c r="HU73" s="134"/>
      <c r="HV73" s="134"/>
      <c r="HW73" s="134"/>
      <c r="HX73" s="134"/>
      <c r="HY73" s="134"/>
      <c r="HZ73" s="134"/>
      <c r="IA73" s="134"/>
      <c r="IB73" s="134"/>
      <c r="ID73" s="134"/>
      <c r="IE73" s="134"/>
      <c r="IF73" s="134"/>
      <c r="IG73" s="134"/>
      <c r="IH73" s="134"/>
      <c r="II73" s="134"/>
      <c r="IJ73" s="134"/>
      <c r="IK73" s="134"/>
      <c r="IL73" s="134"/>
      <c r="IM73" s="135"/>
      <c r="IN73" s="135"/>
      <c r="IO73" s="135"/>
      <c r="XEO73" s="7" t="str">
        <f t="shared" si="13"/>
        <v/>
      </c>
      <c r="XEP73" s="7" t="str">
        <f t="shared" si="14"/>
        <v/>
      </c>
      <c r="XEQ73" s="7" t="str">
        <f t="shared" si="15"/>
        <v/>
      </c>
      <c r="XER73" s="7" t="str">
        <f t="shared" si="16"/>
        <v/>
      </c>
    </row>
    <row r="74" spans="1:249 16369:16372" ht="23.25" customHeight="1" x14ac:dyDescent="0.25">
      <c r="A74" s="74">
        <f>IF($I74&gt;0,VLOOKUP(I74,'Lista de Precios'!$A$3:$L$2883,9,0),0)</f>
        <v>0</v>
      </c>
      <c r="B74" s="74">
        <f>IF($I74&gt;0,VLOOKUP(I74,'Lista de Precios'!$A$3:$H$2883,7,0),0)</f>
        <v>0</v>
      </c>
      <c r="C74" s="7" t="str">
        <f>IF($I74&gt;0,VLOOKUP(I74,'Lista de Precios'!$A$3:$H$2883,2,0),"")</f>
        <v/>
      </c>
      <c r="D74" s="7" t="str">
        <f>IF($I74&gt;0,VLOOKUP(I74,'Lista de Precios'!$A$3:$H$2883,3,0),"")</f>
        <v/>
      </c>
      <c r="E74" s="76" t="str">
        <f>IF($I74&gt;0,VLOOKUP(I74,'Lista de Precios'!$A$3:$H$2883,6,0),"")</f>
        <v/>
      </c>
      <c r="F74" s="76" t="str">
        <f>IF($I74&gt;0,VLOOKUP(I74,'Lista de Precios'!$A$3:$H$2883,8,0),"")</f>
        <v/>
      </c>
      <c r="G74" s="101" t="str">
        <f t="shared" si="24"/>
        <v/>
      </c>
      <c r="H74" s="20" t="s">
        <v>3</v>
      </c>
      <c r="I74" s="18"/>
      <c r="J74" s="28" t="str">
        <f t="shared" si="25"/>
        <v/>
      </c>
      <c r="K74" s="24"/>
      <c r="L74" s="43"/>
      <c r="M74" s="43"/>
      <c r="N74" s="43"/>
      <c r="O74" s="43"/>
      <c r="P74" s="44"/>
      <c r="Q74" s="45"/>
      <c r="R74" s="43"/>
      <c r="S74" s="43"/>
      <c r="T74" s="43"/>
      <c r="U74" s="43"/>
      <c r="V74" s="43"/>
      <c r="W74" s="43"/>
      <c r="X74" s="43"/>
      <c r="Y74" s="37"/>
      <c r="Z74" s="40"/>
      <c r="AA74" s="41"/>
      <c r="AB74" s="37"/>
      <c r="AC74" s="37"/>
      <c r="AD74" s="37"/>
      <c r="AE74" s="37"/>
      <c r="AF74" s="37"/>
      <c r="AG74" s="43"/>
      <c r="AH74" s="42"/>
      <c r="AI74" s="42"/>
      <c r="AJ74" s="49"/>
      <c r="AK74" s="49"/>
      <c r="AL74" s="49"/>
      <c r="AM74" s="73">
        <f t="shared" si="12"/>
        <v>0</v>
      </c>
      <c r="AN74" s="71" t="str">
        <f>+IF($I74&gt;0,VLOOKUP($I74,'Lista de Precios'!$A$3:$H$2883,4,0),"")</f>
        <v/>
      </c>
      <c r="AO74" s="68" t="str">
        <f t="shared" si="26"/>
        <v/>
      </c>
      <c r="AP74" s="7" t="str">
        <f>IF($I74&gt;0,VLOOKUP($I74,'Lista de Precios'!$A$3:$K$2883,10,0),"")</f>
        <v/>
      </c>
      <c r="AQ74" s="7" t="str">
        <f>IF($I74&gt;0,VLOOKUP($I74,'Lista de Precios'!$A$3:$M$49893,13,0),"")</f>
        <v/>
      </c>
      <c r="HQ74" s="134"/>
      <c r="HR74" s="134"/>
      <c r="HS74" s="134"/>
      <c r="HT74" s="134"/>
      <c r="HU74" s="134"/>
      <c r="HV74" s="134"/>
      <c r="HW74" s="134"/>
      <c r="HX74" s="134"/>
      <c r="HY74" s="134"/>
      <c r="HZ74" s="134"/>
      <c r="IA74" s="134"/>
      <c r="IB74" s="134"/>
      <c r="ID74" s="134"/>
      <c r="IE74" s="134"/>
      <c r="IF74" s="134"/>
      <c r="IG74" s="134"/>
      <c r="IH74" s="134"/>
      <c r="II74" s="134"/>
      <c r="IJ74" s="134"/>
      <c r="IK74" s="134"/>
      <c r="IL74" s="134"/>
      <c r="IM74" s="135"/>
      <c r="IN74" s="135"/>
      <c r="IO74" s="135"/>
      <c r="XEO74" s="7" t="str">
        <f t="shared" si="13"/>
        <v/>
      </c>
      <c r="XEP74" s="7" t="str">
        <f t="shared" si="14"/>
        <v/>
      </c>
      <c r="XEQ74" s="7" t="str">
        <f t="shared" si="15"/>
        <v/>
      </c>
      <c r="XER74" s="7" t="str">
        <f t="shared" si="16"/>
        <v/>
      </c>
    </row>
    <row r="75" spans="1:249 16369:16372" ht="23.25" customHeight="1" x14ac:dyDescent="0.25">
      <c r="A75" s="74">
        <f>IF($I75&gt;0,VLOOKUP(I75,'Lista de Precios'!$A$3:$L$2883,9,0),0)</f>
        <v>0</v>
      </c>
      <c r="B75" s="74">
        <f>IF($I75&gt;0,VLOOKUP(I75,'Lista de Precios'!$A$3:$H$2883,7,0),0)</f>
        <v>0</v>
      </c>
      <c r="C75" s="7" t="str">
        <f>IF($I75&gt;0,VLOOKUP(I75,'Lista de Precios'!$A$3:$H$2883,2,0),"")</f>
        <v/>
      </c>
      <c r="D75" s="7" t="str">
        <f>IF($I75&gt;0,VLOOKUP(I75,'Lista de Precios'!$A$3:$H$2883,3,0),"")</f>
        <v/>
      </c>
      <c r="E75" s="76" t="str">
        <f>IF($I75&gt;0,VLOOKUP(I75,'Lista de Precios'!$A$3:$H$2883,6,0),"")</f>
        <v/>
      </c>
      <c r="F75" s="76" t="str">
        <f>IF($I75&gt;0,VLOOKUP(I75,'Lista de Precios'!$A$3:$H$2883,8,0),"")</f>
        <v/>
      </c>
      <c r="G75" s="101" t="str">
        <f t="shared" si="24"/>
        <v/>
      </c>
      <c r="H75" s="20" t="s">
        <v>3</v>
      </c>
      <c r="I75" s="18"/>
      <c r="J75" s="28" t="str">
        <f t="shared" si="25"/>
        <v/>
      </c>
      <c r="K75" s="24"/>
      <c r="L75" s="48"/>
      <c r="M75" s="48"/>
      <c r="N75" s="48"/>
      <c r="O75" s="48"/>
      <c r="P75" s="47"/>
      <c r="Q75" s="50"/>
      <c r="R75" s="43"/>
      <c r="S75" s="43"/>
      <c r="T75" s="43"/>
      <c r="U75" s="43"/>
      <c r="V75" s="43"/>
      <c r="W75" s="43"/>
      <c r="X75" s="43"/>
      <c r="Y75" s="37"/>
      <c r="Z75" s="40"/>
      <c r="AA75" s="41"/>
      <c r="AB75" s="37"/>
      <c r="AC75" s="37"/>
      <c r="AD75" s="37"/>
      <c r="AE75" s="37"/>
      <c r="AF75" s="37"/>
      <c r="AG75" s="43"/>
      <c r="AH75" s="42"/>
      <c r="AI75" s="42"/>
      <c r="AJ75" s="49"/>
      <c r="AK75" s="49"/>
      <c r="AL75" s="48"/>
      <c r="AM75" s="73">
        <f t="shared" si="12"/>
        <v>0</v>
      </c>
      <c r="AN75" s="71" t="str">
        <f>+IF($I75&gt;0,VLOOKUP($I75,'Lista de Precios'!$A$3:$H$2883,4,0),"")</f>
        <v/>
      </c>
      <c r="AO75" s="68" t="str">
        <f t="shared" si="26"/>
        <v/>
      </c>
      <c r="AP75" s="7" t="str">
        <f>IF($I75&gt;0,VLOOKUP($I75,'Lista de Precios'!$A$3:$K$2883,10,0),"")</f>
        <v/>
      </c>
      <c r="AQ75" s="7" t="str">
        <f>IF($I75&gt;0,VLOOKUP($I75,'Lista de Precios'!$A$3:$M$49893,13,0),"")</f>
        <v/>
      </c>
      <c r="HQ75" s="134"/>
      <c r="HR75" s="134"/>
      <c r="HS75" s="134"/>
      <c r="HT75" s="134"/>
      <c r="HU75" s="134"/>
      <c r="HV75" s="134"/>
      <c r="HW75" s="134"/>
      <c r="HX75" s="134"/>
      <c r="HY75" s="134"/>
      <c r="HZ75" s="134"/>
      <c r="IA75" s="134"/>
      <c r="IB75" s="134"/>
      <c r="ID75" s="134"/>
      <c r="IE75" s="134"/>
      <c r="IF75" s="134"/>
      <c r="IG75" s="134"/>
      <c r="IH75" s="134"/>
      <c r="II75" s="134"/>
      <c r="IJ75" s="134"/>
      <c r="IK75" s="134"/>
      <c r="IL75" s="134"/>
      <c r="IM75" s="135"/>
      <c r="IN75" s="135"/>
      <c r="IO75" s="135"/>
      <c r="XEO75" s="7" t="str">
        <f t="shared" si="13"/>
        <v/>
      </c>
      <c r="XEP75" s="7" t="str">
        <f t="shared" si="14"/>
        <v/>
      </c>
      <c r="XEQ75" s="7" t="str">
        <f t="shared" si="15"/>
        <v/>
      </c>
      <c r="XER75" s="7" t="str">
        <f t="shared" si="16"/>
        <v/>
      </c>
    </row>
    <row r="76" spans="1:249 16369:16372" ht="23.25" customHeight="1" x14ac:dyDescent="0.25">
      <c r="A76" s="74">
        <f>IF($I76&gt;0,VLOOKUP(I76,'Lista de Precios'!$A$3:$L$2883,9,0),0)</f>
        <v>0</v>
      </c>
      <c r="B76" s="74">
        <f>IF($I76&gt;0,VLOOKUP(I76,'Lista de Precios'!$A$3:$H$2883,7,0),0)</f>
        <v>0</v>
      </c>
      <c r="C76" s="7" t="str">
        <f>IF($I76&gt;0,VLOOKUP(I76,'Lista de Precios'!$A$3:$H$2883,2,0),"")</f>
        <v/>
      </c>
      <c r="D76" s="7" t="str">
        <f>IF($I76&gt;0,VLOOKUP(I76,'Lista de Precios'!$A$3:$H$2883,3,0),"")</f>
        <v/>
      </c>
      <c r="E76" s="76" t="str">
        <f>IF($I76&gt;0,VLOOKUP(I76,'Lista de Precios'!$A$3:$H$2883,6,0),"")</f>
        <v/>
      </c>
      <c r="F76" s="76" t="str">
        <f>IF($I76&gt;0,VLOOKUP(I76,'Lista de Precios'!$A$3:$H$2883,8,0),"")</f>
        <v/>
      </c>
      <c r="G76" s="101" t="str">
        <f t="shared" si="24"/>
        <v/>
      </c>
      <c r="H76" s="20" t="s">
        <v>3</v>
      </c>
      <c r="I76" s="18"/>
      <c r="J76" s="28" t="str">
        <f t="shared" si="25"/>
        <v/>
      </c>
      <c r="K76" s="24"/>
      <c r="L76" s="51"/>
      <c r="M76" s="51"/>
      <c r="N76" s="51"/>
      <c r="O76" s="48"/>
      <c r="P76" s="52"/>
      <c r="Q76" s="50"/>
      <c r="R76" s="43"/>
      <c r="S76" s="43"/>
      <c r="T76" s="43"/>
      <c r="U76" s="43"/>
      <c r="V76" s="43"/>
      <c r="W76" s="43"/>
      <c r="X76" s="43"/>
      <c r="Y76" s="43"/>
      <c r="Z76" s="44"/>
      <c r="AA76" s="53"/>
      <c r="AB76" s="48"/>
      <c r="AC76" s="48"/>
      <c r="AD76" s="48"/>
      <c r="AE76" s="48"/>
      <c r="AF76" s="48"/>
      <c r="AG76" s="54"/>
      <c r="AH76" s="54"/>
      <c r="AI76" s="54"/>
      <c r="AJ76" s="54"/>
      <c r="AK76" s="54"/>
      <c r="AL76" s="54"/>
      <c r="AM76" s="73">
        <f t="shared" si="12"/>
        <v>0</v>
      </c>
      <c r="AN76" s="71" t="str">
        <f>+IF($I76&gt;0,VLOOKUP($I76,'Lista de Precios'!$A$3:$H$2883,4,0),"")</f>
        <v/>
      </c>
      <c r="AO76" s="68" t="str">
        <f t="shared" si="26"/>
        <v/>
      </c>
      <c r="AP76" s="7" t="str">
        <f>IF($I76&gt;0,VLOOKUP($I76,'Lista de Precios'!$A$3:$K$2883,10,0),"")</f>
        <v/>
      </c>
      <c r="AQ76" s="7" t="str">
        <f>IF($I76&gt;0,VLOOKUP($I76,'Lista de Precios'!$A$3:$M$49893,13,0),"")</f>
        <v/>
      </c>
      <c r="HQ76" s="134"/>
      <c r="HR76" s="134"/>
      <c r="HS76" s="134"/>
      <c r="HT76" s="134"/>
      <c r="HU76" s="134"/>
      <c r="HV76" s="134"/>
      <c r="HW76" s="134"/>
      <c r="HX76" s="134"/>
      <c r="HY76" s="134"/>
      <c r="HZ76" s="134"/>
      <c r="IA76" s="134"/>
      <c r="IB76" s="134"/>
      <c r="ID76" s="134"/>
      <c r="IE76" s="134"/>
      <c r="IF76" s="134"/>
      <c r="IG76" s="134"/>
      <c r="IH76" s="134"/>
      <c r="II76" s="134"/>
      <c r="IJ76" s="134"/>
      <c r="IK76" s="134"/>
      <c r="IL76" s="134"/>
      <c r="IM76" s="135"/>
      <c r="IN76" s="135"/>
      <c r="IO76" s="135"/>
      <c r="XEO76" s="7" t="str">
        <f t="shared" si="13"/>
        <v/>
      </c>
      <c r="XEP76" s="7" t="str">
        <f t="shared" si="14"/>
        <v/>
      </c>
      <c r="XEQ76" s="7" t="str">
        <f t="shared" si="15"/>
        <v/>
      </c>
      <c r="XER76" s="7" t="str">
        <f t="shared" si="16"/>
        <v/>
      </c>
    </row>
    <row r="77" spans="1:249 16369:16372" ht="23.25" customHeight="1" x14ac:dyDescent="0.25">
      <c r="A77" s="74">
        <f>IF($I77&gt;0,VLOOKUP(I77,'Lista de Precios'!$A$3:$L$2883,9,0),0)</f>
        <v>0</v>
      </c>
      <c r="B77" s="74">
        <f>IF($I77&gt;0,VLOOKUP(I77,'Lista de Precios'!$A$3:$H$2883,7,0),0)</f>
        <v>0</v>
      </c>
      <c r="C77" s="7" t="str">
        <f>IF($I77&gt;0,VLOOKUP(I77,'Lista de Precios'!$A$3:$H$2883,2,0),"")</f>
        <v/>
      </c>
      <c r="D77" s="7" t="str">
        <f>IF($I77&gt;0,VLOOKUP(I77,'Lista de Precios'!$A$3:$H$2883,3,0),"")</f>
        <v/>
      </c>
      <c r="E77" s="76" t="str">
        <f>IF($I77&gt;0,VLOOKUP(I77,'Lista de Precios'!$A$3:$H$2883,6,0),"")</f>
        <v/>
      </c>
      <c r="F77" s="76" t="str">
        <f>IF($I77&gt;0,VLOOKUP(I77,'Lista de Precios'!$A$3:$H$2883,8,0),"")</f>
        <v/>
      </c>
      <c r="G77" s="101" t="str">
        <f t="shared" si="24"/>
        <v/>
      </c>
      <c r="H77" s="20" t="s">
        <v>3</v>
      </c>
      <c r="I77" s="18"/>
      <c r="J77" s="28" t="str">
        <f t="shared" si="25"/>
        <v/>
      </c>
      <c r="K77" s="24"/>
      <c r="L77" s="54"/>
      <c r="M77" s="54"/>
      <c r="N77" s="54"/>
      <c r="O77" s="48"/>
      <c r="P77" s="55"/>
      <c r="Q77" s="50"/>
      <c r="R77" s="43"/>
      <c r="S77" s="43"/>
      <c r="T77" s="43"/>
      <c r="U77" s="43"/>
      <c r="V77" s="43"/>
      <c r="W77" s="43"/>
      <c r="X77" s="43"/>
      <c r="Y77" s="43"/>
      <c r="Z77" s="44"/>
      <c r="AA77" s="53"/>
      <c r="AB77" s="48"/>
      <c r="AC77" s="48"/>
      <c r="AD77" s="48"/>
      <c r="AE77" s="48"/>
      <c r="AF77" s="48"/>
      <c r="AG77" s="54"/>
      <c r="AH77" s="54"/>
      <c r="AI77" s="54"/>
      <c r="AJ77" s="54"/>
      <c r="AK77" s="54"/>
      <c r="AL77" s="54"/>
      <c r="AM77" s="73">
        <f t="shared" si="12"/>
        <v>0</v>
      </c>
      <c r="AN77" s="71" t="str">
        <f>+IF($I77&gt;0,VLOOKUP($I77,'Lista de Precios'!$A$3:$H$2883,4,0),"")</f>
        <v/>
      </c>
      <c r="AO77" s="68" t="str">
        <f t="shared" si="26"/>
        <v/>
      </c>
      <c r="AP77" s="7" t="str">
        <f>IF($I77&gt;0,VLOOKUP($I77,'Lista de Precios'!$A$3:$K$2883,10,0),"")</f>
        <v/>
      </c>
      <c r="AQ77" s="7" t="str">
        <f>IF($I77&gt;0,VLOOKUP($I77,'Lista de Precios'!$A$3:$M$49893,13,0),"")</f>
        <v/>
      </c>
      <c r="HQ77" s="134"/>
      <c r="HR77" s="134"/>
      <c r="HS77" s="134"/>
      <c r="HT77" s="134"/>
      <c r="HU77" s="134"/>
      <c r="HV77" s="134"/>
      <c r="HW77" s="134"/>
      <c r="HX77" s="134"/>
      <c r="HY77" s="134"/>
      <c r="HZ77" s="134"/>
      <c r="IA77" s="134"/>
      <c r="IB77" s="134"/>
      <c r="ID77" s="134"/>
      <c r="IE77" s="134"/>
      <c r="IF77" s="134"/>
      <c r="IG77" s="134"/>
      <c r="IH77" s="134"/>
      <c r="II77" s="134"/>
      <c r="IJ77" s="134"/>
      <c r="IK77" s="134"/>
      <c r="IL77" s="134"/>
      <c r="IM77" s="135"/>
      <c r="IN77" s="135"/>
      <c r="IO77" s="135"/>
      <c r="XEO77" s="7" t="str">
        <f t="shared" si="13"/>
        <v/>
      </c>
      <c r="XEP77" s="7" t="str">
        <f t="shared" si="14"/>
        <v/>
      </c>
      <c r="XEQ77" s="7" t="str">
        <f t="shared" si="15"/>
        <v/>
      </c>
      <c r="XER77" s="7" t="str">
        <f t="shared" si="16"/>
        <v/>
      </c>
    </row>
    <row r="78" spans="1:249 16369:16372" ht="23.25" customHeight="1" x14ac:dyDescent="0.25">
      <c r="A78" s="74">
        <f>IF($I78&gt;0,VLOOKUP(I78,'Lista de Precios'!$A$3:$L$2883,9,0),0)</f>
        <v>0</v>
      </c>
      <c r="B78" s="74">
        <f>IF($I78&gt;0,VLOOKUP(I78,'Lista de Precios'!$A$3:$H$2883,7,0),0)</f>
        <v>0</v>
      </c>
      <c r="C78" s="7" t="str">
        <f>IF($I78&gt;0,VLOOKUP(I78,'Lista de Precios'!$A$3:$H$2883,2,0),"")</f>
        <v/>
      </c>
      <c r="D78" s="7" t="str">
        <f>IF($I78&gt;0,VLOOKUP(I78,'Lista de Precios'!$A$3:$H$2883,3,0),"")</f>
        <v/>
      </c>
      <c r="E78" s="76" t="str">
        <f>IF($I78&gt;0,VLOOKUP(I78,'Lista de Precios'!$A$3:$H$2883,6,0),"")</f>
        <v/>
      </c>
      <c r="F78" s="76" t="str">
        <f>IF($I78&gt;0,VLOOKUP(I78,'Lista de Precios'!$A$3:$H$2883,8,0),"")</f>
        <v/>
      </c>
      <c r="G78" s="101" t="str">
        <f t="shared" si="24"/>
        <v/>
      </c>
      <c r="H78" s="20" t="s">
        <v>3</v>
      </c>
      <c r="I78" s="18"/>
      <c r="J78" s="28" t="str">
        <f t="shared" si="25"/>
        <v/>
      </c>
      <c r="K78" s="24"/>
      <c r="L78" s="43"/>
      <c r="M78" s="43"/>
      <c r="N78" s="43"/>
      <c r="O78" s="48"/>
      <c r="P78" s="44"/>
      <c r="Q78" s="50"/>
      <c r="R78" s="43"/>
      <c r="S78" s="43"/>
      <c r="T78" s="43"/>
      <c r="U78" s="43"/>
      <c r="V78" s="43"/>
      <c r="W78" s="43"/>
      <c r="X78" s="43"/>
      <c r="Y78" s="43"/>
      <c r="Z78" s="44"/>
      <c r="AA78" s="53"/>
      <c r="AB78" s="48"/>
      <c r="AC78" s="48"/>
      <c r="AD78" s="48"/>
      <c r="AE78" s="49"/>
      <c r="AF78" s="48"/>
      <c r="AG78" s="43"/>
      <c r="AH78" s="42"/>
      <c r="AI78" s="42"/>
      <c r="AJ78" s="42"/>
      <c r="AK78" s="42"/>
      <c r="AL78" s="42"/>
      <c r="AM78" s="73">
        <f t="shared" si="12"/>
        <v>0</v>
      </c>
      <c r="AN78" s="71" t="str">
        <f>+IF($I78&gt;0,VLOOKUP($I78,'Lista de Precios'!$A$3:$H$2883,4,0),"")</f>
        <v/>
      </c>
      <c r="AO78" s="68" t="str">
        <f t="shared" si="26"/>
        <v/>
      </c>
      <c r="AP78" s="7" t="str">
        <f>IF($I78&gt;0,VLOOKUP($I78,'Lista de Precios'!$A$3:$K$2883,10,0),"")</f>
        <v/>
      </c>
      <c r="AQ78" s="7" t="str">
        <f>IF($I78&gt;0,VLOOKUP($I78,'Lista de Precios'!$A$3:$M$49893,13,0),"")</f>
        <v/>
      </c>
      <c r="HQ78" s="134"/>
      <c r="HR78" s="134"/>
      <c r="HS78" s="134"/>
      <c r="HT78" s="134"/>
      <c r="HU78" s="134"/>
      <c r="HV78" s="134"/>
      <c r="HW78" s="134"/>
      <c r="HX78" s="134"/>
      <c r="HY78" s="134"/>
      <c r="HZ78" s="134"/>
      <c r="IA78" s="134"/>
      <c r="IB78" s="134"/>
      <c r="ID78" s="134"/>
      <c r="IE78" s="134"/>
      <c r="IF78" s="134"/>
      <c r="IG78" s="134"/>
      <c r="IH78" s="134"/>
      <c r="II78" s="134"/>
      <c r="IJ78" s="134"/>
      <c r="IK78" s="134"/>
      <c r="IL78" s="134"/>
      <c r="IM78" s="135"/>
      <c r="IN78" s="135"/>
      <c r="IO78" s="135"/>
      <c r="XEO78" s="7" t="str">
        <f t="shared" si="13"/>
        <v/>
      </c>
      <c r="XEP78" s="7" t="str">
        <f t="shared" si="14"/>
        <v/>
      </c>
      <c r="XEQ78" s="7" t="str">
        <f t="shared" si="15"/>
        <v/>
      </c>
      <c r="XER78" s="7" t="str">
        <f t="shared" si="16"/>
        <v/>
      </c>
    </row>
    <row r="79" spans="1:249 16369:16372" ht="23.25" customHeight="1" x14ac:dyDescent="0.25">
      <c r="A79" s="74">
        <f>IF($I79&gt;0,VLOOKUP(I79,'Lista de Precios'!$A$3:$L$2883,9,0),0)</f>
        <v>0</v>
      </c>
      <c r="B79" s="74">
        <f>IF($I79&gt;0,VLOOKUP(I79,'Lista de Precios'!$A$3:$H$2883,7,0),0)</f>
        <v>0</v>
      </c>
      <c r="C79" s="7" t="str">
        <f>IF($I79&gt;0,VLOOKUP(I79,'Lista de Precios'!$A$3:$H$2883,2,0),"")</f>
        <v/>
      </c>
      <c r="D79" s="7" t="str">
        <f>IF($I79&gt;0,VLOOKUP(I79,'Lista de Precios'!$A$3:$H$2883,3,0),"")</f>
        <v/>
      </c>
      <c r="E79" s="76" t="str">
        <f>IF($I79&gt;0,VLOOKUP(I79,'Lista de Precios'!$A$3:$H$2883,6,0),"")</f>
        <v/>
      </c>
      <c r="F79" s="76" t="str">
        <f>IF($I79&gt;0,VLOOKUP(I79,'Lista de Precios'!$A$3:$H$2883,8,0),"")</f>
        <v/>
      </c>
      <c r="G79" s="101" t="str">
        <f t="shared" si="24"/>
        <v/>
      </c>
      <c r="H79" s="20" t="s">
        <v>3</v>
      </c>
      <c r="I79" s="18"/>
      <c r="J79" s="28" t="str">
        <f t="shared" si="25"/>
        <v/>
      </c>
      <c r="K79" s="24"/>
      <c r="L79" s="54"/>
      <c r="M79" s="54"/>
      <c r="N79" s="54"/>
      <c r="O79" s="43"/>
      <c r="P79" s="55"/>
      <c r="Q79" s="45"/>
      <c r="R79" s="43"/>
      <c r="S79" s="43"/>
      <c r="T79" s="43"/>
      <c r="U79" s="43"/>
      <c r="V79" s="43"/>
      <c r="W79" s="43"/>
      <c r="X79" s="43"/>
      <c r="Y79" s="43"/>
      <c r="Z79" s="44"/>
      <c r="AA79" s="56"/>
      <c r="AB79" s="43"/>
      <c r="AC79" s="43"/>
      <c r="AD79" s="43"/>
      <c r="AE79" s="43"/>
      <c r="AF79" s="43"/>
      <c r="AG79" s="54"/>
      <c r="AH79" s="54"/>
      <c r="AI79" s="54"/>
      <c r="AJ79" s="54"/>
      <c r="AK79" s="54"/>
      <c r="AL79" s="54"/>
      <c r="AM79" s="73">
        <f t="shared" si="12"/>
        <v>0</v>
      </c>
      <c r="AN79" s="71" t="str">
        <f>+IF($I79&gt;0,VLOOKUP($I79,'Lista de Precios'!$A$3:$H$2883,4,0),"")</f>
        <v/>
      </c>
      <c r="AO79" s="68" t="str">
        <f t="shared" si="26"/>
        <v/>
      </c>
      <c r="AP79" s="7" t="str">
        <f>IF($I79&gt;0,VLOOKUP($I79,'Lista de Precios'!$A$3:$K$2883,10,0),"")</f>
        <v/>
      </c>
      <c r="AQ79" s="7" t="str">
        <f>IF($I79&gt;0,VLOOKUP($I79,'Lista de Precios'!$A$3:$M$49893,13,0),"")</f>
        <v/>
      </c>
      <c r="HQ79" s="134"/>
      <c r="HR79" s="134"/>
      <c r="HS79" s="134"/>
      <c r="HT79" s="134"/>
      <c r="HU79" s="134"/>
      <c r="HV79" s="134"/>
      <c r="HW79" s="134"/>
      <c r="HX79" s="134"/>
      <c r="HY79" s="134"/>
      <c r="HZ79" s="134"/>
      <c r="IA79" s="134"/>
      <c r="IB79" s="134"/>
      <c r="ID79" s="134"/>
      <c r="IE79" s="134"/>
      <c r="IF79" s="134"/>
      <c r="IG79" s="134"/>
      <c r="IH79" s="134"/>
      <c r="II79" s="134"/>
      <c r="IJ79" s="134"/>
      <c r="IK79" s="134"/>
      <c r="IL79" s="134"/>
      <c r="IM79" s="135"/>
      <c r="IN79" s="135"/>
      <c r="IO79" s="135"/>
      <c r="XEO79" s="7" t="str">
        <f t="shared" si="13"/>
        <v/>
      </c>
      <c r="XEP79" s="7" t="str">
        <f t="shared" si="14"/>
        <v/>
      </c>
      <c r="XEQ79" s="7" t="str">
        <f t="shared" si="15"/>
        <v/>
      </c>
      <c r="XER79" s="7" t="str">
        <f t="shared" si="16"/>
        <v/>
      </c>
    </row>
    <row r="80" spans="1:249 16369:16372" ht="23.25" customHeight="1" x14ac:dyDescent="0.25">
      <c r="A80" s="74">
        <f>IF($I80&gt;0,VLOOKUP(I80,'Lista de Precios'!$A$3:$L$2883,9,0),0)</f>
        <v>0</v>
      </c>
      <c r="B80" s="74">
        <f>IF($I80&gt;0,VLOOKUP(I80,'Lista de Precios'!$A$3:$H$2883,7,0),0)</f>
        <v>0</v>
      </c>
      <c r="C80" s="7" t="str">
        <f>IF($I80&gt;0,VLOOKUP(I80,'Lista de Precios'!$A$3:$H$2883,2,0),"")</f>
        <v/>
      </c>
      <c r="D80" s="7" t="str">
        <f>IF($I80&gt;0,VLOOKUP(I80,'Lista de Precios'!$A$3:$H$2883,3,0),"")</f>
        <v/>
      </c>
      <c r="E80" s="76" t="str">
        <f>IF($I80&gt;0,VLOOKUP(I80,'Lista de Precios'!$A$3:$H$2883,6,0),"")</f>
        <v/>
      </c>
      <c r="F80" s="76" t="str">
        <f>IF($I80&gt;0,VLOOKUP(I80,'Lista de Precios'!$A$3:$H$2883,8,0),"")</f>
        <v/>
      </c>
      <c r="G80" s="101" t="str">
        <f t="shared" si="24"/>
        <v/>
      </c>
      <c r="H80" s="20" t="s">
        <v>3</v>
      </c>
      <c r="I80" s="18"/>
      <c r="J80" s="28" t="str">
        <f t="shared" si="25"/>
        <v/>
      </c>
      <c r="K80" s="24"/>
      <c r="L80" s="37"/>
      <c r="M80" s="37"/>
      <c r="N80" s="37"/>
      <c r="O80" s="37"/>
      <c r="P80" s="40"/>
      <c r="Q80" s="39"/>
      <c r="R80" s="37"/>
      <c r="S80" s="37"/>
      <c r="T80" s="37"/>
      <c r="U80" s="37"/>
      <c r="V80" s="37"/>
      <c r="W80" s="37"/>
      <c r="X80" s="37"/>
      <c r="Y80" s="37"/>
      <c r="Z80" s="40"/>
      <c r="AA80" s="41"/>
      <c r="AB80" s="37"/>
      <c r="AC80" s="37"/>
      <c r="AD80" s="37"/>
      <c r="AE80" s="37"/>
      <c r="AF80" s="37"/>
      <c r="AG80" s="37"/>
      <c r="AH80" s="36"/>
      <c r="AI80" s="36"/>
      <c r="AJ80" s="36"/>
      <c r="AK80" s="42"/>
      <c r="AL80" s="36"/>
      <c r="AM80" s="73">
        <f t="shared" si="12"/>
        <v>0</v>
      </c>
      <c r="AN80" s="71" t="str">
        <f>+IF($I80&gt;0,VLOOKUP($I80,'Lista de Precios'!$A$3:$H$2883,4,0),"")</f>
        <v/>
      </c>
      <c r="AO80" s="68" t="str">
        <f t="shared" si="26"/>
        <v/>
      </c>
      <c r="AP80" s="7" t="str">
        <f>IF($I80&gt;0,VLOOKUP($I80,'Lista de Precios'!$A$3:$K$2883,10,0),"")</f>
        <v/>
      </c>
      <c r="AQ80" s="7" t="str">
        <f>IF($I80&gt;0,VLOOKUP($I80,'Lista de Precios'!$A$3:$M$49893,13,0),"")</f>
        <v/>
      </c>
      <c r="HQ80" s="134"/>
      <c r="HR80" s="134"/>
      <c r="HS80" s="134"/>
      <c r="HT80" s="134"/>
      <c r="HU80" s="134"/>
      <c r="HV80" s="134"/>
      <c r="HW80" s="134"/>
      <c r="HX80" s="134"/>
      <c r="HY80" s="134"/>
      <c r="HZ80" s="134"/>
      <c r="IA80" s="134"/>
      <c r="IB80" s="134"/>
      <c r="ID80" s="134"/>
      <c r="IE80" s="134"/>
      <c r="IF80" s="134"/>
      <c r="IG80" s="134"/>
      <c r="IH80" s="134"/>
      <c r="II80" s="134"/>
      <c r="IJ80" s="134"/>
      <c r="IK80" s="134"/>
      <c r="IL80" s="134"/>
      <c r="IM80" s="135"/>
      <c r="IN80" s="135"/>
      <c r="IO80" s="135"/>
      <c r="XEO80" s="7" t="str">
        <f t="shared" si="13"/>
        <v/>
      </c>
      <c r="XEP80" s="7" t="str">
        <f t="shared" si="14"/>
        <v/>
      </c>
      <c r="XEQ80" s="7" t="str">
        <f t="shared" si="15"/>
        <v/>
      </c>
      <c r="XER80" s="7" t="str">
        <f t="shared" si="16"/>
        <v/>
      </c>
    </row>
    <row r="81" spans="1:249 16369:16372" ht="23.25" customHeight="1" x14ac:dyDescent="0.25">
      <c r="A81" s="74">
        <f>IF($I81&gt;0,VLOOKUP(I81,'Lista de Precios'!$A$3:$L$2883,9,0),0)</f>
        <v>0</v>
      </c>
      <c r="B81" s="74">
        <f>IF($I81&gt;0,VLOOKUP(I81,'Lista de Precios'!$A$3:$H$2883,7,0),0)</f>
        <v>0</v>
      </c>
      <c r="C81" s="7" t="str">
        <f>IF($I81&gt;0,VLOOKUP(I81,'Lista de Precios'!$A$3:$H$2883,2,0),"")</f>
        <v/>
      </c>
      <c r="D81" s="7" t="str">
        <f>IF($I81&gt;0,VLOOKUP(I81,'Lista de Precios'!$A$3:$H$2883,3,0),"")</f>
        <v/>
      </c>
      <c r="E81" s="76" t="str">
        <f>IF($I81&gt;0,VLOOKUP(I81,'Lista de Precios'!$A$3:$H$2883,6,0),"")</f>
        <v/>
      </c>
      <c r="F81" s="76" t="str">
        <f>IF($I81&gt;0,VLOOKUP(I81,'Lista de Precios'!$A$3:$H$2883,8,0),"")</f>
        <v/>
      </c>
      <c r="G81" s="101" t="str">
        <f t="shared" si="24"/>
        <v/>
      </c>
      <c r="H81" s="20" t="s">
        <v>3</v>
      </c>
      <c r="I81" s="18"/>
      <c r="J81" s="28" t="str">
        <f t="shared" si="25"/>
        <v/>
      </c>
      <c r="K81" s="24"/>
      <c r="L81" s="37"/>
      <c r="M81" s="37"/>
      <c r="N81" s="37"/>
      <c r="O81" s="37"/>
      <c r="P81" s="40"/>
      <c r="Q81" s="39"/>
      <c r="R81" s="37"/>
      <c r="S81" s="37"/>
      <c r="T81" s="37"/>
      <c r="U81" s="37"/>
      <c r="V81" s="37"/>
      <c r="W81" s="37"/>
      <c r="X81" s="37"/>
      <c r="Y81" s="37"/>
      <c r="Z81" s="40"/>
      <c r="AA81" s="41"/>
      <c r="AB81" s="37"/>
      <c r="AC81" s="37"/>
      <c r="AD81" s="37"/>
      <c r="AE81" s="37"/>
      <c r="AF81" s="37"/>
      <c r="AG81" s="37"/>
      <c r="AH81" s="36"/>
      <c r="AI81" s="36"/>
      <c r="AJ81" s="36"/>
      <c r="AK81" s="42"/>
      <c r="AL81" s="36"/>
      <c r="AM81" s="73">
        <f t="shared" si="12"/>
        <v>0</v>
      </c>
      <c r="AN81" s="71" t="str">
        <f>+IF($I81&gt;0,VLOOKUP($I81,'Lista de Precios'!$A$3:$H$2883,4,0),"")</f>
        <v/>
      </c>
      <c r="AO81" s="68" t="str">
        <f t="shared" si="26"/>
        <v/>
      </c>
      <c r="AP81" s="7" t="str">
        <f>IF($I81&gt;0,VLOOKUP($I81,'Lista de Precios'!$A$3:$K$2883,10,0),"")</f>
        <v/>
      </c>
      <c r="AQ81" s="7" t="str">
        <f>IF($I81&gt;0,VLOOKUP($I81,'Lista de Precios'!$A$3:$M$49893,13,0),"")</f>
        <v/>
      </c>
      <c r="HQ81" s="134"/>
      <c r="HR81" s="134"/>
      <c r="HS81" s="134"/>
      <c r="HT81" s="134"/>
      <c r="HU81" s="134"/>
      <c r="HV81" s="134"/>
      <c r="HW81" s="134"/>
      <c r="HX81" s="134"/>
      <c r="HY81" s="134"/>
      <c r="HZ81" s="134"/>
      <c r="IA81" s="134"/>
      <c r="IB81" s="134"/>
      <c r="ID81" s="134"/>
      <c r="IE81" s="134"/>
      <c r="IF81" s="134"/>
      <c r="IG81" s="134"/>
      <c r="IH81" s="134"/>
      <c r="II81" s="134"/>
      <c r="IJ81" s="134"/>
      <c r="IK81" s="134"/>
      <c r="IL81" s="134"/>
      <c r="IM81" s="135"/>
      <c r="IN81" s="135"/>
      <c r="IO81" s="135"/>
      <c r="XEO81" s="7" t="str">
        <f t="shared" si="13"/>
        <v/>
      </c>
      <c r="XEP81" s="7" t="str">
        <f t="shared" si="14"/>
        <v/>
      </c>
      <c r="XEQ81" s="7" t="str">
        <f t="shared" si="15"/>
        <v/>
      </c>
      <c r="XER81" s="7" t="str">
        <f t="shared" si="16"/>
        <v/>
      </c>
    </row>
    <row r="82" spans="1:249 16369:16372" ht="23.25" customHeight="1" x14ac:dyDescent="0.25">
      <c r="A82" s="74">
        <f>IF($I82&gt;0,VLOOKUP(I82,'Lista de Precios'!$A$3:$L$2883,9,0),0)</f>
        <v>0</v>
      </c>
      <c r="B82" s="74">
        <f>IF($I82&gt;0,VLOOKUP(I82,'Lista de Precios'!$A$3:$H$2883,7,0),0)</f>
        <v>0</v>
      </c>
      <c r="C82" s="7" t="str">
        <f>IF($I82&gt;0,VLOOKUP(I82,'Lista de Precios'!$A$3:$H$2883,2,0),"")</f>
        <v/>
      </c>
      <c r="D82" s="7" t="str">
        <f>IF($I82&gt;0,VLOOKUP(I82,'Lista de Precios'!$A$3:$H$2883,3,0),"")</f>
        <v/>
      </c>
      <c r="E82" s="76" t="str">
        <f>IF($I82&gt;0,VLOOKUP(I82,'Lista de Precios'!$A$3:$H$2883,6,0),"")</f>
        <v/>
      </c>
      <c r="F82" s="76" t="str">
        <f>IF($I82&gt;0,VLOOKUP(I82,'Lista de Precios'!$A$3:$H$2883,8,0),"")</f>
        <v/>
      </c>
      <c r="G82" s="101" t="str">
        <f t="shared" si="24"/>
        <v/>
      </c>
      <c r="H82" s="20" t="s">
        <v>3</v>
      </c>
      <c r="I82" s="18"/>
      <c r="J82" s="28" t="str">
        <f t="shared" si="25"/>
        <v/>
      </c>
      <c r="K82" s="24"/>
      <c r="L82" s="36"/>
      <c r="M82" s="36"/>
      <c r="N82" s="36"/>
      <c r="O82" s="37"/>
      <c r="P82" s="38"/>
      <c r="Q82" s="39"/>
      <c r="R82" s="37"/>
      <c r="S82" s="37"/>
      <c r="T82" s="37"/>
      <c r="U82" s="37"/>
      <c r="V82" s="37"/>
      <c r="W82" s="37"/>
      <c r="X82" s="37"/>
      <c r="Y82" s="37"/>
      <c r="Z82" s="40"/>
      <c r="AA82" s="41"/>
      <c r="AB82" s="37"/>
      <c r="AC82" s="37"/>
      <c r="AD82" s="37"/>
      <c r="AE82" s="37"/>
      <c r="AF82" s="37"/>
      <c r="AG82" s="37"/>
      <c r="AH82" s="36"/>
      <c r="AI82" s="36"/>
      <c r="AJ82" s="36"/>
      <c r="AK82" s="42"/>
      <c r="AL82" s="42"/>
      <c r="AM82" s="73">
        <f t="shared" si="12"/>
        <v>0</v>
      </c>
      <c r="AN82" s="71" t="str">
        <f>+IF($I82&gt;0,VLOOKUP($I82,'Lista de Precios'!$A$3:$H$2883,4,0),"")</f>
        <v/>
      </c>
      <c r="AO82" s="68" t="str">
        <f t="shared" si="26"/>
        <v/>
      </c>
      <c r="AP82" s="7" t="str">
        <f>IF($I82&gt;0,VLOOKUP($I82,'Lista de Precios'!$A$3:$K$2883,10,0),"")</f>
        <v/>
      </c>
      <c r="AQ82" s="7" t="str">
        <f>IF($I82&gt;0,VLOOKUP($I82,'Lista de Precios'!$A$3:$M$49893,13,0),"")</f>
        <v/>
      </c>
      <c r="HQ82" s="134"/>
      <c r="HR82" s="134"/>
      <c r="HS82" s="134"/>
      <c r="HT82" s="134"/>
      <c r="HU82" s="134"/>
      <c r="HV82" s="134"/>
      <c r="HW82" s="134"/>
      <c r="HX82" s="134"/>
      <c r="HY82" s="134"/>
      <c r="HZ82" s="134"/>
      <c r="IA82" s="134"/>
      <c r="IB82" s="134"/>
      <c r="ID82" s="134"/>
      <c r="IE82" s="134"/>
      <c r="IF82" s="134"/>
      <c r="IG82" s="134"/>
      <c r="IH82" s="134"/>
      <c r="II82" s="134"/>
      <c r="IJ82" s="134"/>
      <c r="IK82" s="134"/>
      <c r="IL82" s="134"/>
      <c r="IM82" s="135"/>
      <c r="IN82" s="135"/>
      <c r="IO82" s="135"/>
      <c r="XEO82" s="7" t="str">
        <f t="shared" si="13"/>
        <v/>
      </c>
      <c r="XEP82" s="7" t="str">
        <f t="shared" si="14"/>
        <v/>
      </c>
      <c r="XEQ82" s="7" t="str">
        <f t="shared" si="15"/>
        <v/>
      </c>
      <c r="XER82" s="7" t="str">
        <f t="shared" si="16"/>
        <v/>
      </c>
    </row>
    <row r="83" spans="1:249 16369:16372" ht="23.25" customHeight="1" x14ac:dyDescent="0.25">
      <c r="A83" s="74">
        <f>IF($I83&gt;0,VLOOKUP(I83,'Lista de Precios'!$A$3:$L$2883,9,0),0)</f>
        <v>0</v>
      </c>
      <c r="B83" s="74">
        <f>IF($I83&gt;0,VLOOKUP(I83,'Lista de Precios'!$A$3:$H$2883,7,0),0)</f>
        <v>0</v>
      </c>
      <c r="C83" s="7" t="str">
        <f>IF($I83&gt;0,VLOOKUP(I83,'Lista de Precios'!$A$3:$H$2883,2,0),"")</f>
        <v/>
      </c>
      <c r="D83" s="7" t="str">
        <f>IF($I83&gt;0,VLOOKUP(I83,'Lista de Precios'!$A$3:$H$2883,3,0),"")</f>
        <v/>
      </c>
      <c r="E83" s="76" t="str">
        <f>IF($I83&gt;0,VLOOKUP(I83,'Lista de Precios'!$A$3:$H$2883,6,0),"")</f>
        <v/>
      </c>
      <c r="F83" s="76" t="str">
        <f>IF($I83&gt;0,VLOOKUP(I83,'Lista de Precios'!$A$3:$H$2883,8,0),"")</f>
        <v/>
      </c>
      <c r="G83" s="101" t="str">
        <f t="shared" si="24"/>
        <v/>
      </c>
      <c r="H83" s="20" t="s">
        <v>3</v>
      </c>
      <c r="I83" s="18"/>
      <c r="J83" s="28" t="str">
        <f t="shared" si="25"/>
        <v/>
      </c>
      <c r="K83" s="24"/>
      <c r="L83" s="37"/>
      <c r="M83" s="37"/>
      <c r="N83" s="37"/>
      <c r="O83" s="37"/>
      <c r="P83" s="40"/>
      <c r="Q83" s="39"/>
      <c r="R83" s="37"/>
      <c r="S83" s="37"/>
      <c r="T83" s="37"/>
      <c r="U83" s="37"/>
      <c r="V83" s="37"/>
      <c r="W83" s="37"/>
      <c r="X83" s="37"/>
      <c r="Y83" s="37"/>
      <c r="Z83" s="40"/>
      <c r="AA83" s="41"/>
      <c r="AB83" s="37"/>
      <c r="AC83" s="37"/>
      <c r="AD83" s="37"/>
      <c r="AE83" s="37"/>
      <c r="AF83" s="37"/>
      <c r="AG83" s="37"/>
      <c r="AH83" s="36"/>
      <c r="AI83" s="36"/>
      <c r="AJ83" s="36"/>
      <c r="AK83" s="42"/>
      <c r="AL83" s="42"/>
      <c r="AM83" s="73">
        <f t="shared" si="12"/>
        <v>0</v>
      </c>
      <c r="AN83" s="71" t="str">
        <f>+IF($I83&gt;0,VLOOKUP($I83,'Lista de Precios'!$A$3:$H$2883,4,0),"")</f>
        <v/>
      </c>
      <c r="AO83" s="68" t="str">
        <f t="shared" si="26"/>
        <v/>
      </c>
      <c r="AP83" s="7" t="str">
        <f>IF($I83&gt;0,VLOOKUP($I83,'Lista de Precios'!$A$3:$K$2883,10,0),"")</f>
        <v/>
      </c>
      <c r="AQ83" s="7" t="str">
        <f>IF($I83&gt;0,VLOOKUP($I83,'Lista de Precios'!$A$3:$M$49893,13,0),"")</f>
        <v/>
      </c>
      <c r="HQ83" s="134"/>
      <c r="HR83" s="134"/>
      <c r="HS83" s="134"/>
      <c r="HT83" s="134"/>
      <c r="HU83" s="134"/>
      <c r="HV83" s="134"/>
      <c r="HW83" s="134"/>
      <c r="HX83" s="134"/>
      <c r="HY83" s="134"/>
      <c r="HZ83" s="134"/>
      <c r="IA83" s="134"/>
      <c r="IB83" s="134"/>
      <c r="ID83" s="134"/>
      <c r="IE83" s="134"/>
      <c r="IF83" s="134"/>
      <c r="IG83" s="134"/>
      <c r="IH83" s="134"/>
      <c r="II83" s="134"/>
      <c r="IJ83" s="134"/>
      <c r="IK83" s="134"/>
      <c r="IL83" s="134"/>
      <c r="IM83" s="135"/>
      <c r="IN83" s="135"/>
      <c r="IO83" s="135"/>
      <c r="XEO83" s="7" t="str">
        <f t="shared" si="13"/>
        <v/>
      </c>
      <c r="XEP83" s="7" t="str">
        <f t="shared" si="14"/>
        <v/>
      </c>
      <c r="XEQ83" s="7" t="str">
        <f t="shared" si="15"/>
        <v/>
      </c>
      <c r="XER83" s="7" t="str">
        <f t="shared" si="16"/>
        <v/>
      </c>
    </row>
    <row r="84" spans="1:249 16369:16372" ht="23.25" customHeight="1" x14ac:dyDescent="0.25">
      <c r="A84" s="74">
        <f>IF($I84&gt;0,VLOOKUP(I84,'Lista de Precios'!$A$3:$L$2883,9,0),0)</f>
        <v>0</v>
      </c>
      <c r="B84" s="74">
        <f>IF($I84&gt;0,VLOOKUP(I84,'Lista de Precios'!$A$3:$H$2883,7,0),0)</f>
        <v>0</v>
      </c>
      <c r="C84" s="7" t="str">
        <f>IF($I84&gt;0,VLOOKUP(I84,'Lista de Precios'!$A$3:$H$2883,2,0),"")</f>
        <v/>
      </c>
      <c r="D84" s="7" t="str">
        <f>IF($I84&gt;0,VLOOKUP(I84,'Lista de Precios'!$A$3:$H$2883,3,0),"")</f>
        <v/>
      </c>
      <c r="E84" s="76" t="str">
        <f>IF($I84&gt;0,VLOOKUP(I84,'Lista de Precios'!$A$3:$H$2883,6,0),"")</f>
        <v/>
      </c>
      <c r="F84" s="76" t="str">
        <f>IF($I84&gt;0,VLOOKUP(I84,'Lista de Precios'!$A$3:$H$2883,8,0),"")</f>
        <v/>
      </c>
      <c r="G84" s="101" t="str">
        <f t="shared" si="24"/>
        <v/>
      </c>
      <c r="H84" s="20" t="s">
        <v>3</v>
      </c>
      <c r="I84" s="18"/>
      <c r="J84" s="28" t="str">
        <f t="shared" si="25"/>
        <v/>
      </c>
      <c r="K84" s="24"/>
      <c r="L84" s="37"/>
      <c r="M84" s="37"/>
      <c r="N84" s="37"/>
      <c r="O84" s="37"/>
      <c r="P84" s="40"/>
      <c r="Q84" s="39"/>
      <c r="R84" s="37"/>
      <c r="S84" s="37"/>
      <c r="T84" s="37"/>
      <c r="U84" s="37"/>
      <c r="V84" s="37"/>
      <c r="W84" s="37"/>
      <c r="X84" s="37"/>
      <c r="Y84" s="37"/>
      <c r="Z84" s="40"/>
      <c r="AA84" s="41"/>
      <c r="AB84" s="37"/>
      <c r="AC84" s="37"/>
      <c r="AD84" s="37"/>
      <c r="AE84" s="36"/>
      <c r="AF84" s="37"/>
      <c r="AG84" s="37"/>
      <c r="AH84" s="36"/>
      <c r="AI84" s="36"/>
      <c r="AJ84" s="42"/>
      <c r="AK84" s="42"/>
      <c r="AL84" s="43"/>
      <c r="AM84" s="73">
        <f t="shared" si="12"/>
        <v>0</v>
      </c>
      <c r="AN84" s="71" t="str">
        <f>+IF($I84&gt;0,VLOOKUP($I84,'Lista de Precios'!$A$3:$H$2883,4,0),"")</f>
        <v/>
      </c>
      <c r="AO84" s="68" t="str">
        <f t="shared" si="26"/>
        <v/>
      </c>
      <c r="AP84" s="7" t="str">
        <f>IF($I84&gt;0,VLOOKUP($I84,'Lista de Precios'!$A$3:$K$2883,10,0),"")</f>
        <v/>
      </c>
      <c r="AQ84" s="7" t="str">
        <f>IF($I84&gt;0,VLOOKUP($I84,'Lista de Precios'!$A$3:$M$49893,13,0),"")</f>
        <v/>
      </c>
      <c r="HQ84" s="134"/>
      <c r="HR84" s="134"/>
      <c r="HS84" s="134"/>
      <c r="HT84" s="134"/>
      <c r="HU84" s="134"/>
      <c r="HV84" s="134"/>
      <c r="HW84" s="134"/>
      <c r="HX84" s="134"/>
      <c r="HY84" s="134"/>
      <c r="HZ84" s="134"/>
      <c r="IA84" s="134"/>
      <c r="IB84" s="134"/>
      <c r="ID84" s="134"/>
      <c r="IE84" s="134"/>
      <c r="IF84" s="134"/>
      <c r="IG84" s="134"/>
      <c r="IH84" s="134"/>
      <c r="II84" s="134"/>
      <c r="IJ84" s="134"/>
      <c r="IK84" s="134"/>
      <c r="IL84" s="134"/>
      <c r="IM84" s="135"/>
      <c r="IN84" s="135"/>
      <c r="IO84" s="135"/>
      <c r="XEO84" s="7" t="str">
        <f t="shared" si="13"/>
        <v/>
      </c>
      <c r="XEP84" s="7" t="str">
        <f t="shared" si="14"/>
        <v/>
      </c>
      <c r="XEQ84" s="7" t="str">
        <f t="shared" si="15"/>
        <v/>
      </c>
      <c r="XER84" s="7" t="str">
        <f t="shared" si="16"/>
        <v/>
      </c>
    </row>
    <row r="85" spans="1:249 16369:16372" ht="23.25" customHeight="1" x14ac:dyDescent="0.25">
      <c r="A85" s="74">
        <f>IF($I85&gt;0,VLOOKUP(I85,'Lista de Precios'!$A$3:$L$2883,9,0),0)</f>
        <v>0</v>
      </c>
      <c r="B85" s="74">
        <f>IF($I85&gt;0,VLOOKUP(I85,'Lista de Precios'!$A$3:$H$2883,7,0),0)</f>
        <v>0</v>
      </c>
      <c r="C85" s="7" t="str">
        <f>IF($I85&gt;0,VLOOKUP(I85,'Lista de Precios'!$A$3:$H$2883,2,0),"")</f>
        <v/>
      </c>
      <c r="D85" s="7" t="str">
        <f>IF($I85&gt;0,VLOOKUP(I85,'Lista de Precios'!$A$3:$H$2883,3,0),"")</f>
        <v/>
      </c>
      <c r="E85" s="76" t="str">
        <f>IF($I85&gt;0,VLOOKUP(I85,'Lista de Precios'!$A$3:$H$2883,6,0),"")</f>
        <v/>
      </c>
      <c r="F85" s="76" t="str">
        <f>IF($I85&gt;0,VLOOKUP(I85,'Lista de Precios'!$A$3:$H$2883,8,0),"")</f>
        <v/>
      </c>
      <c r="G85" s="101" t="str">
        <f t="shared" si="24"/>
        <v/>
      </c>
      <c r="H85" s="20" t="s">
        <v>3</v>
      </c>
      <c r="I85" s="18"/>
      <c r="J85" s="28" t="str">
        <f t="shared" si="25"/>
        <v/>
      </c>
      <c r="K85" s="24"/>
      <c r="L85" s="37"/>
      <c r="M85" s="37"/>
      <c r="N85" s="37"/>
      <c r="O85" s="37"/>
      <c r="P85" s="40"/>
      <c r="Q85" s="39"/>
      <c r="R85" s="37"/>
      <c r="S85" s="37"/>
      <c r="T85" s="37"/>
      <c r="U85" s="37"/>
      <c r="V85" s="37"/>
      <c r="W85" s="37"/>
      <c r="X85" s="37"/>
      <c r="Y85" s="37"/>
      <c r="Z85" s="37"/>
      <c r="AA85" s="41"/>
      <c r="AB85" s="37"/>
      <c r="AC85" s="37"/>
      <c r="AD85" s="37"/>
      <c r="AE85" s="36"/>
      <c r="AF85" s="37"/>
      <c r="AG85" s="37"/>
      <c r="AH85" s="36"/>
      <c r="AI85" s="36"/>
      <c r="AJ85" s="42"/>
      <c r="AK85" s="42"/>
      <c r="AL85" s="42"/>
      <c r="AM85" s="73">
        <f t="shared" si="12"/>
        <v>0</v>
      </c>
      <c r="AN85" s="71" t="str">
        <f>+IF($I85&gt;0,VLOOKUP($I85,'Lista de Precios'!$A$3:$H$2883,4,0),"")</f>
        <v/>
      </c>
      <c r="AO85" s="68" t="str">
        <f t="shared" si="26"/>
        <v/>
      </c>
      <c r="AP85" s="7" t="str">
        <f>IF($I85&gt;0,VLOOKUP($I85,'Lista de Precios'!$A$3:$K$2883,10,0),"")</f>
        <v/>
      </c>
      <c r="AQ85" s="7" t="str">
        <f>IF($I85&gt;0,VLOOKUP($I85,'Lista de Precios'!$A$3:$M$49893,13,0),"")</f>
        <v/>
      </c>
      <c r="HQ85" s="134"/>
      <c r="HR85" s="134"/>
      <c r="HS85" s="134"/>
      <c r="HT85" s="134"/>
      <c r="HU85" s="134"/>
      <c r="HV85" s="134"/>
      <c r="HW85" s="134"/>
      <c r="HX85" s="134"/>
      <c r="HY85" s="134"/>
      <c r="HZ85" s="134"/>
      <c r="IA85" s="134"/>
      <c r="IB85" s="134"/>
      <c r="ID85" s="134"/>
      <c r="IE85" s="134"/>
      <c r="IF85" s="134"/>
      <c r="IG85" s="134"/>
      <c r="IH85" s="134"/>
      <c r="II85" s="134"/>
      <c r="IJ85" s="134"/>
      <c r="IK85" s="134"/>
      <c r="IL85" s="134"/>
      <c r="IM85" s="135"/>
      <c r="IN85" s="135"/>
      <c r="IO85" s="135"/>
      <c r="XEO85" s="7" t="str">
        <f t="shared" si="13"/>
        <v/>
      </c>
      <c r="XEP85" s="7" t="str">
        <f t="shared" si="14"/>
        <v/>
      </c>
      <c r="XEQ85" s="7" t="str">
        <f t="shared" si="15"/>
        <v/>
      </c>
      <c r="XER85" s="7" t="str">
        <f t="shared" si="16"/>
        <v/>
      </c>
    </row>
    <row r="86" spans="1:249 16369:16372" ht="23.25" customHeight="1" x14ac:dyDescent="0.25">
      <c r="A86" s="74">
        <f>IF($I86&gt;0,VLOOKUP(I86,'Lista de Precios'!$A$3:$L$2883,9,0),0)</f>
        <v>0</v>
      </c>
      <c r="B86" s="74">
        <f>IF($I86&gt;0,VLOOKUP(I86,'Lista de Precios'!$A$3:$H$2883,7,0),0)</f>
        <v>0</v>
      </c>
      <c r="C86" s="7" t="str">
        <f>IF($I86&gt;0,VLOOKUP(I86,'Lista de Precios'!$A$3:$H$2883,2,0),"")</f>
        <v/>
      </c>
      <c r="D86" s="7" t="str">
        <f>IF($I86&gt;0,VLOOKUP(I86,'Lista de Precios'!$A$3:$H$2883,3,0),"")</f>
        <v/>
      </c>
      <c r="E86" s="76" t="str">
        <f>IF($I86&gt;0,VLOOKUP(I86,'Lista de Precios'!$A$3:$H$2883,6,0),"")</f>
        <v/>
      </c>
      <c r="F86" s="76" t="str">
        <f>IF($I86&gt;0,VLOOKUP(I86,'Lista de Precios'!$A$3:$H$2883,8,0),"")</f>
        <v/>
      </c>
      <c r="G86" s="101" t="str">
        <f t="shared" si="24"/>
        <v/>
      </c>
      <c r="H86" s="20" t="s">
        <v>3</v>
      </c>
      <c r="I86" s="18"/>
      <c r="J86" s="28" t="str">
        <f t="shared" si="25"/>
        <v/>
      </c>
      <c r="K86" s="24"/>
      <c r="L86" s="37"/>
      <c r="M86" s="37"/>
      <c r="N86" s="37"/>
      <c r="O86" s="37"/>
      <c r="P86" s="40"/>
      <c r="Q86" s="39"/>
      <c r="R86" s="37"/>
      <c r="S86" s="37"/>
      <c r="T86" s="37"/>
      <c r="U86" s="37"/>
      <c r="V86" s="37"/>
      <c r="W86" s="37"/>
      <c r="X86" s="37"/>
      <c r="Y86" s="37"/>
      <c r="Z86" s="40"/>
      <c r="AA86" s="41"/>
      <c r="AB86" s="37"/>
      <c r="AC86" s="37"/>
      <c r="AD86" s="37"/>
      <c r="AE86" s="36"/>
      <c r="AF86" s="37"/>
      <c r="AG86" s="37"/>
      <c r="AH86" s="36"/>
      <c r="AI86" s="36"/>
      <c r="AJ86" s="42"/>
      <c r="AK86" s="42"/>
      <c r="AL86" s="42"/>
      <c r="AM86" s="73">
        <f t="shared" si="12"/>
        <v>0</v>
      </c>
      <c r="AN86" s="71" t="str">
        <f>+IF($I86&gt;0,VLOOKUP($I86,'Lista de Precios'!$A$3:$H$2883,4,0),"")</f>
        <v/>
      </c>
      <c r="AO86" s="68" t="str">
        <f t="shared" si="26"/>
        <v/>
      </c>
      <c r="AP86" s="7" t="str">
        <f>IF($I86&gt;0,VLOOKUP($I86,'Lista de Precios'!$A$3:$K$2883,10,0),"")</f>
        <v/>
      </c>
      <c r="AQ86" s="7" t="str">
        <f>IF($I86&gt;0,VLOOKUP($I86,'Lista de Precios'!$A$3:$M$49893,13,0),"")</f>
        <v/>
      </c>
      <c r="HQ86" s="134"/>
      <c r="HR86" s="134"/>
      <c r="HS86" s="134"/>
      <c r="HT86" s="134"/>
      <c r="HU86" s="134"/>
      <c r="HV86" s="134"/>
      <c r="HW86" s="134"/>
      <c r="HX86" s="134"/>
      <c r="HY86" s="134"/>
      <c r="HZ86" s="134"/>
      <c r="IA86" s="134"/>
      <c r="IB86" s="134"/>
      <c r="ID86" s="134"/>
      <c r="IE86" s="134"/>
      <c r="IF86" s="134"/>
      <c r="IG86" s="134"/>
      <c r="IH86" s="134"/>
      <c r="II86" s="134"/>
      <c r="IJ86" s="134"/>
      <c r="IK86" s="134"/>
      <c r="IL86" s="134"/>
      <c r="IM86" s="135"/>
      <c r="IN86" s="135"/>
      <c r="IO86" s="135"/>
      <c r="XEO86" s="7" t="str">
        <f t="shared" si="13"/>
        <v/>
      </c>
      <c r="XEP86" s="7" t="str">
        <f t="shared" si="14"/>
        <v/>
      </c>
      <c r="XEQ86" s="7" t="str">
        <f t="shared" si="15"/>
        <v/>
      </c>
      <c r="XER86" s="7" t="str">
        <f t="shared" si="16"/>
        <v/>
      </c>
    </row>
    <row r="87" spans="1:249 16369:16372" ht="23.25" customHeight="1" x14ac:dyDescent="0.25">
      <c r="A87" s="74">
        <f>IF($I87&gt;0,VLOOKUP(I87,'Lista de Precios'!$A$3:$L$2883,9,0),0)</f>
        <v>0</v>
      </c>
      <c r="B87" s="74">
        <f>IF($I87&gt;0,VLOOKUP(I87,'Lista de Precios'!$A$3:$H$2883,7,0),0)</f>
        <v>0</v>
      </c>
      <c r="C87" s="7" t="str">
        <f>IF($I87&gt;0,VLOOKUP(I87,'Lista de Precios'!$A$3:$H$2883,2,0),"")</f>
        <v/>
      </c>
      <c r="D87" s="7" t="str">
        <f>IF($I87&gt;0,VLOOKUP(I87,'Lista de Precios'!$A$3:$H$2883,3,0),"")</f>
        <v/>
      </c>
      <c r="E87" s="76" t="str">
        <f>IF($I87&gt;0,VLOOKUP(I87,'Lista de Precios'!$A$3:$H$2883,6,0),"")</f>
        <v/>
      </c>
      <c r="F87" s="76" t="str">
        <f>IF($I87&gt;0,VLOOKUP(I87,'Lista de Precios'!$A$3:$H$2883,8,0),"")</f>
        <v/>
      </c>
      <c r="G87" s="101" t="str">
        <f t="shared" si="24"/>
        <v/>
      </c>
      <c r="H87" s="20" t="s">
        <v>3</v>
      </c>
      <c r="I87" s="18"/>
      <c r="J87" s="28" t="str">
        <f t="shared" si="25"/>
        <v/>
      </c>
      <c r="K87" s="24"/>
      <c r="L87" s="37"/>
      <c r="M87" s="37"/>
      <c r="N87" s="37"/>
      <c r="O87" s="37"/>
      <c r="P87" s="40"/>
      <c r="Q87" s="39"/>
      <c r="R87" s="37"/>
      <c r="S87" s="37"/>
      <c r="T87" s="37"/>
      <c r="U87" s="37"/>
      <c r="V87" s="37"/>
      <c r="W87" s="37"/>
      <c r="X87" s="37"/>
      <c r="Y87" s="37"/>
      <c r="Z87" s="40"/>
      <c r="AA87" s="41"/>
      <c r="AB87" s="37"/>
      <c r="AC87" s="37"/>
      <c r="AD87" s="37"/>
      <c r="AE87" s="36"/>
      <c r="AF87" s="37"/>
      <c r="AG87" s="37"/>
      <c r="AH87" s="36"/>
      <c r="AI87" s="36"/>
      <c r="AJ87" s="42"/>
      <c r="AK87" s="42"/>
      <c r="AL87" s="42"/>
      <c r="AM87" s="73">
        <f t="shared" si="12"/>
        <v>0</v>
      </c>
      <c r="AN87" s="71" t="str">
        <f>+IF($I87&gt;0,VLOOKUP($I87,'Lista de Precios'!$A$3:$H$2883,4,0),"")</f>
        <v/>
      </c>
      <c r="AO87" s="68" t="str">
        <f t="shared" si="26"/>
        <v/>
      </c>
      <c r="AP87" s="7" t="str">
        <f>IF($I87&gt;0,VLOOKUP($I87,'Lista de Precios'!$A$3:$K$2883,10,0),"")</f>
        <v/>
      </c>
      <c r="AQ87" s="7" t="str">
        <f>IF($I87&gt;0,VLOOKUP($I87,'Lista de Precios'!$A$3:$M$49893,13,0),"")</f>
        <v/>
      </c>
      <c r="HQ87" s="134"/>
      <c r="HR87" s="134"/>
      <c r="HS87" s="134"/>
      <c r="HT87" s="134"/>
      <c r="HU87" s="134"/>
      <c r="HV87" s="134"/>
      <c r="HW87" s="134"/>
      <c r="HX87" s="134"/>
      <c r="HY87" s="134"/>
      <c r="HZ87" s="134"/>
      <c r="IA87" s="134"/>
      <c r="IB87" s="134"/>
      <c r="ID87" s="134"/>
      <c r="IE87" s="134"/>
      <c r="IF87" s="134"/>
      <c r="IG87" s="134"/>
      <c r="IH87" s="134"/>
      <c r="II87" s="134"/>
      <c r="IJ87" s="134"/>
      <c r="IK87" s="134"/>
      <c r="IL87" s="134"/>
      <c r="IM87" s="135"/>
      <c r="IN87" s="135"/>
      <c r="IO87" s="135"/>
      <c r="XEO87" s="7" t="str">
        <f t="shared" si="13"/>
        <v/>
      </c>
      <c r="XEP87" s="7" t="str">
        <f t="shared" si="14"/>
        <v/>
      </c>
      <c r="XEQ87" s="7" t="str">
        <f t="shared" si="15"/>
        <v/>
      </c>
      <c r="XER87" s="7" t="str">
        <f t="shared" si="16"/>
        <v/>
      </c>
    </row>
    <row r="88" spans="1:249 16369:16372" ht="23.25" customHeight="1" x14ac:dyDescent="0.25">
      <c r="A88" s="74">
        <f>IF($I88&gt;0,VLOOKUP(I88,'Lista de Precios'!$A$3:$L$2883,9,0),0)</f>
        <v>0</v>
      </c>
      <c r="B88" s="74">
        <f>IF($I88&gt;0,VLOOKUP(I88,'Lista de Precios'!$A$3:$H$2883,7,0),0)</f>
        <v>0</v>
      </c>
      <c r="C88" s="7" t="str">
        <f>IF($I88&gt;0,VLOOKUP(I88,'Lista de Precios'!$A$3:$H$2883,2,0),"")</f>
        <v/>
      </c>
      <c r="D88" s="7" t="str">
        <f>IF($I88&gt;0,VLOOKUP(I88,'Lista de Precios'!$A$3:$H$2883,3,0),"")</f>
        <v/>
      </c>
      <c r="E88" s="76" t="str">
        <f>IF($I88&gt;0,VLOOKUP(I88,'Lista de Precios'!$A$3:$H$2883,6,0),"")</f>
        <v/>
      </c>
      <c r="F88" s="76" t="str">
        <f>IF($I88&gt;0,VLOOKUP(I88,'Lista de Precios'!$A$3:$H$2883,8,0),"")</f>
        <v/>
      </c>
      <c r="G88" s="101" t="str">
        <f t="shared" si="24"/>
        <v/>
      </c>
      <c r="H88" s="20" t="s">
        <v>3</v>
      </c>
      <c r="I88" s="18"/>
      <c r="J88" s="28" t="str">
        <f t="shared" si="25"/>
        <v/>
      </c>
      <c r="K88" s="24"/>
      <c r="L88" s="37"/>
      <c r="M88" s="37"/>
      <c r="N88" s="37"/>
      <c r="O88" s="37"/>
      <c r="P88" s="40"/>
      <c r="Q88" s="39"/>
      <c r="R88" s="37"/>
      <c r="S88" s="37"/>
      <c r="T88" s="37"/>
      <c r="U88" s="37"/>
      <c r="V88" s="37"/>
      <c r="W88" s="37"/>
      <c r="X88" s="37"/>
      <c r="Y88" s="37"/>
      <c r="Z88" s="40"/>
      <c r="AA88" s="41"/>
      <c r="AB88" s="37"/>
      <c r="AC88" s="37"/>
      <c r="AD88" s="37"/>
      <c r="AE88" s="37"/>
      <c r="AF88" s="37"/>
      <c r="AG88" s="57"/>
      <c r="AH88" s="54"/>
      <c r="AI88" s="54"/>
      <c r="AJ88" s="54"/>
      <c r="AK88" s="54"/>
      <c r="AL88" s="54"/>
      <c r="AM88" s="73">
        <f t="shared" si="12"/>
        <v>0</v>
      </c>
      <c r="AN88" s="71" t="str">
        <f>+IF($I88&gt;0,VLOOKUP($I88,'Lista de Precios'!$A$3:$H$2883,4,0),"")</f>
        <v/>
      </c>
      <c r="AO88" s="68" t="str">
        <f t="shared" si="26"/>
        <v/>
      </c>
      <c r="AP88" s="7" t="str">
        <f>IF($I88&gt;0,VLOOKUP($I88,'Lista de Precios'!$A$3:$K$2883,10,0),"")</f>
        <v/>
      </c>
      <c r="AQ88" s="7" t="str">
        <f>IF($I88&gt;0,VLOOKUP($I88,'Lista de Precios'!$A$3:$M$49893,13,0),"")</f>
        <v/>
      </c>
      <c r="HQ88" s="134"/>
      <c r="HR88" s="134"/>
      <c r="HS88" s="134"/>
      <c r="HT88" s="134"/>
      <c r="HU88" s="134"/>
      <c r="HV88" s="134"/>
      <c r="HW88" s="134"/>
      <c r="HX88" s="134"/>
      <c r="HY88" s="134"/>
      <c r="HZ88" s="134"/>
      <c r="IA88" s="134"/>
      <c r="IB88" s="134"/>
      <c r="ID88" s="134"/>
      <c r="IE88" s="134"/>
      <c r="IF88" s="134"/>
      <c r="IG88" s="134"/>
      <c r="IH88" s="134"/>
      <c r="II88" s="134"/>
      <c r="IJ88" s="134"/>
      <c r="IK88" s="134"/>
      <c r="IL88" s="134"/>
      <c r="IM88" s="135"/>
      <c r="IN88" s="135"/>
      <c r="IO88" s="135"/>
      <c r="XEO88" s="7" t="str">
        <f t="shared" si="13"/>
        <v/>
      </c>
      <c r="XEP88" s="7" t="str">
        <f t="shared" si="14"/>
        <v/>
      </c>
      <c r="XEQ88" s="7" t="str">
        <f t="shared" si="15"/>
        <v/>
      </c>
      <c r="XER88" s="7" t="str">
        <f t="shared" si="16"/>
        <v/>
      </c>
    </row>
    <row r="89" spans="1:249 16369:16372" ht="23.25" customHeight="1" x14ac:dyDescent="0.25">
      <c r="A89" s="74">
        <f>IF($I89&gt;0,VLOOKUP(I89,'Lista de Precios'!$A$3:$L$2883,9,0),0)</f>
        <v>0</v>
      </c>
      <c r="B89" s="74">
        <f>IF($I89&gt;0,VLOOKUP(I89,'Lista de Precios'!$A$3:$H$2883,7,0),0)</f>
        <v>0</v>
      </c>
      <c r="C89" s="7" t="str">
        <f>IF($I89&gt;0,VLOOKUP(I89,'Lista de Precios'!$A$3:$H$2883,2,0),"")</f>
        <v/>
      </c>
      <c r="D89" s="7" t="str">
        <f>IF($I89&gt;0,VLOOKUP(I89,'Lista de Precios'!$A$3:$H$2883,3,0),"")</f>
        <v/>
      </c>
      <c r="E89" s="76" t="str">
        <f>IF($I89&gt;0,VLOOKUP(I89,'Lista de Precios'!$A$3:$H$2883,6,0),"")</f>
        <v/>
      </c>
      <c r="F89" s="76" t="str">
        <f>IF($I89&gt;0,VLOOKUP(I89,'Lista de Precios'!$A$3:$H$2883,8,0),"")</f>
        <v/>
      </c>
      <c r="G89" s="101" t="str">
        <f t="shared" si="24"/>
        <v/>
      </c>
      <c r="H89" s="20" t="s">
        <v>3</v>
      </c>
      <c r="I89" s="18"/>
      <c r="J89" s="28" t="str">
        <f t="shared" si="25"/>
        <v/>
      </c>
      <c r="K89" s="24"/>
      <c r="L89" s="37"/>
      <c r="M89" s="37"/>
      <c r="N89" s="37"/>
      <c r="O89" s="37"/>
      <c r="P89" s="40"/>
      <c r="Q89" s="39"/>
      <c r="R89" s="37"/>
      <c r="S89" s="37"/>
      <c r="T89" s="37"/>
      <c r="U89" s="37"/>
      <c r="V89" s="37"/>
      <c r="W89" s="37"/>
      <c r="X89" s="37"/>
      <c r="Y89" s="37"/>
      <c r="Z89" s="40"/>
      <c r="AA89" s="41"/>
      <c r="AB89" s="37"/>
      <c r="AC89" s="37"/>
      <c r="AD89" s="37"/>
      <c r="AE89" s="37"/>
      <c r="AF89" s="37"/>
      <c r="AG89" s="57"/>
      <c r="AH89" s="54"/>
      <c r="AI89" s="54"/>
      <c r="AJ89" s="42"/>
      <c r="AK89" s="42"/>
      <c r="AL89" s="42"/>
      <c r="AM89" s="73">
        <f t="shared" ref="AM89:AM111" si="27">+IF(I89&gt;0,SUM(L89:AL89),0)</f>
        <v>0</v>
      </c>
      <c r="AN89" s="71" t="str">
        <f>+IF($I89&gt;0,VLOOKUP($I89,'Lista de Precios'!$A$3:$H$2883,4,0),"")</f>
        <v/>
      </c>
      <c r="AO89" s="68" t="str">
        <f t="shared" si="26"/>
        <v/>
      </c>
      <c r="AP89" s="7" t="str">
        <f>IF($I89&gt;0,VLOOKUP($I89,'Lista de Precios'!$A$3:$K$2883,10,0),"")</f>
        <v/>
      </c>
      <c r="AQ89" s="7" t="str">
        <f>IF($I89&gt;0,VLOOKUP($I89,'Lista de Precios'!$A$3:$M$49893,13,0),"")</f>
        <v/>
      </c>
      <c r="HQ89" s="134"/>
      <c r="HR89" s="134"/>
      <c r="HS89" s="134"/>
      <c r="HT89" s="134"/>
      <c r="HU89" s="134"/>
      <c r="HV89" s="134"/>
      <c r="HW89" s="134"/>
      <c r="HX89" s="134"/>
      <c r="HY89" s="134"/>
      <c r="HZ89" s="134"/>
      <c r="IA89" s="134"/>
      <c r="IB89" s="134"/>
      <c r="ID89" s="134"/>
      <c r="IE89" s="134"/>
      <c r="IF89" s="134"/>
      <c r="IG89" s="134"/>
      <c r="IH89" s="134"/>
      <c r="II89" s="134"/>
      <c r="IJ89" s="134"/>
      <c r="IK89" s="134"/>
      <c r="IL89" s="134"/>
      <c r="IM89" s="135"/>
      <c r="IN89" s="135"/>
      <c r="IO89" s="135"/>
      <c r="XEO89" s="7" t="str">
        <f t="shared" ref="XEO89:XEO111" si="28">+IF($AQ89=$XEO$13,$AM89,"")</f>
        <v/>
      </c>
      <c r="XEP89" s="7" t="str">
        <f t="shared" ref="XEP89:XEP111" si="29">+IF($AQ89=$XEP$13,$AM89,"")</f>
        <v/>
      </c>
      <c r="XEQ89" s="7" t="str">
        <f t="shared" ref="XEQ89:XEQ111" si="30">+IF($AQ89=$XEQ$13,$AM89,"")</f>
        <v/>
      </c>
      <c r="XER89" s="7" t="str">
        <f t="shared" ref="XER89:XER111" si="31">+IF($AQ89=$XER$13,$AM89,"")</f>
        <v/>
      </c>
    </row>
    <row r="90" spans="1:249 16369:16372" ht="23.25" customHeight="1" x14ac:dyDescent="0.25">
      <c r="A90" s="74">
        <f>IF($I90&gt;0,VLOOKUP(I90,'Lista de Precios'!$A$3:$L$2883,9,0),0)</f>
        <v>0</v>
      </c>
      <c r="B90" s="74">
        <f>IF($I90&gt;0,VLOOKUP(I90,'Lista de Precios'!$A$3:$H$2883,7,0),0)</f>
        <v>0</v>
      </c>
      <c r="C90" s="7" t="str">
        <f>IF($I90&gt;0,VLOOKUP(I90,'Lista de Precios'!$A$3:$H$2883,2,0),"")</f>
        <v/>
      </c>
      <c r="D90" s="7" t="str">
        <f>IF($I90&gt;0,VLOOKUP(I90,'Lista de Precios'!$A$3:$H$2883,3,0),"")</f>
        <v/>
      </c>
      <c r="E90" s="76" t="str">
        <f>IF($I90&gt;0,VLOOKUP(I90,'Lista de Precios'!$A$3:$H$2883,6,0),"")</f>
        <v/>
      </c>
      <c r="F90" s="76" t="str">
        <f>IF($I90&gt;0,VLOOKUP(I90,'Lista de Precios'!$A$3:$H$2883,8,0),"")</f>
        <v/>
      </c>
      <c r="G90" s="101" t="str">
        <f t="shared" si="24"/>
        <v/>
      </c>
      <c r="H90" s="20" t="s">
        <v>3</v>
      </c>
      <c r="I90" s="18"/>
      <c r="J90" s="28" t="str">
        <f t="shared" si="25"/>
        <v/>
      </c>
      <c r="K90" s="24"/>
      <c r="L90" s="37"/>
      <c r="M90" s="37"/>
      <c r="N90" s="37"/>
      <c r="O90" s="37"/>
      <c r="P90" s="40"/>
      <c r="Q90" s="39"/>
      <c r="R90" s="37"/>
      <c r="S90" s="37"/>
      <c r="T90" s="37"/>
      <c r="U90" s="37"/>
      <c r="V90" s="37"/>
      <c r="W90" s="37"/>
      <c r="X90" s="37"/>
      <c r="Y90" s="37"/>
      <c r="Z90" s="40"/>
      <c r="AA90" s="41"/>
      <c r="AB90" s="37"/>
      <c r="AC90" s="37"/>
      <c r="AD90" s="37"/>
      <c r="AE90" s="37"/>
      <c r="AF90" s="37"/>
      <c r="AG90" s="37"/>
      <c r="AH90" s="42"/>
      <c r="AI90" s="42"/>
      <c r="AJ90" s="43"/>
      <c r="AK90" s="43"/>
      <c r="AL90" s="43"/>
      <c r="AM90" s="73">
        <f t="shared" si="27"/>
        <v>0</v>
      </c>
      <c r="AN90" s="71" t="str">
        <f>+IF($I90&gt;0,VLOOKUP($I90,'Lista de Precios'!$A$3:$H$2883,4,0),"")</f>
        <v/>
      </c>
      <c r="AO90" s="68" t="str">
        <f t="shared" si="26"/>
        <v/>
      </c>
      <c r="AP90" s="7" t="str">
        <f>IF($I90&gt;0,VLOOKUP($I90,'Lista de Precios'!$A$3:$K$2883,10,0),"")</f>
        <v/>
      </c>
      <c r="AQ90" s="7" t="str">
        <f>IF($I90&gt;0,VLOOKUP($I90,'Lista de Precios'!$A$3:$M$49893,13,0),"")</f>
        <v/>
      </c>
      <c r="HQ90" s="134"/>
      <c r="HR90" s="134"/>
      <c r="HS90" s="134"/>
      <c r="HT90" s="134"/>
      <c r="HU90" s="134"/>
      <c r="HV90" s="134"/>
      <c r="HW90" s="134"/>
      <c r="HX90" s="134"/>
      <c r="HY90" s="134"/>
      <c r="HZ90" s="134"/>
      <c r="IA90" s="134"/>
      <c r="IB90" s="134"/>
      <c r="ID90" s="134"/>
      <c r="IE90" s="134"/>
      <c r="IF90" s="134"/>
      <c r="IG90" s="134"/>
      <c r="IH90" s="134"/>
      <c r="II90" s="134"/>
      <c r="IJ90" s="134"/>
      <c r="IK90" s="134"/>
      <c r="IL90" s="134"/>
      <c r="IM90" s="135"/>
      <c r="IN90" s="135"/>
      <c r="IO90" s="135"/>
      <c r="XEO90" s="7" t="str">
        <f t="shared" si="28"/>
        <v/>
      </c>
      <c r="XEP90" s="7" t="str">
        <f t="shared" si="29"/>
        <v/>
      </c>
      <c r="XEQ90" s="7" t="str">
        <f t="shared" si="30"/>
        <v/>
      </c>
      <c r="XER90" s="7" t="str">
        <f t="shared" si="31"/>
        <v/>
      </c>
    </row>
    <row r="91" spans="1:249 16369:16372" ht="23.25" customHeight="1" x14ac:dyDescent="0.25">
      <c r="A91" s="74">
        <f>IF($I91&gt;0,VLOOKUP(I91,'Lista de Precios'!$A$3:$L$2883,9,0),0)</f>
        <v>0</v>
      </c>
      <c r="B91" s="74">
        <f>IF($I91&gt;0,VLOOKUP(I91,'Lista de Precios'!$A$3:$H$2883,7,0),0)</f>
        <v>0</v>
      </c>
      <c r="C91" s="7" t="str">
        <f>IF($I91&gt;0,VLOOKUP(I91,'Lista de Precios'!$A$3:$H$2883,2,0),"")</f>
        <v/>
      </c>
      <c r="D91" s="7" t="str">
        <f>IF($I91&gt;0,VLOOKUP(I91,'Lista de Precios'!$A$3:$H$2883,3,0),"")</f>
        <v/>
      </c>
      <c r="E91" s="76" t="str">
        <f>IF($I91&gt;0,VLOOKUP(I91,'Lista de Precios'!$A$3:$H$2883,6,0),"")</f>
        <v/>
      </c>
      <c r="F91" s="76" t="str">
        <f>IF($I91&gt;0,VLOOKUP(I91,'Lista de Precios'!$A$3:$H$2883,8,0),"")</f>
        <v/>
      </c>
      <c r="G91" s="101" t="str">
        <f t="shared" si="24"/>
        <v/>
      </c>
      <c r="H91" s="20" t="s">
        <v>3</v>
      </c>
      <c r="I91" s="18"/>
      <c r="J91" s="28" t="str">
        <f t="shared" si="25"/>
        <v/>
      </c>
      <c r="K91" s="24"/>
      <c r="L91" s="36"/>
      <c r="M91" s="36"/>
      <c r="N91" s="36"/>
      <c r="O91" s="37"/>
      <c r="P91" s="38"/>
      <c r="Q91" s="39"/>
      <c r="R91" s="37"/>
      <c r="S91" s="37"/>
      <c r="T91" s="37"/>
      <c r="U91" s="37"/>
      <c r="V91" s="37"/>
      <c r="W91" s="37"/>
      <c r="X91" s="37"/>
      <c r="Y91" s="37"/>
      <c r="Z91" s="40"/>
      <c r="AA91" s="41"/>
      <c r="AB91" s="37"/>
      <c r="AC91" s="37"/>
      <c r="AD91" s="37"/>
      <c r="AE91" s="37"/>
      <c r="AF91" s="37"/>
      <c r="AG91" s="37"/>
      <c r="AH91" s="42"/>
      <c r="AI91" s="42"/>
      <c r="AJ91" s="43"/>
      <c r="AK91" s="43"/>
      <c r="AL91" s="43"/>
      <c r="AM91" s="73">
        <f t="shared" si="27"/>
        <v>0</v>
      </c>
      <c r="AN91" s="71" t="str">
        <f>+IF($I91&gt;0,VLOOKUP($I91,'Lista de Precios'!$A$3:$H$2883,4,0),"")</f>
        <v/>
      </c>
      <c r="AO91" s="68" t="str">
        <f t="shared" si="26"/>
        <v/>
      </c>
      <c r="AP91" s="7" t="str">
        <f>IF($I91&gt;0,VLOOKUP($I91,'Lista de Precios'!$A$3:$K$2883,10,0),"")</f>
        <v/>
      </c>
      <c r="AQ91" s="7" t="str">
        <f>IF($I91&gt;0,VLOOKUP($I91,'Lista de Precios'!$A$3:$M$49893,13,0),"")</f>
        <v/>
      </c>
      <c r="HQ91" s="134"/>
      <c r="HR91" s="134"/>
      <c r="HS91" s="134"/>
      <c r="HT91" s="134"/>
      <c r="HU91" s="134"/>
      <c r="HV91" s="134"/>
      <c r="HW91" s="134"/>
      <c r="HX91" s="134"/>
      <c r="HY91" s="134"/>
      <c r="HZ91" s="134"/>
      <c r="IA91" s="134"/>
      <c r="IB91" s="134"/>
      <c r="ID91" s="134"/>
      <c r="IE91" s="134"/>
      <c r="IF91" s="134"/>
      <c r="IG91" s="134"/>
      <c r="IH91" s="134"/>
      <c r="II91" s="134"/>
      <c r="IJ91" s="134"/>
      <c r="IK91" s="134"/>
      <c r="IL91" s="134"/>
      <c r="IM91" s="135"/>
      <c r="IN91" s="135"/>
      <c r="IO91" s="135"/>
      <c r="XEO91" s="7" t="str">
        <f t="shared" si="28"/>
        <v/>
      </c>
      <c r="XEP91" s="7" t="str">
        <f t="shared" si="29"/>
        <v/>
      </c>
      <c r="XEQ91" s="7" t="str">
        <f t="shared" si="30"/>
        <v/>
      </c>
      <c r="XER91" s="7" t="str">
        <f t="shared" si="31"/>
        <v/>
      </c>
    </row>
    <row r="92" spans="1:249 16369:16372" ht="23.25" customHeight="1" x14ac:dyDescent="0.25">
      <c r="A92" s="74">
        <f>IF($I92&gt;0,VLOOKUP(I92,'Lista de Precios'!$A$3:$L$2883,9,0),0)</f>
        <v>0</v>
      </c>
      <c r="B92" s="74">
        <f>IF($I92&gt;0,VLOOKUP(I92,'Lista de Precios'!$A$3:$H$2883,7,0),0)</f>
        <v>0</v>
      </c>
      <c r="C92" s="7" t="str">
        <f>IF($I92&gt;0,VLOOKUP(I92,'Lista de Precios'!$A$3:$H$2883,2,0),"")</f>
        <v/>
      </c>
      <c r="D92" s="7" t="str">
        <f>IF($I92&gt;0,VLOOKUP(I92,'Lista de Precios'!$A$3:$H$2883,3,0),"")</f>
        <v/>
      </c>
      <c r="E92" s="76" t="str">
        <f>IF($I92&gt;0,VLOOKUP(I92,'Lista de Precios'!$A$3:$H$2883,6,0),"")</f>
        <v/>
      </c>
      <c r="F92" s="76" t="str">
        <f>IF($I92&gt;0,VLOOKUP(I92,'Lista de Precios'!$A$3:$H$2883,8,0),"")</f>
        <v/>
      </c>
      <c r="G92" s="101" t="str">
        <f t="shared" si="24"/>
        <v/>
      </c>
      <c r="H92" s="20" t="s">
        <v>3</v>
      </c>
      <c r="I92" s="18"/>
      <c r="J92" s="28" t="str">
        <f t="shared" si="25"/>
        <v/>
      </c>
      <c r="K92" s="24"/>
      <c r="L92" s="37"/>
      <c r="M92" s="37"/>
      <c r="N92" s="37"/>
      <c r="O92" s="37"/>
      <c r="P92" s="40"/>
      <c r="Q92" s="39"/>
      <c r="R92" s="37"/>
      <c r="S92" s="37"/>
      <c r="T92" s="37"/>
      <c r="U92" s="37"/>
      <c r="V92" s="37"/>
      <c r="W92" s="37"/>
      <c r="X92" s="37"/>
      <c r="Y92" s="37"/>
      <c r="Z92" s="40"/>
      <c r="AA92" s="41"/>
      <c r="AB92" s="37"/>
      <c r="AC92" s="43"/>
      <c r="AD92" s="43"/>
      <c r="AE92" s="43"/>
      <c r="AF92" s="43"/>
      <c r="AG92" s="43"/>
      <c r="AH92" s="42"/>
      <c r="AI92" s="42"/>
      <c r="AJ92" s="42"/>
      <c r="AK92" s="42"/>
      <c r="AL92" s="43"/>
      <c r="AM92" s="73">
        <f t="shared" si="27"/>
        <v>0</v>
      </c>
      <c r="AN92" s="71" t="str">
        <f>+IF($I92&gt;0,VLOOKUP($I92,'Lista de Precios'!$A$3:$H$2883,4,0),"")</f>
        <v/>
      </c>
      <c r="AO92" s="68" t="str">
        <f t="shared" si="26"/>
        <v/>
      </c>
      <c r="AP92" s="7" t="str">
        <f>IF($I92&gt;0,VLOOKUP($I92,'Lista de Precios'!$A$3:$K$2883,10,0),"")</f>
        <v/>
      </c>
      <c r="AQ92" s="7" t="str">
        <f>IF($I92&gt;0,VLOOKUP($I92,'Lista de Precios'!$A$3:$M$49893,13,0),"")</f>
        <v/>
      </c>
      <c r="HQ92" s="134"/>
      <c r="HR92" s="134"/>
      <c r="HS92" s="134"/>
      <c r="HT92" s="134"/>
      <c r="HU92" s="134"/>
      <c r="HV92" s="134"/>
      <c r="HW92" s="134"/>
      <c r="HX92" s="134"/>
      <c r="HY92" s="134"/>
      <c r="HZ92" s="134"/>
      <c r="IA92" s="134"/>
      <c r="IB92" s="134"/>
      <c r="ID92" s="134"/>
      <c r="IE92" s="134"/>
      <c r="IF92" s="134"/>
      <c r="IG92" s="134"/>
      <c r="IH92" s="134"/>
      <c r="II92" s="134"/>
      <c r="IJ92" s="134"/>
      <c r="IK92" s="134"/>
      <c r="IL92" s="134"/>
      <c r="IM92" s="135"/>
      <c r="IN92" s="135"/>
      <c r="IO92" s="135"/>
      <c r="XEO92" s="7" t="str">
        <f t="shared" si="28"/>
        <v/>
      </c>
      <c r="XEP92" s="7" t="str">
        <f t="shared" si="29"/>
        <v/>
      </c>
      <c r="XEQ92" s="7" t="str">
        <f t="shared" si="30"/>
        <v/>
      </c>
      <c r="XER92" s="7" t="str">
        <f t="shared" si="31"/>
        <v/>
      </c>
    </row>
    <row r="93" spans="1:249 16369:16372" ht="23.25" customHeight="1" x14ac:dyDescent="0.25">
      <c r="A93" s="74">
        <f>IF($I93&gt;0,VLOOKUP(I93,'Lista de Precios'!$A$3:$L$2883,9,0),0)</f>
        <v>0</v>
      </c>
      <c r="B93" s="74">
        <f>IF($I93&gt;0,VLOOKUP(I93,'Lista de Precios'!$A$3:$H$2883,7,0),0)</f>
        <v>0</v>
      </c>
      <c r="C93" s="7" t="str">
        <f>IF($I93&gt;0,VLOOKUP(I93,'Lista de Precios'!$A$3:$H$2883,2,0),"")</f>
        <v/>
      </c>
      <c r="D93" s="7" t="str">
        <f>IF($I93&gt;0,VLOOKUP(I93,'Lista de Precios'!$A$3:$H$2883,3,0),"")</f>
        <v/>
      </c>
      <c r="E93" s="76" t="str">
        <f>IF($I93&gt;0,VLOOKUP(I93,'Lista de Precios'!$A$3:$H$2883,6,0),"")</f>
        <v/>
      </c>
      <c r="F93" s="76" t="str">
        <f>IF($I93&gt;0,VLOOKUP(I93,'Lista de Precios'!$A$3:$H$2883,8,0),"")</f>
        <v/>
      </c>
      <c r="G93" s="101" t="str">
        <f t="shared" si="24"/>
        <v/>
      </c>
      <c r="H93" s="20" t="s">
        <v>3</v>
      </c>
      <c r="I93" s="18"/>
      <c r="J93" s="28" t="str">
        <f t="shared" si="25"/>
        <v/>
      </c>
      <c r="K93" s="24"/>
      <c r="L93" s="36"/>
      <c r="M93" s="36"/>
      <c r="N93" s="36"/>
      <c r="O93" s="37"/>
      <c r="P93" s="38"/>
      <c r="Q93" s="45"/>
      <c r="R93" s="43"/>
      <c r="S93" s="43"/>
      <c r="T93" s="43"/>
      <c r="U93" s="43"/>
      <c r="V93" s="43"/>
      <c r="W93" s="43"/>
      <c r="X93" s="43"/>
      <c r="Y93" s="37"/>
      <c r="Z93" s="40"/>
      <c r="AA93" s="41"/>
      <c r="AB93" s="37"/>
      <c r="AC93" s="43"/>
      <c r="AD93" s="43"/>
      <c r="AE93" s="43"/>
      <c r="AF93" s="43"/>
      <c r="AG93" s="43"/>
      <c r="AH93" s="42"/>
      <c r="AI93" s="42"/>
      <c r="AJ93" s="42"/>
      <c r="AK93" s="42"/>
      <c r="AL93" s="43"/>
      <c r="AM93" s="73">
        <f t="shared" si="27"/>
        <v>0</v>
      </c>
      <c r="AN93" s="71" t="str">
        <f>+IF($I93&gt;0,VLOOKUP($I93,'Lista de Precios'!$A$3:$H$2883,4,0),"")</f>
        <v/>
      </c>
      <c r="AO93" s="68" t="str">
        <f t="shared" si="26"/>
        <v/>
      </c>
      <c r="AP93" s="7" t="str">
        <f>IF($I93&gt;0,VLOOKUP($I93,'Lista de Precios'!$A$3:$K$2883,10,0),"")</f>
        <v/>
      </c>
      <c r="AQ93" s="7" t="str">
        <f>IF($I93&gt;0,VLOOKUP($I93,'Lista de Precios'!$A$3:$M$49893,13,0),"")</f>
        <v/>
      </c>
      <c r="HQ93" s="134"/>
      <c r="HR93" s="134"/>
      <c r="HS93" s="134"/>
      <c r="HT93" s="134"/>
      <c r="HU93" s="134"/>
      <c r="HV93" s="134"/>
      <c r="HW93" s="134"/>
      <c r="HX93" s="134"/>
      <c r="HY93" s="134"/>
      <c r="HZ93" s="134"/>
      <c r="IA93" s="134"/>
      <c r="IB93" s="134"/>
      <c r="ID93" s="134"/>
      <c r="IE93" s="134"/>
      <c r="IF93" s="134"/>
      <c r="IG93" s="134"/>
      <c r="IH93" s="134"/>
      <c r="II93" s="134"/>
      <c r="IJ93" s="134"/>
      <c r="IK93" s="134"/>
      <c r="IL93" s="134"/>
      <c r="IM93" s="135"/>
      <c r="IN93" s="135"/>
      <c r="IO93" s="135"/>
      <c r="XEO93" s="7" t="str">
        <f t="shared" si="28"/>
        <v/>
      </c>
      <c r="XEP93" s="7" t="str">
        <f t="shared" si="29"/>
        <v/>
      </c>
      <c r="XEQ93" s="7" t="str">
        <f t="shared" si="30"/>
        <v/>
      </c>
      <c r="XER93" s="7" t="str">
        <f t="shared" si="31"/>
        <v/>
      </c>
    </row>
    <row r="94" spans="1:249 16369:16372" ht="23.25" customHeight="1" x14ac:dyDescent="0.25">
      <c r="A94" s="74">
        <f>IF($I94&gt;0,VLOOKUP(I94,'Lista de Precios'!$A$3:$L$2883,9,0),0)</f>
        <v>0</v>
      </c>
      <c r="B94" s="74">
        <f>IF($I94&gt;0,VLOOKUP(I94,'Lista de Precios'!$A$3:$H$2883,7,0),0)</f>
        <v>0</v>
      </c>
      <c r="C94" s="7" t="str">
        <f>IF($I94&gt;0,VLOOKUP(I94,'Lista de Precios'!$A$3:$H$2883,2,0),"")</f>
        <v/>
      </c>
      <c r="D94" s="7" t="str">
        <f>IF($I94&gt;0,VLOOKUP(I94,'Lista de Precios'!$A$3:$H$2883,3,0),"")</f>
        <v/>
      </c>
      <c r="E94" s="76" t="str">
        <f>IF($I94&gt;0,VLOOKUP(I94,'Lista de Precios'!$A$3:$H$2883,6,0),"")</f>
        <v/>
      </c>
      <c r="F94" s="76" t="str">
        <f>IF($I94&gt;0,VLOOKUP(I94,'Lista de Precios'!$A$3:$H$2883,8,0),"")</f>
        <v/>
      </c>
      <c r="G94" s="101" t="str">
        <f t="shared" si="24"/>
        <v/>
      </c>
      <c r="H94" s="20" t="s">
        <v>3</v>
      </c>
      <c r="I94" s="18"/>
      <c r="J94" s="28" t="str">
        <f t="shared" si="25"/>
        <v/>
      </c>
      <c r="K94" s="24"/>
      <c r="L94" s="42"/>
      <c r="M94" s="42"/>
      <c r="N94" s="42"/>
      <c r="O94" s="43"/>
      <c r="P94" s="46"/>
      <c r="Q94" s="45"/>
      <c r="R94" s="43"/>
      <c r="S94" s="43"/>
      <c r="T94" s="43"/>
      <c r="U94" s="43"/>
      <c r="V94" s="43"/>
      <c r="W94" s="43"/>
      <c r="X94" s="43"/>
      <c r="Y94" s="37"/>
      <c r="Z94" s="40"/>
      <c r="AA94" s="41"/>
      <c r="AB94" s="37"/>
      <c r="AC94" s="43"/>
      <c r="AD94" s="43"/>
      <c r="AE94" s="43"/>
      <c r="AF94" s="43"/>
      <c r="AG94" s="43"/>
      <c r="AH94" s="42"/>
      <c r="AI94" s="42"/>
      <c r="AJ94" s="42"/>
      <c r="AK94" s="42"/>
      <c r="AL94" s="43"/>
      <c r="AM94" s="73">
        <f t="shared" si="27"/>
        <v>0</v>
      </c>
      <c r="AN94" s="71" t="str">
        <f>+IF($I94&gt;0,VLOOKUP($I94,'Lista de Precios'!$A$3:$H$2883,4,0),"")</f>
        <v/>
      </c>
      <c r="AO94" s="68" t="str">
        <f t="shared" si="26"/>
        <v/>
      </c>
      <c r="AP94" s="7" t="str">
        <f>IF($I94&gt;0,VLOOKUP($I94,'Lista de Precios'!$A$3:$K$2883,10,0),"")</f>
        <v/>
      </c>
      <c r="AQ94" s="7" t="str">
        <f>IF($I94&gt;0,VLOOKUP($I94,'Lista de Precios'!$A$3:$M$49893,13,0),"")</f>
        <v/>
      </c>
      <c r="HQ94" s="134"/>
      <c r="HR94" s="134"/>
      <c r="HS94" s="134"/>
      <c r="HT94" s="134"/>
      <c r="HU94" s="134"/>
      <c r="HV94" s="134"/>
      <c r="HW94" s="134"/>
      <c r="HX94" s="134"/>
      <c r="HY94" s="134"/>
      <c r="HZ94" s="134"/>
      <c r="IA94" s="134"/>
      <c r="IB94" s="134"/>
      <c r="ID94" s="134"/>
      <c r="IE94" s="134"/>
      <c r="IF94" s="134"/>
      <c r="IG94" s="134"/>
      <c r="IH94" s="134"/>
      <c r="II94" s="134"/>
      <c r="IJ94" s="134"/>
      <c r="IK94" s="134"/>
      <c r="IL94" s="134"/>
      <c r="IM94" s="135"/>
      <c r="IN94" s="135"/>
      <c r="IO94" s="135"/>
      <c r="XEO94" s="7" t="str">
        <f t="shared" si="28"/>
        <v/>
      </c>
      <c r="XEP94" s="7" t="str">
        <f t="shared" si="29"/>
        <v/>
      </c>
      <c r="XEQ94" s="7" t="str">
        <f t="shared" si="30"/>
        <v/>
      </c>
      <c r="XER94" s="7" t="str">
        <f t="shared" si="31"/>
        <v/>
      </c>
    </row>
    <row r="95" spans="1:249 16369:16372" ht="23.25" customHeight="1" x14ac:dyDescent="0.25">
      <c r="A95" s="74">
        <f>IF($I95&gt;0,VLOOKUP(I95,'Lista de Precios'!$A$3:$L$2883,9,0),0)</f>
        <v>0</v>
      </c>
      <c r="B95" s="74">
        <f>IF($I95&gt;0,VLOOKUP(I95,'Lista de Precios'!$A$3:$H$2883,7,0),0)</f>
        <v>0</v>
      </c>
      <c r="C95" s="7" t="str">
        <f>IF($I95&gt;0,VLOOKUP(I95,'Lista de Precios'!$A$3:$H$2883,2,0),"")</f>
        <v/>
      </c>
      <c r="D95" s="7" t="str">
        <f>IF($I95&gt;0,VLOOKUP(I95,'Lista de Precios'!$A$3:$H$2883,3,0),"")</f>
        <v/>
      </c>
      <c r="E95" s="76" t="str">
        <f>IF($I95&gt;0,VLOOKUP(I95,'Lista de Precios'!$A$3:$H$2883,6,0),"")</f>
        <v/>
      </c>
      <c r="F95" s="76" t="str">
        <f>IF($I95&gt;0,VLOOKUP(I95,'Lista de Precios'!$A$3:$H$2883,8,0),"")</f>
        <v/>
      </c>
      <c r="G95" s="101" t="str">
        <f t="shared" si="24"/>
        <v/>
      </c>
      <c r="H95" s="20" t="s">
        <v>3</v>
      </c>
      <c r="I95" s="18"/>
      <c r="J95" s="28" t="str">
        <f t="shared" si="25"/>
        <v/>
      </c>
      <c r="K95" s="24"/>
      <c r="L95" s="43"/>
      <c r="M95" s="43"/>
      <c r="N95" s="43"/>
      <c r="O95" s="43"/>
      <c r="P95" s="44"/>
      <c r="Q95" s="45"/>
      <c r="R95" s="43"/>
      <c r="S95" s="43"/>
      <c r="T95" s="43"/>
      <c r="U95" s="43"/>
      <c r="V95" s="43"/>
      <c r="W95" s="43"/>
      <c r="X95" s="43"/>
      <c r="Y95" s="37"/>
      <c r="Z95" s="40"/>
      <c r="AA95" s="41"/>
      <c r="AB95" s="37"/>
      <c r="AC95" s="37"/>
      <c r="AD95" s="37"/>
      <c r="AE95" s="37"/>
      <c r="AF95" s="37"/>
      <c r="AG95" s="43"/>
      <c r="AH95" s="42"/>
      <c r="AI95" s="42"/>
      <c r="AJ95" s="49"/>
      <c r="AK95" s="49"/>
      <c r="AL95" s="49"/>
      <c r="AM95" s="73">
        <f t="shared" si="27"/>
        <v>0</v>
      </c>
      <c r="AN95" s="71" t="str">
        <f>+IF($I95&gt;0,VLOOKUP($I95,'Lista de Precios'!$A$3:$H$2883,4,0),"")</f>
        <v/>
      </c>
      <c r="AO95" s="68" t="str">
        <f t="shared" si="26"/>
        <v/>
      </c>
      <c r="AP95" s="7" t="str">
        <f>IF($I95&gt;0,VLOOKUP($I95,'Lista de Precios'!$A$3:$K$2883,10,0),"")</f>
        <v/>
      </c>
      <c r="AQ95" s="7" t="str">
        <f>IF($I95&gt;0,VLOOKUP($I95,'Lista de Precios'!$A$3:$M$49893,13,0),"")</f>
        <v/>
      </c>
      <c r="HQ95" s="134"/>
      <c r="HR95" s="134"/>
      <c r="HS95" s="134"/>
      <c r="HT95" s="134"/>
      <c r="HU95" s="134"/>
      <c r="HV95" s="134"/>
      <c r="HW95" s="134"/>
      <c r="HX95" s="134"/>
      <c r="HY95" s="134"/>
      <c r="HZ95" s="134"/>
      <c r="IA95" s="134"/>
      <c r="IB95" s="134"/>
      <c r="ID95" s="134"/>
      <c r="IE95" s="134"/>
      <c r="IF95" s="134"/>
      <c r="IG95" s="134"/>
      <c r="IH95" s="134"/>
      <c r="II95" s="134"/>
      <c r="IJ95" s="134"/>
      <c r="IK95" s="134"/>
      <c r="IL95" s="134"/>
      <c r="IM95" s="135"/>
      <c r="IN95" s="135"/>
      <c r="IO95" s="135"/>
      <c r="XEO95" s="7" t="str">
        <f t="shared" si="28"/>
        <v/>
      </c>
      <c r="XEP95" s="7" t="str">
        <f t="shared" si="29"/>
        <v/>
      </c>
      <c r="XEQ95" s="7" t="str">
        <f t="shared" si="30"/>
        <v/>
      </c>
      <c r="XER95" s="7" t="str">
        <f t="shared" si="31"/>
        <v/>
      </c>
    </row>
    <row r="96" spans="1:249 16369:16372" ht="23.25" customHeight="1" x14ac:dyDescent="0.25">
      <c r="A96" s="74">
        <f>IF($I96&gt;0,VLOOKUP(I96,'Lista de Precios'!$A$3:$L$2883,9,0),0)</f>
        <v>0</v>
      </c>
      <c r="B96" s="74">
        <f>IF($I96&gt;0,VLOOKUP(I96,'Lista de Precios'!$A$3:$H$2883,7,0),0)</f>
        <v>0</v>
      </c>
      <c r="C96" s="7" t="str">
        <f>IF($I96&gt;0,VLOOKUP(I96,'Lista de Precios'!$A$3:$H$2883,2,0),"")</f>
        <v/>
      </c>
      <c r="D96" s="7" t="str">
        <f>IF($I96&gt;0,VLOOKUP(I96,'Lista de Precios'!$A$3:$H$2883,3,0),"")</f>
        <v/>
      </c>
      <c r="E96" s="76" t="str">
        <f>IF($I96&gt;0,VLOOKUP(I96,'Lista de Precios'!$A$3:$H$2883,6,0),"")</f>
        <v/>
      </c>
      <c r="F96" s="76" t="str">
        <f>IF($I96&gt;0,VLOOKUP(I96,'Lista de Precios'!$A$3:$H$2883,8,0),"")</f>
        <v/>
      </c>
      <c r="G96" s="101" t="str">
        <f t="shared" si="24"/>
        <v/>
      </c>
      <c r="H96" s="20" t="s">
        <v>3</v>
      </c>
      <c r="I96" s="18"/>
      <c r="J96" s="28" t="str">
        <f t="shared" si="25"/>
        <v/>
      </c>
      <c r="K96" s="24"/>
      <c r="L96" s="48"/>
      <c r="M96" s="48"/>
      <c r="N96" s="48"/>
      <c r="O96" s="48"/>
      <c r="P96" s="47"/>
      <c r="Q96" s="50"/>
      <c r="R96" s="43"/>
      <c r="S96" s="43"/>
      <c r="T96" s="43"/>
      <c r="U96" s="43"/>
      <c r="V96" s="43"/>
      <c r="W96" s="43"/>
      <c r="X96" s="43"/>
      <c r="Y96" s="37"/>
      <c r="Z96" s="40"/>
      <c r="AA96" s="41"/>
      <c r="AB96" s="37"/>
      <c r="AC96" s="37"/>
      <c r="AD96" s="37"/>
      <c r="AE96" s="37"/>
      <c r="AF96" s="37"/>
      <c r="AG96" s="43"/>
      <c r="AH96" s="42"/>
      <c r="AI96" s="42"/>
      <c r="AJ96" s="49"/>
      <c r="AK96" s="49"/>
      <c r="AL96" s="48"/>
      <c r="AM96" s="73">
        <f t="shared" si="27"/>
        <v>0</v>
      </c>
      <c r="AN96" s="71" t="str">
        <f>+IF($I96&gt;0,VLOOKUP($I96,'Lista de Precios'!$A$3:$H$2883,4,0),"")</f>
        <v/>
      </c>
      <c r="AO96" s="68" t="str">
        <f t="shared" si="26"/>
        <v/>
      </c>
      <c r="AP96" s="7" t="str">
        <f>IF($I96&gt;0,VLOOKUP($I96,'Lista de Precios'!$A$3:$K$2883,10,0),"")</f>
        <v/>
      </c>
      <c r="AQ96" s="7" t="str">
        <f>IF($I96&gt;0,VLOOKUP($I96,'Lista de Precios'!$A$3:$M$49893,13,0),"")</f>
        <v/>
      </c>
      <c r="HQ96" s="134"/>
      <c r="HR96" s="134"/>
      <c r="HS96" s="134"/>
      <c r="HT96" s="134"/>
      <c r="HU96" s="134"/>
      <c r="HV96" s="134"/>
      <c r="HW96" s="134"/>
      <c r="HX96" s="134"/>
      <c r="HY96" s="134"/>
      <c r="HZ96" s="134"/>
      <c r="IA96" s="134"/>
      <c r="IB96" s="134"/>
      <c r="ID96" s="134"/>
      <c r="IE96" s="134"/>
      <c r="IF96" s="134"/>
      <c r="IG96" s="134"/>
      <c r="IH96" s="134"/>
      <c r="II96" s="134"/>
      <c r="IJ96" s="134"/>
      <c r="IK96" s="134"/>
      <c r="IL96" s="134"/>
      <c r="IM96" s="135"/>
      <c r="IN96" s="135"/>
      <c r="IO96" s="135"/>
      <c r="XEO96" s="7" t="str">
        <f t="shared" si="28"/>
        <v/>
      </c>
      <c r="XEP96" s="7" t="str">
        <f t="shared" si="29"/>
        <v/>
      </c>
      <c r="XEQ96" s="7" t="str">
        <f t="shared" si="30"/>
        <v/>
      </c>
      <c r="XER96" s="7" t="str">
        <f t="shared" si="31"/>
        <v/>
      </c>
    </row>
    <row r="97" spans="1:249 16369:16372" ht="23.25" customHeight="1" x14ac:dyDescent="0.25">
      <c r="A97" s="74">
        <f>IF($I97&gt;0,VLOOKUP(I97,'Lista de Precios'!$A$3:$L$2883,9,0),0)</f>
        <v>0</v>
      </c>
      <c r="B97" s="74">
        <f>IF($I97&gt;0,VLOOKUP(I97,'Lista de Precios'!$A$3:$H$2883,7,0),0)</f>
        <v>0</v>
      </c>
      <c r="C97" s="7" t="str">
        <f>IF($I97&gt;0,VLOOKUP(I97,'Lista de Precios'!$A$3:$H$2883,2,0),"")</f>
        <v/>
      </c>
      <c r="D97" s="7" t="str">
        <f>IF($I97&gt;0,VLOOKUP(I97,'Lista de Precios'!$A$3:$H$2883,3,0),"")</f>
        <v/>
      </c>
      <c r="E97" s="76" t="str">
        <f>IF($I97&gt;0,VLOOKUP(I97,'Lista de Precios'!$A$3:$H$2883,6,0),"")</f>
        <v/>
      </c>
      <c r="F97" s="76" t="str">
        <f>IF($I97&gt;0,VLOOKUP(I97,'Lista de Precios'!$A$3:$H$2883,8,0),"")</f>
        <v/>
      </c>
      <c r="G97" s="101" t="str">
        <f t="shared" si="24"/>
        <v/>
      </c>
      <c r="H97" s="20" t="s">
        <v>3</v>
      </c>
      <c r="I97" s="18"/>
      <c r="J97" s="28" t="str">
        <f t="shared" si="25"/>
        <v/>
      </c>
      <c r="K97" s="24"/>
      <c r="L97" s="51"/>
      <c r="M97" s="51"/>
      <c r="N97" s="51"/>
      <c r="O97" s="48"/>
      <c r="P97" s="52"/>
      <c r="Q97" s="50"/>
      <c r="R97" s="43"/>
      <c r="S97" s="43"/>
      <c r="T97" s="43"/>
      <c r="U97" s="43"/>
      <c r="V97" s="43"/>
      <c r="W97" s="43"/>
      <c r="X97" s="43"/>
      <c r="Y97" s="43"/>
      <c r="Z97" s="44"/>
      <c r="AA97" s="53"/>
      <c r="AB97" s="48"/>
      <c r="AC97" s="48"/>
      <c r="AD97" s="48"/>
      <c r="AE97" s="48"/>
      <c r="AF97" s="48"/>
      <c r="AG97" s="54"/>
      <c r="AH97" s="54"/>
      <c r="AI97" s="54"/>
      <c r="AJ97" s="54"/>
      <c r="AK97" s="54"/>
      <c r="AL97" s="54"/>
      <c r="AM97" s="73">
        <f t="shared" si="27"/>
        <v>0</v>
      </c>
      <c r="AN97" s="71" t="str">
        <f>+IF($I97&gt;0,VLOOKUP($I97,'Lista de Precios'!$A$3:$H$2883,4,0),"")</f>
        <v/>
      </c>
      <c r="AO97" s="68" t="str">
        <f t="shared" si="26"/>
        <v/>
      </c>
      <c r="AP97" s="7" t="str">
        <f>IF($I97&gt;0,VLOOKUP($I97,'Lista de Precios'!$A$3:$K$2883,10,0),"")</f>
        <v/>
      </c>
      <c r="AQ97" s="7" t="str">
        <f>IF($I97&gt;0,VLOOKUP($I97,'Lista de Precios'!$A$3:$M$49893,13,0),"")</f>
        <v/>
      </c>
      <c r="HQ97" s="134"/>
      <c r="HR97" s="134"/>
      <c r="HS97" s="134"/>
      <c r="HT97" s="134"/>
      <c r="HU97" s="134"/>
      <c r="HV97" s="134"/>
      <c r="HW97" s="134"/>
      <c r="HX97" s="134"/>
      <c r="HY97" s="134"/>
      <c r="HZ97" s="134"/>
      <c r="IA97" s="134"/>
      <c r="IB97" s="134"/>
      <c r="ID97" s="134"/>
      <c r="IE97" s="134"/>
      <c r="IF97" s="134"/>
      <c r="IG97" s="134"/>
      <c r="IH97" s="134"/>
      <c r="II97" s="134"/>
      <c r="IJ97" s="134"/>
      <c r="IK97" s="134"/>
      <c r="IL97" s="134"/>
      <c r="IM97" s="135"/>
      <c r="IN97" s="135"/>
      <c r="IO97" s="135"/>
      <c r="XEO97" s="7" t="str">
        <f t="shared" si="28"/>
        <v/>
      </c>
      <c r="XEP97" s="7" t="str">
        <f t="shared" si="29"/>
        <v/>
      </c>
      <c r="XEQ97" s="7" t="str">
        <f t="shared" si="30"/>
        <v/>
      </c>
      <c r="XER97" s="7" t="str">
        <f t="shared" si="31"/>
        <v/>
      </c>
    </row>
    <row r="98" spans="1:249 16369:16372" ht="23.25" customHeight="1" x14ac:dyDescent="0.25">
      <c r="A98" s="74">
        <f>IF($I98&gt;0,VLOOKUP(I98,'Lista de Precios'!$A$3:$L$2883,9,0),0)</f>
        <v>0</v>
      </c>
      <c r="B98" s="74">
        <f>IF($I98&gt;0,VLOOKUP(I98,'Lista de Precios'!$A$3:$H$2883,7,0),0)</f>
        <v>0</v>
      </c>
      <c r="C98" s="7" t="str">
        <f>IF($I98&gt;0,VLOOKUP(I98,'Lista de Precios'!$A$3:$H$2883,2,0),"")</f>
        <v/>
      </c>
      <c r="D98" s="7" t="str">
        <f>IF($I98&gt;0,VLOOKUP(I98,'Lista de Precios'!$A$3:$H$2883,3,0),"")</f>
        <v/>
      </c>
      <c r="E98" s="76" t="str">
        <f>IF($I98&gt;0,VLOOKUP(I98,'Lista de Precios'!$A$3:$H$2883,6,0),"")</f>
        <v/>
      </c>
      <c r="F98" s="76" t="str">
        <f>IF($I98&gt;0,VLOOKUP(I98,'Lista de Precios'!$A$3:$H$2883,8,0),"")</f>
        <v/>
      </c>
      <c r="G98" s="101" t="str">
        <f t="shared" si="24"/>
        <v/>
      </c>
      <c r="H98" s="20" t="s">
        <v>3</v>
      </c>
      <c r="I98" s="18"/>
      <c r="J98" s="28" t="str">
        <f t="shared" si="25"/>
        <v/>
      </c>
      <c r="K98" s="24"/>
      <c r="L98" s="54"/>
      <c r="M98" s="54"/>
      <c r="N98" s="54"/>
      <c r="O98" s="48"/>
      <c r="P98" s="55"/>
      <c r="Q98" s="50"/>
      <c r="R98" s="43"/>
      <c r="S98" s="43"/>
      <c r="T98" s="43"/>
      <c r="U98" s="43"/>
      <c r="V98" s="43"/>
      <c r="W98" s="43"/>
      <c r="X98" s="43"/>
      <c r="Y98" s="43"/>
      <c r="Z98" s="44"/>
      <c r="AA98" s="53"/>
      <c r="AB98" s="48"/>
      <c r="AC98" s="48"/>
      <c r="AD98" s="48"/>
      <c r="AE98" s="48"/>
      <c r="AF98" s="48"/>
      <c r="AG98" s="54"/>
      <c r="AH98" s="54"/>
      <c r="AI98" s="54"/>
      <c r="AJ98" s="54"/>
      <c r="AK98" s="54"/>
      <c r="AL98" s="54"/>
      <c r="AM98" s="73">
        <f t="shared" si="27"/>
        <v>0</v>
      </c>
      <c r="AN98" s="71" t="str">
        <f>+IF($I98&gt;0,VLOOKUP($I98,'Lista de Precios'!$A$3:$H$2883,4,0),"")</f>
        <v/>
      </c>
      <c r="AO98" s="68" t="str">
        <f t="shared" si="26"/>
        <v/>
      </c>
      <c r="AP98" s="7" t="str">
        <f>IF($I98&gt;0,VLOOKUP($I98,'Lista de Precios'!$A$3:$K$2883,10,0),"")</f>
        <v/>
      </c>
      <c r="AQ98" s="7" t="str">
        <f>IF($I98&gt;0,VLOOKUP($I98,'Lista de Precios'!$A$3:$M$49893,13,0),"")</f>
        <v/>
      </c>
      <c r="HQ98" s="134"/>
      <c r="HR98" s="134"/>
      <c r="HS98" s="134"/>
      <c r="HT98" s="134"/>
      <c r="HU98" s="134"/>
      <c r="HV98" s="134"/>
      <c r="HW98" s="134"/>
      <c r="HX98" s="134"/>
      <c r="HY98" s="134"/>
      <c r="HZ98" s="134"/>
      <c r="IA98" s="134"/>
      <c r="IB98" s="134"/>
      <c r="ID98" s="134"/>
      <c r="IE98" s="134"/>
      <c r="IF98" s="134"/>
      <c r="IG98" s="134"/>
      <c r="IH98" s="134"/>
      <c r="II98" s="134"/>
      <c r="IJ98" s="134"/>
      <c r="IK98" s="134"/>
      <c r="IL98" s="134"/>
      <c r="IM98" s="135"/>
      <c r="IN98" s="135"/>
      <c r="IO98" s="135"/>
      <c r="XEO98" s="7" t="str">
        <f t="shared" si="28"/>
        <v/>
      </c>
      <c r="XEP98" s="7" t="str">
        <f t="shared" si="29"/>
        <v/>
      </c>
      <c r="XEQ98" s="7" t="str">
        <f t="shared" si="30"/>
        <v/>
      </c>
      <c r="XER98" s="7" t="str">
        <f t="shared" si="31"/>
        <v/>
      </c>
    </row>
    <row r="99" spans="1:249 16369:16372" ht="23.25" customHeight="1" x14ac:dyDescent="0.25">
      <c r="A99" s="74">
        <f>IF($I99&gt;0,VLOOKUP(I99,'Lista de Precios'!$A$3:$L$2883,9,0),0)</f>
        <v>0</v>
      </c>
      <c r="B99" s="74">
        <f>IF($I99&gt;0,VLOOKUP(I99,'Lista de Precios'!$A$3:$H$2883,7,0),0)</f>
        <v>0</v>
      </c>
      <c r="C99" s="7" t="str">
        <f>IF($I99&gt;0,VLOOKUP(I99,'Lista de Precios'!$A$3:$H$2883,2,0),"")</f>
        <v/>
      </c>
      <c r="D99" s="7" t="str">
        <f>IF($I99&gt;0,VLOOKUP(I99,'Lista de Precios'!$A$3:$H$2883,3,0),"")</f>
        <v/>
      </c>
      <c r="E99" s="76" t="str">
        <f>IF($I99&gt;0,VLOOKUP(I99,'Lista de Precios'!$A$3:$H$2883,6,0),"")</f>
        <v/>
      </c>
      <c r="F99" s="76" t="str">
        <f>IF($I99&gt;0,VLOOKUP(I99,'Lista de Precios'!$A$3:$H$2883,8,0),"")</f>
        <v/>
      </c>
      <c r="G99" s="101" t="str">
        <f t="shared" si="24"/>
        <v/>
      </c>
      <c r="H99" s="20" t="s">
        <v>3</v>
      </c>
      <c r="I99" s="18"/>
      <c r="J99" s="28" t="str">
        <f t="shared" si="25"/>
        <v/>
      </c>
      <c r="K99" s="24"/>
      <c r="L99" s="43"/>
      <c r="M99" s="43"/>
      <c r="N99" s="43"/>
      <c r="O99" s="48"/>
      <c r="P99" s="44"/>
      <c r="Q99" s="50"/>
      <c r="R99" s="43"/>
      <c r="S99" s="43"/>
      <c r="T99" s="43"/>
      <c r="U99" s="43"/>
      <c r="V99" s="43"/>
      <c r="W99" s="43"/>
      <c r="X99" s="43"/>
      <c r="Y99" s="43"/>
      <c r="Z99" s="44"/>
      <c r="AA99" s="53"/>
      <c r="AB99" s="48"/>
      <c r="AC99" s="48"/>
      <c r="AD99" s="48"/>
      <c r="AE99" s="49"/>
      <c r="AF99" s="48"/>
      <c r="AG99" s="43"/>
      <c r="AH99" s="42"/>
      <c r="AI99" s="42"/>
      <c r="AJ99" s="42"/>
      <c r="AK99" s="42"/>
      <c r="AL99" s="42"/>
      <c r="AM99" s="73">
        <f t="shared" si="27"/>
        <v>0</v>
      </c>
      <c r="AN99" s="71" t="str">
        <f>+IF($I99&gt;0,VLOOKUP($I99,'Lista de Precios'!$A$3:$H$2883,4,0),"")</f>
        <v/>
      </c>
      <c r="AO99" s="68" t="str">
        <f t="shared" si="26"/>
        <v/>
      </c>
      <c r="AP99" s="7" t="str">
        <f>IF($I99&gt;0,VLOOKUP($I99,'Lista de Precios'!$A$3:$K$2883,10,0),"")</f>
        <v/>
      </c>
      <c r="AQ99" s="7" t="str">
        <f>IF($I99&gt;0,VLOOKUP($I99,'Lista de Precios'!$A$3:$M$49893,13,0),"")</f>
        <v/>
      </c>
      <c r="HQ99" s="134"/>
      <c r="HR99" s="134"/>
      <c r="HS99" s="134"/>
      <c r="HT99" s="134"/>
      <c r="HU99" s="134"/>
      <c r="HV99" s="134"/>
      <c r="HW99" s="134"/>
      <c r="HX99" s="134"/>
      <c r="HY99" s="134"/>
      <c r="HZ99" s="134"/>
      <c r="IA99" s="134"/>
      <c r="IB99" s="134"/>
      <c r="ID99" s="134"/>
      <c r="IE99" s="134"/>
      <c r="IF99" s="134"/>
      <c r="IG99" s="134"/>
      <c r="IH99" s="134"/>
      <c r="II99" s="134"/>
      <c r="IJ99" s="134"/>
      <c r="IK99" s="134"/>
      <c r="IL99" s="134"/>
      <c r="IM99" s="135"/>
      <c r="IN99" s="135"/>
      <c r="IO99" s="135"/>
      <c r="XEO99" s="7" t="str">
        <f t="shared" si="28"/>
        <v/>
      </c>
      <c r="XEP99" s="7" t="str">
        <f t="shared" si="29"/>
        <v/>
      </c>
      <c r="XEQ99" s="7" t="str">
        <f t="shared" si="30"/>
        <v/>
      </c>
      <c r="XER99" s="7" t="str">
        <f t="shared" si="31"/>
        <v/>
      </c>
    </row>
    <row r="100" spans="1:249 16369:16372" ht="23.25" customHeight="1" x14ac:dyDescent="0.25">
      <c r="A100" s="74">
        <f>IF($I100&gt;0,VLOOKUP(I100,'Lista de Precios'!$A$3:$L$2883,9,0),0)</f>
        <v>0</v>
      </c>
      <c r="B100" s="74">
        <f>IF($I100&gt;0,VLOOKUP(I100,'Lista de Precios'!$A$3:$H$2883,7,0),0)</f>
        <v>0</v>
      </c>
      <c r="C100" s="7" t="str">
        <f>IF($I100&gt;0,VLOOKUP(I100,'Lista de Precios'!$A$3:$H$2883,2,0),"")</f>
        <v/>
      </c>
      <c r="D100" s="7" t="str">
        <f>IF($I100&gt;0,VLOOKUP(I100,'Lista de Precios'!$A$3:$H$2883,3,0),"")</f>
        <v/>
      </c>
      <c r="E100" s="76" t="str">
        <f>IF($I100&gt;0,VLOOKUP(I100,'Lista de Precios'!$A$3:$H$2883,6,0),"")</f>
        <v/>
      </c>
      <c r="F100" s="76" t="str">
        <f>IF($I100&gt;0,VLOOKUP(I100,'Lista de Precios'!$A$3:$H$2883,8,0),"")</f>
        <v/>
      </c>
      <c r="G100" s="101" t="str">
        <f t="shared" si="24"/>
        <v/>
      </c>
      <c r="H100" s="20" t="s">
        <v>3</v>
      </c>
      <c r="I100" s="18"/>
      <c r="J100" s="28" t="str">
        <f t="shared" si="25"/>
        <v/>
      </c>
      <c r="K100" s="24"/>
      <c r="L100" s="54"/>
      <c r="M100" s="54"/>
      <c r="N100" s="54"/>
      <c r="O100" s="48"/>
      <c r="P100" s="55"/>
      <c r="Q100" s="50"/>
      <c r="R100" s="43"/>
      <c r="S100" s="43"/>
      <c r="T100" s="43"/>
      <c r="U100" s="43"/>
      <c r="V100" s="43"/>
      <c r="W100" s="43"/>
      <c r="X100" s="43"/>
      <c r="Y100" s="43"/>
      <c r="Z100" s="44"/>
      <c r="AA100" s="53"/>
      <c r="AB100" s="48"/>
      <c r="AC100" s="48"/>
      <c r="AD100" s="48"/>
      <c r="AE100" s="48"/>
      <c r="AF100" s="48"/>
      <c r="AG100" s="54"/>
      <c r="AH100" s="54"/>
      <c r="AI100" s="54"/>
      <c r="AJ100" s="54"/>
      <c r="AK100" s="54"/>
      <c r="AL100" s="54"/>
      <c r="AM100" s="73">
        <f t="shared" si="27"/>
        <v>0</v>
      </c>
      <c r="AN100" s="71" t="str">
        <f>+IF($I100&gt;0,VLOOKUP($I100,'Lista de Precios'!$A$3:$H$2883,4,0),"")</f>
        <v/>
      </c>
      <c r="AO100" s="68" t="str">
        <f t="shared" si="26"/>
        <v/>
      </c>
      <c r="AP100" s="7" t="str">
        <f>IF($I100&gt;0,VLOOKUP($I100,'Lista de Precios'!$A$3:$K$2883,10,0),"")</f>
        <v/>
      </c>
      <c r="AQ100" s="7" t="str">
        <f>IF($I100&gt;0,VLOOKUP($I100,'Lista de Precios'!$A$3:$M$49893,13,0),"")</f>
        <v/>
      </c>
      <c r="HQ100" s="134"/>
      <c r="HR100" s="134"/>
      <c r="HS100" s="134"/>
      <c r="HT100" s="134"/>
      <c r="HU100" s="134"/>
      <c r="HV100" s="134"/>
      <c r="HW100" s="134"/>
      <c r="HX100" s="134"/>
      <c r="HY100" s="134"/>
      <c r="HZ100" s="134"/>
      <c r="IA100" s="134"/>
      <c r="IB100" s="134"/>
      <c r="ID100" s="134"/>
      <c r="IE100" s="134"/>
      <c r="IF100" s="134"/>
      <c r="IG100" s="134"/>
      <c r="IH100" s="134"/>
      <c r="II100" s="134"/>
      <c r="IJ100" s="134"/>
      <c r="IK100" s="134"/>
      <c r="IL100" s="134"/>
      <c r="IM100" s="135"/>
      <c r="IN100" s="135"/>
      <c r="IO100" s="135"/>
      <c r="XEO100" s="7" t="str">
        <f t="shared" si="28"/>
        <v/>
      </c>
      <c r="XEP100" s="7" t="str">
        <f t="shared" si="29"/>
        <v/>
      </c>
      <c r="XEQ100" s="7" t="str">
        <f t="shared" si="30"/>
        <v/>
      </c>
      <c r="XER100" s="7" t="str">
        <f t="shared" si="31"/>
        <v/>
      </c>
    </row>
    <row r="101" spans="1:249 16369:16372" ht="23.25" customHeight="1" x14ac:dyDescent="0.25">
      <c r="A101" s="74">
        <f>IF($I101&gt;0,VLOOKUP(I101,'Lista de Precios'!$A$3:$L$2883,9,0),0)</f>
        <v>0</v>
      </c>
      <c r="B101" s="74">
        <f>IF($I101&gt;0,VLOOKUP(I101,'Lista de Precios'!$A$3:$H$2883,7,0),0)</f>
        <v>0</v>
      </c>
      <c r="C101" s="7" t="str">
        <f>IF($I101&gt;0,VLOOKUP(I101,'Lista de Precios'!$A$3:$H$2883,2,0),"")</f>
        <v/>
      </c>
      <c r="D101" s="7" t="str">
        <f>IF($I101&gt;0,VLOOKUP(I101,'Lista de Precios'!$A$3:$H$2883,3,0),"")</f>
        <v/>
      </c>
      <c r="E101" s="76" t="str">
        <f>IF($I101&gt;0,VLOOKUP(I101,'Lista de Precios'!$A$3:$H$2883,6,0),"")</f>
        <v/>
      </c>
      <c r="F101" s="76" t="str">
        <f>IF($I101&gt;0,VLOOKUP(I101,'Lista de Precios'!$A$3:$H$2883,8,0),"")</f>
        <v/>
      </c>
      <c r="G101" s="101" t="str">
        <f t="shared" si="24"/>
        <v/>
      </c>
      <c r="H101" s="20" t="s">
        <v>3</v>
      </c>
      <c r="I101" s="18"/>
      <c r="J101" s="28" t="str">
        <f t="shared" si="25"/>
        <v/>
      </c>
      <c r="K101" s="24"/>
      <c r="L101" s="54"/>
      <c r="M101" s="54"/>
      <c r="N101" s="54"/>
      <c r="O101" s="48"/>
      <c r="P101" s="55"/>
      <c r="Q101" s="50"/>
      <c r="R101" s="43"/>
      <c r="S101" s="43"/>
      <c r="T101" s="43"/>
      <c r="U101" s="43"/>
      <c r="V101" s="43"/>
      <c r="W101" s="43"/>
      <c r="X101" s="43"/>
      <c r="Y101" s="43"/>
      <c r="Z101" s="55"/>
      <c r="AA101" s="53"/>
      <c r="AB101" s="48"/>
      <c r="AC101" s="48"/>
      <c r="AD101" s="48"/>
      <c r="AE101" s="48"/>
      <c r="AF101" s="48"/>
      <c r="AG101" s="54"/>
      <c r="AH101" s="54"/>
      <c r="AI101" s="54"/>
      <c r="AJ101" s="54"/>
      <c r="AK101" s="54"/>
      <c r="AL101" s="54"/>
      <c r="AM101" s="73">
        <f t="shared" si="27"/>
        <v>0</v>
      </c>
      <c r="AN101" s="71" t="str">
        <f>+IF($I101&gt;0,VLOOKUP($I101,'Lista de Precios'!$A$3:$H$2883,4,0),"")</f>
        <v/>
      </c>
      <c r="AO101" s="68" t="str">
        <f t="shared" si="26"/>
        <v/>
      </c>
      <c r="AP101" s="7" t="str">
        <f>IF($I101&gt;0,VLOOKUP($I101,'Lista de Precios'!$A$3:$K$2883,10,0),"")</f>
        <v/>
      </c>
      <c r="AQ101" s="7" t="str">
        <f>IF($I101&gt;0,VLOOKUP($I101,'Lista de Precios'!$A$3:$M$49893,13,0),"")</f>
        <v/>
      </c>
      <c r="HQ101" s="134"/>
      <c r="HR101" s="134"/>
      <c r="HS101" s="134"/>
      <c r="HT101" s="134"/>
      <c r="HU101" s="134"/>
      <c r="HV101" s="134"/>
      <c r="HW101" s="134"/>
      <c r="HX101" s="134"/>
      <c r="HY101" s="134"/>
      <c r="HZ101" s="134"/>
      <c r="IA101" s="134"/>
      <c r="IB101" s="134"/>
      <c r="ID101" s="134"/>
      <c r="IE101" s="134"/>
      <c r="IF101" s="134"/>
      <c r="IG101" s="134"/>
      <c r="IH101" s="134"/>
      <c r="II101" s="134"/>
      <c r="IJ101" s="134"/>
      <c r="IK101" s="134"/>
      <c r="IL101" s="134"/>
      <c r="IM101" s="135"/>
      <c r="IN101" s="135"/>
      <c r="IO101" s="135"/>
      <c r="XEO101" s="7" t="str">
        <f t="shared" si="28"/>
        <v/>
      </c>
      <c r="XEP101" s="7" t="str">
        <f t="shared" si="29"/>
        <v/>
      </c>
      <c r="XEQ101" s="7" t="str">
        <f t="shared" si="30"/>
        <v/>
      </c>
      <c r="XER101" s="7" t="str">
        <f t="shared" si="31"/>
        <v/>
      </c>
    </row>
    <row r="102" spans="1:249 16369:16372" ht="23.25" customHeight="1" x14ac:dyDescent="0.25">
      <c r="A102" s="74">
        <f>IF($I102&gt;0,VLOOKUP(I102,'Lista de Precios'!$A$3:$L$2883,9,0),0)</f>
        <v>0</v>
      </c>
      <c r="B102" s="74">
        <f>IF($I102&gt;0,VLOOKUP(I102,'Lista de Precios'!$A$3:$H$2883,7,0),0)</f>
        <v>0</v>
      </c>
      <c r="C102" s="7" t="str">
        <f>IF($I102&gt;0,VLOOKUP(I102,'Lista de Precios'!$A$3:$H$2883,2,0),"")</f>
        <v/>
      </c>
      <c r="D102" s="7" t="str">
        <f>IF($I102&gt;0,VLOOKUP(I102,'Lista de Precios'!$A$3:$H$2883,3,0),"")</f>
        <v/>
      </c>
      <c r="E102" s="76" t="str">
        <f>IF($I102&gt;0,VLOOKUP(I102,'Lista de Precios'!$A$3:$H$2883,6,0),"")</f>
        <v/>
      </c>
      <c r="F102" s="76" t="str">
        <f>IF($I102&gt;0,VLOOKUP(I102,'Lista de Precios'!$A$3:$H$2883,8,0),"")</f>
        <v/>
      </c>
      <c r="G102" s="101" t="str">
        <f t="shared" si="24"/>
        <v/>
      </c>
      <c r="H102" s="21" t="s">
        <v>3</v>
      </c>
      <c r="I102" s="18"/>
      <c r="J102" s="28" t="str">
        <f t="shared" si="25"/>
        <v/>
      </c>
      <c r="K102" s="24"/>
      <c r="L102" s="54"/>
      <c r="M102" s="54"/>
      <c r="N102" s="54"/>
      <c r="O102" s="43"/>
      <c r="P102" s="55"/>
      <c r="Q102" s="58"/>
      <c r="R102" s="54"/>
      <c r="S102" s="54"/>
      <c r="T102" s="54"/>
      <c r="U102" s="54"/>
      <c r="V102" s="54"/>
      <c r="W102" s="54"/>
      <c r="X102" s="54"/>
      <c r="Y102" s="43"/>
      <c r="Z102" s="55"/>
      <c r="AA102" s="59"/>
      <c r="AB102" s="54"/>
      <c r="AC102" s="54"/>
      <c r="AD102" s="54"/>
      <c r="AE102" s="54"/>
      <c r="AF102" s="54"/>
      <c r="AG102" s="43"/>
      <c r="AH102" s="54"/>
      <c r="AI102" s="54"/>
      <c r="AJ102" s="54"/>
      <c r="AK102" s="54"/>
      <c r="AL102" s="54"/>
      <c r="AM102" s="73">
        <f t="shared" si="27"/>
        <v>0</v>
      </c>
      <c r="AN102" s="71" t="str">
        <f>+IF($I102&gt;0,VLOOKUP($I102,'Lista de Precios'!$A$3:$H$2883,4,0),"")</f>
        <v/>
      </c>
      <c r="AO102" s="68" t="str">
        <f t="shared" si="26"/>
        <v/>
      </c>
      <c r="AP102" s="7" t="str">
        <f>IF($I102&gt;0,VLOOKUP($I102,'Lista de Precios'!$A$3:$K$2883,10,0),"")</f>
        <v/>
      </c>
      <c r="AQ102" s="7" t="str">
        <f>IF($I102&gt;0,VLOOKUP($I102,'Lista de Precios'!$A$3:$M$49893,13,0),"")</f>
        <v/>
      </c>
      <c r="HQ102" s="134"/>
      <c r="HR102" s="134"/>
      <c r="HS102" s="134"/>
      <c r="HT102" s="134"/>
      <c r="HU102" s="134"/>
      <c r="HV102" s="134"/>
      <c r="HW102" s="134"/>
      <c r="HX102" s="134"/>
      <c r="HY102" s="134"/>
      <c r="HZ102" s="134"/>
      <c r="IA102" s="134"/>
      <c r="IB102" s="134"/>
      <c r="ID102" s="134"/>
      <c r="IE102" s="134"/>
      <c r="IF102" s="134"/>
      <c r="IG102" s="134"/>
      <c r="IH102" s="134"/>
      <c r="II102" s="134"/>
      <c r="IJ102" s="134"/>
      <c r="IK102" s="134"/>
      <c r="IL102" s="134"/>
      <c r="IM102" s="135"/>
      <c r="IN102" s="135"/>
      <c r="IO102" s="135"/>
      <c r="XEO102" s="7" t="str">
        <f t="shared" si="28"/>
        <v/>
      </c>
      <c r="XEP102" s="7" t="str">
        <f t="shared" si="29"/>
        <v/>
      </c>
      <c r="XEQ102" s="7" t="str">
        <f t="shared" si="30"/>
        <v/>
      </c>
      <c r="XER102" s="7" t="str">
        <f t="shared" si="31"/>
        <v/>
      </c>
    </row>
    <row r="103" spans="1:249 16369:16372" ht="23.25" customHeight="1" x14ac:dyDescent="0.25">
      <c r="A103" s="74">
        <f>IF($I103&gt;0,VLOOKUP(I103,'Lista de Precios'!$A$3:$L$2883,9,0),0)</f>
        <v>0</v>
      </c>
      <c r="B103" s="74">
        <f>IF($I103&gt;0,VLOOKUP(I103,'Lista de Precios'!$A$3:$H$2883,7,0),0)</f>
        <v>0</v>
      </c>
      <c r="C103" s="7" t="str">
        <f>IF($I103&gt;0,VLOOKUP(I103,'Lista de Precios'!$A$3:$H$2883,2,0),"")</f>
        <v/>
      </c>
      <c r="D103" s="7" t="str">
        <f>IF($I103&gt;0,VLOOKUP(I103,'Lista de Precios'!$A$3:$H$2883,3,0),"")</f>
        <v/>
      </c>
      <c r="E103" s="76" t="str">
        <f>IF($I103&gt;0,VLOOKUP(I103,'Lista de Precios'!$A$3:$H$2883,6,0),"")</f>
        <v/>
      </c>
      <c r="F103" s="76" t="str">
        <f>IF($I103&gt;0,VLOOKUP(I103,'Lista de Precios'!$A$3:$H$2883,8,0),"")</f>
        <v/>
      </c>
      <c r="G103" s="101" t="str">
        <f t="shared" si="24"/>
        <v/>
      </c>
      <c r="H103" s="21" t="s">
        <v>3</v>
      </c>
      <c r="I103" s="18"/>
      <c r="J103" s="28" t="str">
        <f t="shared" si="25"/>
        <v/>
      </c>
      <c r="K103" s="24"/>
      <c r="L103" s="54"/>
      <c r="M103" s="54"/>
      <c r="N103" s="54"/>
      <c r="O103" s="48"/>
      <c r="P103" s="55"/>
      <c r="Q103" s="45"/>
      <c r="R103" s="43"/>
      <c r="S103" s="43"/>
      <c r="T103" s="43"/>
      <c r="U103" s="43"/>
      <c r="V103" s="43"/>
      <c r="W103" s="43"/>
      <c r="X103" s="43"/>
      <c r="Y103" s="43"/>
      <c r="Z103" s="55"/>
      <c r="AA103" s="59"/>
      <c r="AB103" s="54"/>
      <c r="AC103" s="54"/>
      <c r="AD103" s="54"/>
      <c r="AE103" s="54"/>
      <c r="AF103" s="54"/>
      <c r="AG103" s="43"/>
      <c r="AH103" s="54"/>
      <c r="AI103" s="54"/>
      <c r="AJ103" s="54"/>
      <c r="AK103" s="54"/>
      <c r="AL103" s="54"/>
      <c r="AM103" s="73">
        <f t="shared" si="27"/>
        <v>0</v>
      </c>
      <c r="AN103" s="71" t="str">
        <f>+IF($I103&gt;0,VLOOKUP($I103,'Lista de Precios'!$A$3:$H$2883,4,0),"")</f>
        <v/>
      </c>
      <c r="AO103" s="68" t="str">
        <f t="shared" si="26"/>
        <v/>
      </c>
      <c r="AP103" s="7" t="str">
        <f>IF($I103&gt;0,VLOOKUP($I103,'Lista de Precios'!$A$3:$K$2883,10,0),"")</f>
        <v/>
      </c>
      <c r="AQ103" s="7" t="str">
        <f>IF($I103&gt;0,VLOOKUP($I103,'Lista de Precios'!$A$3:$M$49893,13,0),"")</f>
        <v/>
      </c>
      <c r="HQ103" s="134"/>
      <c r="HR103" s="134"/>
      <c r="HS103" s="134"/>
      <c r="HT103" s="134"/>
      <c r="HU103" s="134"/>
      <c r="HV103" s="134"/>
      <c r="HW103" s="134"/>
      <c r="HX103" s="134"/>
      <c r="HY103" s="134"/>
      <c r="HZ103" s="134"/>
      <c r="IA103" s="134"/>
      <c r="IB103" s="134"/>
      <c r="ID103" s="134"/>
      <c r="IE103" s="134"/>
      <c r="IF103" s="134"/>
      <c r="IG103" s="134"/>
      <c r="IH103" s="134"/>
      <c r="II103" s="134"/>
      <c r="IJ103" s="134"/>
      <c r="IK103" s="134"/>
      <c r="IL103" s="134"/>
      <c r="IM103" s="135"/>
      <c r="IN103" s="135"/>
      <c r="IO103" s="135"/>
      <c r="XEO103" s="7" t="str">
        <f t="shared" si="28"/>
        <v/>
      </c>
      <c r="XEP103" s="7" t="str">
        <f t="shared" si="29"/>
        <v/>
      </c>
      <c r="XEQ103" s="7" t="str">
        <f t="shared" si="30"/>
        <v/>
      </c>
      <c r="XER103" s="7" t="str">
        <f t="shared" si="31"/>
        <v/>
      </c>
    </row>
    <row r="104" spans="1:249 16369:16372" ht="23.25" customHeight="1" thickBot="1" x14ac:dyDescent="0.3">
      <c r="A104" s="74">
        <f>IF($I104&gt;0,VLOOKUP(I104,'Lista de Precios'!$A$3:$L$2883,9,0),0)</f>
        <v>0</v>
      </c>
      <c r="B104" s="74">
        <f>IF($I104&gt;0,VLOOKUP(I104,'Lista de Precios'!$A$3:$H$2883,7,0),0)</f>
        <v>0</v>
      </c>
      <c r="C104" s="7" t="str">
        <f>IF($I104&gt;0,VLOOKUP(I104,'Lista de Precios'!$A$3:$H$2883,2,0),"")</f>
        <v/>
      </c>
      <c r="D104" s="7" t="str">
        <f>IF($I104&gt;0,VLOOKUP(I104,'Lista de Precios'!$A$3:$H$2883,3,0),"")</f>
        <v/>
      </c>
      <c r="E104" s="76" t="str">
        <f>IF($I104&gt;0,VLOOKUP(I104,'Lista de Precios'!$A$3:$H$2883,6,0),"")</f>
        <v/>
      </c>
      <c r="F104" s="76" t="str">
        <f>IF($I104&gt;0,VLOOKUP(I104,'Lista de Precios'!$A$3:$H$2883,8,0),"")</f>
        <v/>
      </c>
      <c r="G104" s="101" t="str">
        <f t="shared" si="24"/>
        <v/>
      </c>
      <c r="H104" s="25" t="s">
        <v>3</v>
      </c>
      <c r="I104" s="26"/>
      <c r="J104" s="29" t="str">
        <f t="shared" si="25"/>
        <v/>
      </c>
      <c r="K104" s="30"/>
      <c r="L104" s="60"/>
      <c r="M104" s="60"/>
      <c r="N104" s="60"/>
      <c r="O104" s="61"/>
      <c r="P104" s="62"/>
      <c r="Q104" s="63"/>
      <c r="R104" s="60"/>
      <c r="S104" s="60"/>
      <c r="T104" s="60"/>
      <c r="U104" s="60"/>
      <c r="V104" s="60"/>
      <c r="W104" s="60"/>
      <c r="X104" s="60"/>
      <c r="Y104" s="61"/>
      <c r="Z104" s="64"/>
      <c r="AA104" s="65"/>
      <c r="AB104" s="66"/>
      <c r="AC104" s="66"/>
      <c r="AD104" s="66"/>
      <c r="AE104" s="66"/>
      <c r="AF104" s="66"/>
      <c r="AG104" s="66"/>
      <c r="AH104" s="66"/>
      <c r="AI104" s="60"/>
      <c r="AJ104" s="60"/>
      <c r="AK104" s="60"/>
      <c r="AL104" s="60"/>
      <c r="AM104" s="73">
        <f t="shared" si="27"/>
        <v>0</v>
      </c>
      <c r="AN104" s="72" t="str">
        <f>+IF($I104&gt;0,VLOOKUP($I104,'Lista de Precios'!$A$3:$H$2883,4,0),"")</f>
        <v/>
      </c>
      <c r="AO104" s="69" t="str">
        <f t="shared" si="26"/>
        <v/>
      </c>
      <c r="AP104" s="7" t="str">
        <f>IF($I104&gt;0,VLOOKUP($I104,'Lista de Precios'!$A$3:$K$2883,10,0),"")</f>
        <v/>
      </c>
      <c r="AQ104" s="7" t="str">
        <f>IF($I104&gt;0,VLOOKUP($I104,'Lista de Precios'!$A$3:$M$49893,13,0),"")</f>
        <v/>
      </c>
      <c r="HQ104" s="134"/>
      <c r="HR104" s="134"/>
      <c r="HS104" s="134"/>
      <c r="HT104" s="134"/>
      <c r="HU104" s="134"/>
      <c r="HV104" s="134"/>
      <c r="HW104" s="134"/>
      <c r="HX104" s="134"/>
      <c r="HY104" s="134"/>
      <c r="HZ104" s="134"/>
      <c r="IA104" s="134"/>
      <c r="IB104" s="134"/>
      <c r="ID104" s="134"/>
      <c r="IE104" s="134"/>
      <c r="IF104" s="134"/>
      <c r="IG104" s="134"/>
      <c r="IH104" s="134"/>
      <c r="II104" s="134"/>
      <c r="IJ104" s="134"/>
      <c r="IK104" s="134"/>
      <c r="IL104" s="134"/>
      <c r="IM104" s="135"/>
      <c r="IN104" s="135"/>
      <c r="IO104" s="135"/>
      <c r="XEO104" s="7" t="str">
        <f t="shared" si="28"/>
        <v/>
      </c>
      <c r="XEP104" s="7" t="str">
        <f t="shared" si="29"/>
        <v/>
      </c>
      <c r="XEQ104" s="7" t="str">
        <f t="shared" si="30"/>
        <v/>
      </c>
      <c r="XER104" s="7" t="str">
        <f t="shared" si="31"/>
        <v/>
      </c>
    </row>
    <row r="105" spans="1:249 16369:16372" ht="23.25" customHeight="1" thickBot="1" x14ac:dyDescent="0.3">
      <c r="A105" s="74">
        <f>IF($I105&gt;0,VLOOKUP(I105,'Lista de Precios'!$A$3:$L$2883,9,0),0)</f>
        <v>0</v>
      </c>
      <c r="B105" s="74">
        <f>IF($I105&gt;0,VLOOKUP(I105,'Lista de Precios'!$A$3:$H$2883,7,0),0)</f>
        <v>0</v>
      </c>
      <c r="C105" s="7" t="str">
        <f>IF($I105&gt;0,VLOOKUP(I105,'Lista de Precios'!$A$3:$H$2883,2,0),"")</f>
        <v/>
      </c>
      <c r="D105" s="7" t="str">
        <f>IF($I105&gt;0,VLOOKUP(I105,'Lista de Precios'!$A$3:$H$2883,3,0),"")</f>
        <v/>
      </c>
      <c r="E105" s="76" t="str">
        <f>IF($I105&gt;0,VLOOKUP(I105,'Lista de Precios'!$A$3:$H$2883,6,0),"")</f>
        <v/>
      </c>
      <c r="F105" s="76" t="str">
        <f>IF($I105&gt;0,VLOOKUP(I105,'Lista de Precios'!$A$3:$H$2883,8,0),"")</f>
        <v/>
      </c>
      <c r="G105" s="101" t="str">
        <f t="shared" ref="G105:G111" si="32">IF(AN105="","",AN105*1.87)</f>
        <v/>
      </c>
      <c r="H105" s="25" t="s">
        <v>3</v>
      </c>
      <c r="I105" s="26"/>
      <c r="J105" s="29" t="str">
        <f t="shared" ref="J105:J111" si="33">+E105</f>
        <v/>
      </c>
      <c r="K105" s="30"/>
      <c r="L105" s="60"/>
      <c r="M105" s="60"/>
      <c r="N105" s="60"/>
      <c r="O105" s="61"/>
      <c r="P105" s="62"/>
      <c r="Q105" s="63"/>
      <c r="R105" s="60"/>
      <c r="S105" s="60"/>
      <c r="T105" s="60"/>
      <c r="U105" s="60"/>
      <c r="V105" s="60"/>
      <c r="W105" s="60"/>
      <c r="X105" s="60"/>
      <c r="Y105" s="61"/>
      <c r="Z105" s="64"/>
      <c r="AA105" s="65"/>
      <c r="AB105" s="66"/>
      <c r="AC105" s="66"/>
      <c r="AD105" s="66"/>
      <c r="AE105" s="66"/>
      <c r="AF105" s="66"/>
      <c r="AG105" s="66"/>
      <c r="AH105" s="66"/>
      <c r="AI105" s="60"/>
      <c r="AJ105" s="60"/>
      <c r="AK105" s="60"/>
      <c r="AL105" s="60"/>
      <c r="AM105" s="73">
        <f t="shared" si="27"/>
        <v>0</v>
      </c>
      <c r="AN105" s="72" t="str">
        <f>+IF($I105&gt;0,VLOOKUP($I105,'Lista de Precios'!$A$3:$H$2883,4,0),"")</f>
        <v/>
      </c>
      <c r="AO105" s="69" t="str">
        <f t="shared" ref="AO105:AO111" si="34">+IF(AM105&gt;0,AN105*AM105,"")</f>
        <v/>
      </c>
      <c r="AP105" s="7" t="str">
        <f>IF($I105&gt;0,VLOOKUP($I105,'Lista de Precios'!$A$3:$K$2883,10,0),"")</f>
        <v/>
      </c>
      <c r="AQ105" s="7" t="str">
        <f>IF($I105&gt;0,VLOOKUP($I105,'Lista de Precios'!$A$3:$M$49893,13,0),"")</f>
        <v/>
      </c>
      <c r="HQ105" s="134"/>
      <c r="HR105" s="134"/>
      <c r="HS105" s="134"/>
      <c r="HT105" s="134"/>
      <c r="HU105" s="134"/>
      <c r="HV105" s="134"/>
      <c r="HW105" s="134"/>
      <c r="HX105" s="134"/>
      <c r="HY105" s="134"/>
      <c r="HZ105" s="134"/>
      <c r="IA105" s="134"/>
      <c r="IB105" s="134"/>
      <c r="ID105" s="134"/>
      <c r="IE105" s="134"/>
      <c r="IF105" s="134"/>
      <c r="IG105" s="134"/>
      <c r="IH105" s="134"/>
      <c r="II105" s="134"/>
      <c r="IJ105" s="134"/>
      <c r="IK105" s="134"/>
      <c r="IL105" s="134"/>
      <c r="IM105" s="135"/>
      <c r="IN105" s="135"/>
      <c r="IO105" s="135"/>
      <c r="XEO105" s="7" t="str">
        <f t="shared" si="28"/>
        <v/>
      </c>
      <c r="XEP105" s="7" t="str">
        <f t="shared" si="29"/>
        <v/>
      </c>
      <c r="XEQ105" s="7" t="str">
        <f t="shared" si="30"/>
        <v/>
      </c>
      <c r="XER105" s="7" t="str">
        <f t="shared" si="31"/>
        <v/>
      </c>
    </row>
    <row r="106" spans="1:249 16369:16372" ht="23.25" customHeight="1" thickBot="1" x14ac:dyDescent="0.3">
      <c r="A106" s="74">
        <f>IF($I106&gt;0,VLOOKUP(I106,'Lista de Precios'!$A$3:$L$2883,9,0),0)</f>
        <v>0</v>
      </c>
      <c r="B106" s="74">
        <f>IF($I106&gt;0,VLOOKUP(I106,'Lista de Precios'!$A$3:$H$2883,7,0),0)</f>
        <v>0</v>
      </c>
      <c r="C106" s="7" t="str">
        <f>IF($I106&gt;0,VLOOKUP(I106,'Lista de Precios'!$A$3:$H$2883,2,0),"")</f>
        <v/>
      </c>
      <c r="D106" s="7" t="str">
        <f>IF($I106&gt;0,VLOOKUP(I106,'Lista de Precios'!$A$3:$H$2883,3,0),"")</f>
        <v/>
      </c>
      <c r="E106" s="76" t="str">
        <f>IF($I106&gt;0,VLOOKUP(I106,'Lista de Precios'!$A$3:$H$2883,6,0),"")</f>
        <v/>
      </c>
      <c r="F106" s="76" t="str">
        <f>IF($I106&gt;0,VLOOKUP(I106,'Lista de Precios'!$A$3:$H$2883,8,0),"")</f>
        <v/>
      </c>
      <c r="G106" s="101" t="str">
        <f t="shared" si="32"/>
        <v/>
      </c>
      <c r="H106" s="25" t="s">
        <v>3</v>
      </c>
      <c r="I106" s="26"/>
      <c r="J106" s="29" t="str">
        <f t="shared" si="33"/>
        <v/>
      </c>
      <c r="K106" s="30"/>
      <c r="L106" s="60"/>
      <c r="M106" s="60"/>
      <c r="N106" s="60"/>
      <c r="O106" s="61"/>
      <c r="P106" s="62"/>
      <c r="Q106" s="63"/>
      <c r="R106" s="60"/>
      <c r="S106" s="60"/>
      <c r="T106" s="60"/>
      <c r="U106" s="60"/>
      <c r="V106" s="60"/>
      <c r="W106" s="60"/>
      <c r="X106" s="60"/>
      <c r="Y106" s="61"/>
      <c r="Z106" s="64"/>
      <c r="AA106" s="65"/>
      <c r="AB106" s="66"/>
      <c r="AC106" s="66"/>
      <c r="AD106" s="66"/>
      <c r="AE106" s="66"/>
      <c r="AF106" s="66"/>
      <c r="AG106" s="66"/>
      <c r="AH106" s="66"/>
      <c r="AI106" s="60"/>
      <c r="AJ106" s="60"/>
      <c r="AK106" s="60"/>
      <c r="AL106" s="60"/>
      <c r="AM106" s="73">
        <f t="shared" si="27"/>
        <v>0</v>
      </c>
      <c r="AN106" s="72" t="str">
        <f>+IF($I106&gt;0,VLOOKUP($I106,'Lista de Precios'!$A$3:$H$2883,4,0),"")</f>
        <v/>
      </c>
      <c r="AO106" s="69" t="str">
        <f t="shared" si="34"/>
        <v/>
      </c>
      <c r="AP106" s="7" t="str">
        <f>IF($I106&gt;0,VLOOKUP($I106,'Lista de Precios'!$A$3:$K$2883,10,0),"")</f>
        <v/>
      </c>
      <c r="AQ106" s="7" t="str">
        <f>IF($I106&gt;0,VLOOKUP($I106,'Lista de Precios'!$A$3:$M$49893,13,0),"")</f>
        <v/>
      </c>
      <c r="HQ106" s="134"/>
      <c r="HR106" s="134"/>
      <c r="HS106" s="134"/>
      <c r="HT106" s="134"/>
      <c r="HU106" s="134"/>
      <c r="HV106" s="134"/>
      <c r="HW106" s="134"/>
      <c r="HX106" s="134"/>
      <c r="HY106" s="134"/>
      <c r="HZ106" s="134"/>
      <c r="IA106" s="134"/>
      <c r="IB106" s="134"/>
      <c r="ID106" s="134"/>
      <c r="IE106" s="134"/>
      <c r="IF106" s="134"/>
      <c r="IG106" s="134"/>
      <c r="IH106" s="134"/>
      <c r="II106" s="134"/>
      <c r="IJ106" s="134"/>
      <c r="IK106" s="134"/>
      <c r="IL106" s="134"/>
      <c r="IM106" s="135"/>
      <c r="IN106" s="135"/>
      <c r="IO106" s="135"/>
      <c r="XEO106" s="7" t="str">
        <f t="shared" si="28"/>
        <v/>
      </c>
      <c r="XEP106" s="7" t="str">
        <f t="shared" si="29"/>
        <v/>
      </c>
      <c r="XEQ106" s="7" t="str">
        <f t="shared" si="30"/>
        <v/>
      </c>
      <c r="XER106" s="7" t="str">
        <f t="shared" si="31"/>
        <v/>
      </c>
    </row>
    <row r="107" spans="1:249 16369:16372" ht="23.25" customHeight="1" thickBot="1" x14ac:dyDescent="0.3">
      <c r="A107" s="74">
        <f>IF($I107&gt;0,VLOOKUP(I107,'Lista de Precios'!$A$3:$L$2883,9,0),0)</f>
        <v>0</v>
      </c>
      <c r="B107" s="74">
        <f>IF($I107&gt;0,VLOOKUP(I107,'Lista de Precios'!$A$3:$H$2883,7,0),0)</f>
        <v>0</v>
      </c>
      <c r="C107" s="7" t="str">
        <f>IF($I107&gt;0,VLOOKUP(I107,'Lista de Precios'!$A$3:$H$2883,2,0),"")</f>
        <v/>
      </c>
      <c r="D107" s="7" t="str">
        <f>IF($I107&gt;0,VLOOKUP(I107,'Lista de Precios'!$A$3:$H$2883,3,0),"")</f>
        <v/>
      </c>
      <c r="E107" s="76" t="str">
        <f>IF($I107&gt;0,VLOOKUP(I107,'Lista de Precios'!$A$3:$H$2883,6,0),"")</f>
        <v/>
      </c>
      <c r="F107" s="76" t="str">
        <f>IF($I107&gt;0,VLOOKUP(I107,'Lista de Precios'!$A$3:$H$2883,8,0),"")</f>
        <v/>
      </c>
      <c r="G107" s="101" t="str">
        <f t="shared" si="32"/>
        <v/>
      </c>
      <c r="H107" s="25" t="s">
        <v>3</v>
      </c>
      <c r="I107" s="26"/>
      <c r="J107" s="29" t="str">
        <f t="shared" si="33"/>
        <v/>
      </c>
      <c r="K107" s="30"/>
      <c r="L107" s="60"/>
      <c r="M107" s="60"/>
      <c r="N107" s="60"/>
      <c r="O107" s="61"/>
      <c r="P107" s="62"/>
      <c r="Q107" s="63"/>
      <c r="R107" s="60"/>
      <c r="S107" s="60"/>
      <c r="T107" s="60"/>
      <c r="U107" s="60"/>
      <c r="V107" s="60"/>
      <c r="W107" s="60"/>
      <c r="X107" s="60"/>
      <c r="Y107" s="61"/>
      <c r="Z107" s="64"/>
      <c r="AA107" s="65"/>
      <c r="AB107" s="66"/>
      <c r="AC107" s="66"/>
      <c r="AD107" s="66"/>
      <c r="AE107" s="66"/>
      <c r="AF107" s="66"/>
      <c r="AG107" s="66"/>
      <c r="AH107" s="66"/>
      <c r="AI107" s="60"/>
      <c r="AJ107" s="60"/>
      <c r="AK107" s="60"/>
      <c r="AL107" s="60"/>
      <c r="AM107" s="73">
        <f t="shared" si="27"/>
        <v>0</v>
      </c>
      <c r="AN107" s="72" t="str">
        <f>+IF($I107&gt;0,VLOOKUP($I107,'Lista de Precios'!$A$3:$H$2883,4,0),"")</f>
        <v/>
      </c>
      <c r="AO107" s="69" t="str">
        <f t="shared" si="34"/>
        <v/>
      </c>
      <c r="AP107" s="7" t="str">
        <f>IF($I107&gt;0,VLOOKUP($I107,'Lista de Precios'!$A$3:$K$2883,10,0),"")</f>
        <v/>
      </c>
      <c r="AQ107" s="7" t="str">
        <f>IF($I107&gt;0,VLOOKUP($I107,'Lista de Precios'!$A$3:$M$49893,13,0),"")</f>
        <v/>
      </c>
      <c r="HQ107" s="134"/>
      <c r="HR107" s="134"/>
      <c r="HS107" s="134"/>
      <c r="HT107" s="134"/>
      <c r="HU107" s="134"/>
      <c r="HV107" s="134"/>
      <c r="HW107" s="134"/>
      <c r="HX107" s="134"/>
      <c r="HY107" s="134"/>
      <c r="HZ107" s="134"/>
      <c r="IA107" s="134"/>
      <c r="IB107" s="134"/>
      <c r="ID107" s="134"/>
      <c r="IE107" s="134"/>
      <c r="IF107" s="134"/>
      <c r="IG107" s="134"/>
      <c r="IH107" s="134"/>
      <c r="II107" s="134"/>
      <c r="IJ107" s="134"/>
      <c r="IK107" s="134"/>
      <c r="IL107" s="134"/>
      <c r="IM107" s="135"/>
      <c r="IN107" s="135"/>
      <c r="IO107" s="135"/>
      <c r="XEO107" s="7" t="str">
        <f t="shared" si="28"/>
        <v/>
      </c>
      <c r="XEP107" s="7" t="str">
        <f t="shared" si="29"/>
        <v/>
      </c>
      <c r="XEQ107" s="7" t="str">
        <f t="shared" si="30"/>
        <v/>
      </c>
      <c r="XER107" s="7" t="str">
        <f t="shared" si="31"/>
        <v/>
      </c>
    </row>
    <row r="108" spans="1:249 16369:16372" ht="23.25" customHeight="1" thickBot="1" x14ac:dyDescent="0.3">
      <c r="A108" s="74">
        <f>IF($I108&gt;0,VLOOKUP(I108,'Lista de Precios'!$A$3:$L$2883,9,0),0)</f>
        <v>0</v>
      </c>
      <c r="B108" s="74">
        <f>IF($I108&gt;0,VLOOKUP(I108,'Lista de Precios'!$A$3:$H$2883,7,0),0)</f>
        <v>0</v>
      </c>
      <c r="C108" s="7" t="str">
        <f>IF($I108&gt;0,VLOOKUP(I108,'Lista de Precios'!$A$3:$H$2883,2,0),"")</f>
        <v/>
      </c>
      <c r="D108" s="7" t="str">
        <f>IF($I108&gt;0,VLOOKUP(I108,'Lista de Precios'!$A$3:$H$2883,3,0),"")</f>
        <v/>
      </c>
      <c r="E108" s="76" t="str">
        <f>IF($I108&gt;0,VLOOKUP(I108,'Lista de Precios'!$A$3:$H$2883,6,0),"")</f>
        <v/>
      </c>
      <c r="F108" s="76" t="str">
        <f>IF($I108&gt;0,VLOOKUP(I108,'Lista de Precios'!$A$3:$H$2883,8,0),"")</f>
        <v/>
      </c>
      <c r="G108" s="101" t="str">
        <f t="shared" si="32"/>
        <v/>
      </c>
      <c r="H108" s="25" t="s">
        <v>3</v>
      </c>
      <c r="I108" s="26"/>
      <c r="J108" s="29" t="str">
        <f t="shared" si="33"/>
        <v/>
      </c>
      <c r="K108" s="30"/>
      <c r="L108" s="60"/>
      <c r="M108" s="60"/>
      <c r="N108" s="60"/>
      <c r="O108" s="61"/>
      <c r="P108" s="62"/>
      <c r="Q108" s="63"/>
      <c r="R108" s="60"/>
      <c r="S108" s="60"/>
      <c r="T108" s="60"/>
      <c r="U108" s="60"/>
      <c r="V108" s="60"/>
      <c r="W108" s="60"/>
      <c r="X108" s="60"/>
      <c r="Y108" s="61"/>
      <c r="Z108" s="64"/>
      <c r="AA108" s="65"/>
      <c r="AB108" s="66"/>
      <c r="AC108" s="66"/>
      <c r="AD108" s="66"/>
      <c r="AE108" s="66"/>
      <c r="AF108" s="66"/>
      <c r="AG108" s="66"/>
      <c r="AH108" s="66"/>
      <c r="AI108" s="60"/>
      <c r="AJ108" s="60"/>
      <c r="AK108" s="60"/>
      <c r="AL108" s="60"/>
      <c r="AM108" s="73">
        <f t="shared" si="27"/>
        <v>0</v>
      </c>
      <c r="AN108" s="72" t="str">
        <f>+IF($I108&gt;0,VLOOKUP($I108,'Lista de Precios'!$A$3:$H$2883,4,0),"")</f>
        <v/>
      </c>
      <c r="AO108" s="69" t="str">
        <f t="shared" si="34"/>
        <v/>
      </c>
      <c r="AP108" s="7" t="str">
        <f>IF($I108&gt;0,VLOOKUP($I108,'Lista de Precios'!$A$3:$K$2883,10,0),"")</f>
        <v/>
      </c>
      <c r="AQ108" s="7" t="str">
        <f>IF($I108&gt;0,VLOOKUP($I108,'Lista de Precios'!$A$3:$M$49893,13,0),"")</f>
        <v/>
      </c>
      <c r="HQ108" s="134"/>
      <c r="HR108" s="134"/>
      <c r="HS108" s="134"/>
      <c r="HT108" s="134"/>
      <c r="HU108" s="134"/>
      <c r="HV108" s="134"/>
      <c r="HW108" s="134"/>
      <c r="HX108" s="134"/>
      <c r="HY108" s="134"/>
      <c r="HZ108" s="134"/>
      <c r="IA108" s="134"/>
      <c r="IB108" s="134"/>
      <c r="ID108" s="134"/>
      <c r="IE108" s="134"/>
      <c r="IF108" s="134"/>
      <c r="IG108" s="134"/>
      <c r="IH108" s="134"/>
      <c r="II108" s="134"/>
      <c r="IJ108" s="134"/>
      <c r="IK108" s="134"/>
      <c r="IL108" s="134"/>
      <c r="IM108" s="135"/>
      <c r="IN108" s="135"/>
      <c r="IO108" s="135"/>
      <c r="XEO108" s="7" t="str">
        <f t="shared" si="28"/>
        <v/>
      </c>
      <c r="XEP108" s="7" t="str">
        <f t="shared" si="29"/>
        <v/>
      </c>
      <c r="XEQ108" s="7" t="str">
        <f t="shared" si="30"/>
        <v/>
      </c>
      <c r="XER108" s="7" t="str">
        <f t="shared" si="31"/>
        <v/>
      </c>
    </row>
    <row r="109" spans="1:249 16369:16372" ht="23.25" customHeight="1" thickBot="1" x14ac:dyDescent="0.3">
      <c r="A109" s="74">
        <f>IF($I109&gt;0,VLOOKUP(I109,'Lista de Precios'!$A$3:$L$2883,9,0),0)</f>
        <v>0</v>
      </c>
      <c r="B109" s="74">
        <f>IF($I109&gt;0,VLOOKUP(I109,'Lista de Precios'!$A$3:$H$2883,7,0),0)</f>
        <v>0</v>
      </c>
      <c r="C109" s="7" t="str">
        <f>IF($I109&gt;0,VLOOKUP(I109,'Lista de Precios'!$A$3:$H$2883,2,0),"")</f>
        <v/>
      </c>
      <c r="D109" s="7" t="str">
        <f>IF($I109&gt;0,VLOOKUP(I109,'Lista de Precios'!$A$3:$H$2883,3,0),"")</f>
        <v/>
      </c>
      <c r="E109" s="76" t="str">
        <f>IF($I109&gt;0,VLOOKUP(I109,'Lista de Precios'!$A$3:$H$2883,6,0),"")</f>
        <v/>
      </c>
      <c r="F109" s="76" t="str">
        <f>IF($I109&gt;0,VLOOKUP(I109,'Lista de Precios'!$A$3:$H$2883,8,0),"")</f>
        <v/>
      </c>
      <c r="G109" s="101" t="str">
        <f t="shared" si="32"/>
        <v/>
      </c>
      <c r="H109" s="25" t="s">
        <v>3</v>
      </c>
      <c r="I109" s="26"/>
      <c r="J109" s="29" t="str">
        <f t="shared" si="33"/>
        <v/>
      </c>
      <c r="K109" s="30"/>
      <c r="L109" s="60"/>
      <c r="M109" s="60"/>
      <c r="N109" s="60"/>
      <c r="O109" s="61"/>
      <c r="P109" s="62"/>
      <c r="Q109" s="63"/>
      <c r="R109" s="60"/>
      <c r="S109" s="60"/>
      <c r="T109" s="60"/>
      <c r="U109" s="60"/>
      <c r="V109" s="60"/>
      <c r="W109" s="60"/>
      <c r="X109" s="60"/>
      <c r="Y109" s="61"/>
      <c r="Z109" s="64"/>
      <c r="AA109" s="65"/>
      <c r="AB109" s="66"/>
      <c r="AC109" s="66"/>
      <c r="AD109" s="66"/>
      <c r="AE109" s="66"/>
      <c r="AF109" s="66"/>
      <c r="AG109" s="66"/>
      <c r="AH109" s="66"/>
      <c r="AI109" s="60"/>
      <c r="AJ109" s="60"/>
      <c r="AK109" s="60"/>
      <c r="AL109" s="60"/>
      <c r="AM109" s="73">
        <f t="shared" si="27"/>
        <v>0</v>
      </c>
      <c r="AN109" s="72" t="str">
        <f>+IF($I109&gt;0,VLOOKUP($I109,'Lista de Precios'!$A$3:$H$2883,4,0),"")</f>
        <v/>
      </c>
      <c r="AO109" s="69" t="str">
        <f t="shared" si="34"/>
        <v/>
      </c>
      <c r="AP109" s="7" t="str">
        <f>IF($I109&gt;0,VLOOKUP($I109,'Lista de Precios'!$A$3:$K$2883,10,0),"")</f>
        <v/>
      </c>
      <c r="AQ109" s="7" t="str">
        <f>IF($I109&gt;0,VLOOKUP($I109,'Lista de Precios'!$A$3:$M$49893,13,0),"")</f>
        <v/>
      </c>
      <c r="HQ109" s="134"/>
      <c r="HR109" s="134"/>
      <c r="HS109" s="134"/>
      <c r="HT109" s="134"/>
      <c r="HU109" s="134"/>
      <c r="HV109" s="134"/>
      <c r="HW109" s="134"/>
      <c r="HX109" s="134"/>
      <c r="HY109" s="134"/>
      <c r="HZ109" s="134"/>
      <c r="IA109" s="134"/>
      <c r="IB109" s="134"/>
      <c r="ID109" s="134"/>
      <c r="IE109" s="134"/>
      <c r="IF109" s="134"/>
      <c r="IG109" s="134"/>
      <c r="IH109" s="134"/>
      <c r="II109" s="134"/>
      <c r="IJ109" s="134"/>
      <c r="IK109" s="134"/>
      <c r="IL109" s="134"/>
      <c r="IM109" s="135"/>
      <c r="IN109" s="135"/>
      <c r="IO109" s="135"/>
      <c r="XEO109" s="7" t="str">
        <f t="shared" si="28"/>
        <v/>
      </c>
      <c r="XEP109" s="7" t="str">
        <f t="shared" si="29"/>
        <v/>
      </c>
      <c r="XEQ109" s="7" t="str">
        <f t="shared" si="30"/>
        <v/>
      </c>
      <c r="XER109" s="7" t="str">
        <f t="shared" si="31"/>
        <v/>
      </c>
    </row>
    <row r="110" spans="1:249 16369:16372" ht="23.25" customHeight="1" thickBot="1" x14ac:dyDescent="0.3">
      <c r="A110" s="74">
        <f>IF($I110&gt;0,VLOOKUP(I110,'Lista de Precios'!$A$3:$L$2883,9,0),0)</f>
        <v>0</v>
      </c>
      <c r="B110" s="74">
        <f>IF($I110&gt;0,VLOOKUP(I110,'Lista de Precios'!$A$3:$H$2883,7,0),0)</f>
        <v>0</v>
      </c>
      <c r="C110" s="7" t="str">
        <f>IF($I110&gt;0,VLOOKUP(I110,'Lista de Precios'!$A$3:$H$2883,2,0),"")</f>
        <v/>
      </c>
      <c r="D110" s="7" t="str">
        <f>IF($I110&gt;0,VLOOKUP(I110,'Lista de Precios'!$A$3:$H$2883,3,0),"")</f>
        <v/>
      </c>
      <c r="E110" s="76" t="str">
        <f>IF($I110&gt;0,VLOOKUP(I110,'Lista de Precios'!$A$3:$H$2883,6,0),"")</f>
        <v/>
      </c>
      <c r="F110" s="76" t="str">
        <f>IF($I110&gt;0,VLOOKUP(I110,'Lista de Precios'!$A$3:$H$2883,8,0),"")</f>
        <v/>
      </c>
      <c r="G110" s="101" t="str">
        <f t="shared" si="32"/>
        <v/>
      </c>
      <c r="H110" s="25" t="s">
        <v>3</v>
      </c>
      <c r="I110" s="26"/>
      <c r="J110" s="29" t="str">
        <f t="shared" si="33"/>
        <v/>
      </c>
      <c r="K110" s="30"/>
      <c r="L110" s="60"/>
      <c r="M110" s="60"/>
      <c r="N110" s="60"/>
      <c r="O110" s="61"/>
      <c r="P110" s="62"/>
      <c r="Q110" s="63"/>
      <c r="R110" s="60"/>
      <c r="S110" s="60"/>
      <c r="T110" s="60"/>
      <c r="U110" s="60"/>
      <c r="V110" s="60"/>
      <c r="W110" s="60"/>
      <c r="X110" s="60"/>
      <c r="Y110" s="61"/>
      <c r="Z110" s="64"/>
      <c r="AA110" s="65"/>
      <c r="AB110" s="66"/>
      <c r="AC110" s="66"/>
      <c r="AD110" s="66"/>
      <c r="AE110" s="66"/>
      <c r="AF110" s="66"/>
      <c r="AG110" s="66"/>
      <c r="AH110" s="66"/>
      <c r="AI110" s="60"/>
      <c r="AJ110" s="60"/>
      <c r="AK110" s="60"/>
      <c r="AL110" s="60"/>
      <c r="AM110" s="73">
        <f t="shared" si="27"/>
        <v>0</v>
      </c>
      <c r="AN110" s="72" t="str">
        <f>+IF($I110&gt;0,VLOOKUP($I110,'Lista de Precios'!$A$3:$H$2883,4,0),"")</f>
        <v/>
      </c>
      <c r="AO110" s="69" t="str">
        <f t="shared" si="34"/>
        <v/>
      </c>
      <c r="AP110" s="7" t="str">
        <f>IF($I110&gt;0,VLOOKUP($I110,'Lista de Precios'!$A$3:$K$2883,10,0),"")</f>
        <v/>
      </c>
      <c r="AQ110" s="7" t="str">
        <f>IF($I110&gt;0,VLOOKUP($I110,'Lista de Precios'!$A$3:$M$49893,13,0),"")</f>
        <v/>
      </c>
      <c r="HQ110" s="134"/>
      <c r="HR110" s="134"/>
      <c r="HS110" s="134"/>
      <c r="HT110" s="134"/>
      <c r="HU110" s="134"/>
      <c r="HV110" s="134"/>
      <c r="HW110" s="134"/>
      <c r="HX110" s="134"/>
      <c r="HY110" s="134"/>
      <c r="HZ110" s="134"/>
      <c r="IA110" s="134"/>
      <c r="IB110" s="134"/>
      <c r="ID110" s="134"/>
      <c r="IE110" s="134"/>
      <c r="IF110" s="134"/>
      <c r="IG110" s="134"/>
      <c r="IH110" s="134"/>
      <c r="II110" s="134"/>
      <c r="IJ110" s="134"/>
      <c r="IK110" s="134"/>
      <c r="IL110" s="134"/>
      <c r="IM110" s="135"/>
      <c r="IN110" s="135"/>
      <c r="IO110" s="135"/>
      <c r="XEO110" s="7" t="str">
        <f t="shared" si="28"/>
        <v/>
      </c>
      <c r="XEP110" s="7" t="str">
        <f t="shared" si="29"/>
        <v/>
      </c>
      <c r="XEQ110" s="7" t="str">
        <f t="shared" si="30"/>
        <v/>
      </c>
      <c r="XER110" s="7" t="str">
        <f t="shared" si="31"/>
        <v/>
      </c>
    </row>
    <row r="111" spans="1:249 16369:16372" ht="23.25" customHeight="1" thickBot="1" x14ac:dyDescent="0.3">
      <c r="A111" s="74">
        <f>IF($I111&gt;0,VLOOKUP(I111,'Lista de Precios'!$A$3:$L$2883,9,0),0)</f>
        <v>0</v>
      </c>
      <c r="B111" s="74">
        <f>IF($I111&gt;0,VLOOKUP(I111,'Lista de Precios'!$A$3:$H$2883,7,0),0)</f>
        <v>0</v>
      </c>
      <c r="C111" s="7" t="str">
        <f>IF($I111&gt;0,VLOOKUP(I111,'Lista de Precios'!$A$3:$H$2883,2,0),"")</f>
        <v/>
      </c>
      <c r="D111" s="7" t="str">
        <f>IF($I111&gt;0,VLOOKUP(I111,'Lista de Precios'!$A$3:$H$2883,3,0),"")</f>
        <v/>
      </c>
      <c r="E111" s="76" t="str">
        <f>IF($I111&gt;0,VLOOKUP(I111,'Lista de Precios'!$A$3:$H$2883,6,0),"")</f>
        <v/>
      </c>
      <c r="F111" s="76" t="str">
        <f>IF($I111&gt;0,VLOOKUP(I111,'Lista de Precios'!$A$3:$H$2883,8,0),"")</f>
        <v/>
      </c>
      <c r="G111" s="101" t="str">
        <f t="shared" si="32"/>
        <v/>
      </c>
      <c r="H111" s="25" t="s">
        <v>3</v>
      </c>
      <c r="I111" s="26"/>
      <c r="J111" s="29" t="str">
        <f t="shared" si="33"/>
        <v/>
      </c>
      <c r="K111" s="30"/>
      <c r="L111" s="60"/>
      <c r="M111" s="60"/>
      <c r="N111" s="60"/>
      <c r="O111" s="61"/>
      <c r="P111" s="62"/>
      <c r="Q111" s="63"/>
      <c r="R111" s="60"/>
      <c r="S111" s="60"/>
      <c r="T111" s="60"/>
      <c r="U111" s="60"/>
      <c r="V111" s="60"/>
      <c r="W111" s="60"/>
      <c r="X111" s="60"/>
      <c r="Y111" s="61"/>
      <c r="Z111" s="64"/>
      <c r="AA111" s="65"/>
      <c r="AB111" s="66"/>
      <c r="AC111" s="66"/>
      <c r="AD111" s="66"/>
      <c r="AE111" s="66"/>
      <c r="AF111" s="66"/>
      <c r="AG111" s="66"/>
      <c r="AH111" s="66"/>
      <c r="AI111" s="60"/>
      <c r="AJ111" s="60"/>
      <c r="AK111" s="60"/>
      <c r="AL111" s="60"/>
      <c r="AM111" s="73">
        <f t="shared" si="27"/>
        <v>0</v>
      </c>
      <c r="AN111" s="72" t="str">
        <f>+IF($I111&gt;0,VLOOKUP($I111,'Lista de Precios'!$A$3:$H$2883,4,0),"")</f>
        <v/>
      </c>
      <c r="AO111" s="69" t="str">
        <f t="shared" si="34"/>
        <v/>
      </c>
      <c r="AP111" s="7" t="str">
        <f>IF($I111&gt;0,VLOOKUP($I111,'Lista de Precios'!$A$3:$K$2883,10,0),"")</f>
        <v/>
      </c>
      <c r="AQ111" s="7" t="str">
        <f>IF($I111&gt;0,VLOOKUP($I111,'Lista de Precios'!$A$3:$M$49893,13,0),"")</f>
        <v/>
      </c>
      <c r="HQ111" s="134"/>
      <c r="HR111" s="134"/>
      <c r="HS111" s="134"/>
      <c r="HT111" s="134"/>
      <c r="HU111" s="134"/>
      <c r="HV111" s="134"/>
      <c r="HW111" s="134"/>
      <c r="HX111" s="134"/>
      <c r="HY111" s="134"/>
      <c r="HZ111" s="134"/>
      <c r="IA111" s="134"/>
      <c r="IB111" s="134"/>
      <c r="ID111" s="134"/>
      <c r="IE111" s="134"/>
      <c r="IF111" s="134"/>
      <c r="IG111" s="134"/>
      <c r="IH111" s="134"/>
      <c r="II111" s="134"/>
      <c r="IJ111" s="134"/>
      <c r="IK111" s="134"/>
      <c r="IL111" s="134"/>
      <c r="IM111" s="135"/>
      <c r="IN111" s="135"/>
      <c r="IO111" s="135"/>
      <c r="XEO111" s="7" t="str">
        <f t="shared" si="28"/>
        <v/>
      </c>
      <c r="XEP111" s="7" t="str">
        <f t="shared" si="29"/>
        <v/>
      </c>
      <c r="XEQ111" s="7" t="str">
        <f t="shared" si="30"/>
        <v/>
      </c>
      <c r="XER111" s="7" t="str">
        <f t="shared" si="31"/>
        <v/>
      </c>
    </row>
    <row r="112" spans="1:249 16369:16372" x14ac:dyDescent="0.2">
      <c r="AQ112" s="7" t="str">
        <f>IF($I112&gt;0,VLOOKUP($I112,'Lista de Precios'!$A$3:$M$49893,13,0),"")</f>
        <v/>
      </c>
    </row>
    <row r="113" spans="43:43" x14ac:dyDescent="0.2">
      <c r="AQ113" s="7" t="str">
        <f>IF($I113&gt;0,VLOOKUP($I113,'Lista de Precios'!$A$3:$M$49893,13,0),"")</f>
        <v/>
      </c>
    </row>
    <row r="114" spans="43:43" x14ac:dyDescent="0.2">
      <c r="AQ114" s="7" t="str">
        <f>IF($I114&gt;0,VLOOKUP($I114,'Lista de Precios'!$A$3:$M$49893,13,0),"")</f>
        <v/>
      </c>
    </row>
    <row r="115" spans="43:43" x14ac:dyDescent="0.2">
      <c r="AQ115" s="7" t="str">
        <f>IF($I115&gt;0,VLOOKUP($I115,'Lista de Precios'!$A$3:$M$49893,13,0),"")</f>
        <v/>
      </c>
    </row>
    <row r="116" spans="43:43" x14ac:dyDescent="0.2">
      <c r="AQ116" s="7" t="str">
        <f>IF($I116&gt;0,VLOOKUP($I116,'Lista de Precios'!$A$3:$M$49893,13,0),"")</f>
        <v/>
      </c>
    </row>
    <row r="117" spans="43:43" x14ac:dyDescent="0.2">
      <c r="AQ117" s="7" t="str">
        <f>IF($I117&gt;0,VLOOKUP($I117,'Lista de Precios'!$A$3:$M$49893,13,0),"")</f>
        <v/>
      </c>
    </row>
    <row r="118" spans="43:43" x14ac:dyDescent="0.2">
      <c r="AQ118" s="7" t="str">
        <f>IF($I118&gt;0,VLOOKUP($I118,'Lista de Precios'!$A$3:$M$49893,13,0),"")</f>
        <v/>
      </c>
    </row>
    <row r="119" spans="43:43" x14ac:dyDescent="0.2">
      <c r="AQ119" s="7" t="str">
        <f>IF($I119&gt;0,VLOOKUP($I119,'Lista de Precios'!$A$3:$M$49893,13,0),"")</f>
        <v/>
      </c>
    </row>
    <row r="120" spans="43:43" x14ac:dyDescent="0.2">
      <c r="AQ120" s="7" t="str">
        <f>IF($I120&gt;0,VLOOKUP($I120,'Lista de Precios'!$A$3:$M$49893,13,0),"")</f>
        <v/>
      </c>
    </row>
    <row r="121" spans="43:43" x14ac:dyDescent="0.2">
      <c r="AQ121" s="7" t="str">
        <f>IF($I121&gt;0,VLOOKUP($I121,'Lista de Precios'!$A$3:$M$49893,13,0),"")</f>
        <v/>
      </c>
    </row>
    <row r="122" spans="43:43" x14ac:dyDescent="0.2">
      <c r="AQ122" s="7" t="str">
        <f>IF($I122&gt;0,VLOOKUP($I122,'Lista de Precios'!$A$3:$M$49893,13,0),"")</f>
        <v/>
      </c>
    </row>
    <row r="123" spans="43:43" x14ac:dyDescent="0.2">
      <c r="AQ123" s="7" t="str">
        <f>IF($I123&gt;0,VLOOKUP($I123,'Lista de Precios'!$A$3:$M$49893,13,0),"")</f>
        <v/>
      </c>
    </row>
    <row r="124" spans="43:43" x14ac:dyDescent="0.2">
      <c r="AQ124" s="7" t="str">
        <f>IF($I124&gt;0,VLOOKUP($I124,'Lista de Precios'!$A$3:$M$49893,13,0),"")</f>
        <v/>
      </c>
    </row>
    <row r="125" spans="43:43" x14ac:dyDescent="0.2">
      <c r="AQ125" s="7" t="str">
        <f>IF($I125&gt;0,VLOOKUP($I125,'Lista de Precios'!$A$3:$M$49893,13,0),"")</f>
        <v/>
      </c>
    </row>
    <row r="126" spans="43:43" x14ac:dyDescent="0.2">
      <c r="AQ126" s="7" t="str">
        <f>IF($I126&gt;0,VLOOKUP($I126,'Lista de Precios'!$A$3:$M$49893,13,0),"")</f>
        <v/>
      </c>
    </row>
    <row r="127" spans="43:43" x14ac:dyDescent="0.2">
      <c r="AQ127" s="7" t="str">
        <f>IF($I127&gt;0,VLOOKUP($I127,'Lista de Precios'!$A$3:$M$49893,13,0),"")</f>
        <v/>
      </c>
    </row>
    <row r="128" spans="43:43" x14ac:dyDescent="0.2">
      <c r="AQ128" s="7" t="str">
        <f>IF($I128&gt;0,VLOOKUP($I128,'Lista de Precios'!$A$3:$M$49893,13,0),"")</f>
        <v/>
      </c>
    </row>
    <row r="129" spans="43:43" x14ac:dyDescent="0.2">
      <c r="AQ129" s="7" t="str">
        <f>IF($I129&gt;0,VLOOKUP($I129,'Lista de Precios'!$A$3:$M$49893,13,0),"")</f>
        <v/>
      </c>
    </row>
    <row r="130" spans="43:43" x14ac:dyDescent="0.2">
      <c r="AQ130" s="7" t="str">
        <f>IF($I130&gt;0,VLOOKUP($I130,'Lista de Precios'!$A$3:$M$49893,13,0),"")</f>
        <v/>
      </c>
    </row>
    <row r="131" spans="43:43" x14ac:dyDescent="0.2">
      <c r="AQ131" s="7" t="str">
        <f>IF($I131&gt;0,VLOOKUP($I131,'Lista de Precios'!$A$3:$M$49893,13,0),"")</f>
        <v/>
      </c>
    </row>
    <row r="132" spans="43:43" x14ac:dyDescent="0.2">
      <c r="AQ132" s="7" t="str">
        <f>IF($I132&gt;0,VLOOKUP($I132,'Lista de Precios'!$A$3:$M$49893,13,0),"")</f>
        <v/>
      </c>
    </row>
    <row r="133" spans="43:43" x14ac:dyDescent="0.2">
      <c r="AQ133" s="7" t="str">
        <f>IF($I133&gt;0,VLOOKUP($I133,'Lista de Precios'!$A$3:$M$49893,13,0),"")</f>
        <v/>
      </c>
    </row>
    <row r="134" spans="43:43" x14ac:dyDescent="0.2">
      <c r="AQ134" s="7" t="str">
        <f>IF($I134&gt;0,VLOOKUP($I134,'Lista de Precios'!$A$3:$M$49893,13,0),"")</f>
        <v/>
      </c>
    </row>
    <row r="135" spans="43:43" x14ac:dyDescent="0.2">
      <c r="AQ135" s="7" t="str">
        <f>IF($I135&gt;0,VLOOKUP($I135,'Lista de Precios'!$A$3:$M$49893,13,0),"")</f>
        <v/>
      </c>
    </row>
    <row r="136" spans="43:43" x14ac:dyDescent="0.2">
      <c r="AQ136" s="7" t="str">
        <f>IF($I136&gt;0,VLOOKUP($I136,'Lista de Precios'!$A$3:$M$49893,13,0),"")</f>
        <v/>
      </c>
    </row>
    <row r="137" spans="43:43" x14ac:dyDescent="0.2">
      <c r="AQ137" s="7" t="str">
        <f>IF($I137&gt;0,VLOOKUP($I137,'Lista de Precios'!$A$3:$M$49893,13,0),"")</f>
        <v/>
      </c>
    </row>
    <row r="138" spans="43:43" x14ac:dyDescent="0.2">
      <c r="AQ138" s="7" t="str">
        <f>IF($I138&gt;0,VLOOKUP($I138,'Lista de Precios'!$A$3:$M$49893,13,0),"")</f>
        <v/>
      </c>
    </row>
    <row r="139" spans="43:43" x14ac:dyDescent="0.2">
      <c r="AQ139" s="7" t="str">
        <f>IF($I139&gt;0,VLOOKUP($I139,'Lista de Precios'!$A$3:$M$49893,13,0),"")</f>
        <v/>
      </c>
    </row>
    <row r="140" spans="43:43" x14ac:dyDescent="0.2">
      <c r="AQ140" s="7" t="str">
        <f>IF($I140&gt;0,VLOOKUP($I140,'Lista de Precios'!$A$3:$M$49893,13,0),"")</f>
        <v/>
      </c>
    </row>
    <row r="141" spans="43:43" x14ac:dyDescent="0.2">
      <c r="AQ141" s="7" t="str">
        <f>IF($I141&gt;0,VLOOKUP($I141,'Lista de Precios'!$A$3:$M$49893,13,0),"")</f>
        <v/>
      </c>
    </row>
    <row r="142" spans="43:43" x14ac:dyDescent="0.2">
      <c r="AQ142" s="7" t="str">
        <f>IF($I142&gt;0,VLOOKUP($I142,'Lista de Precios'!$A$3:$M$49893,13,0),"")</f>
        <v/>
      </c>
    </row>
    <row r="143" spans="43:43" x14ac:dyDescent="0.2">
      <c r="AQ143" s="7" t="str">
        <f>IF($I143&gt;0,VLOOKUP($I143,'Lista de Precios'!$A$3:$M$49893,13,0),"")</f>
        <v/>
      </c>
    </row>
    <row r="144" spans="43:43" x14ac:dyDescent="0.2">
      <c r="AQ144" s="7" t="str">
        <f>IF($I144&gt;0,VLOOKUP($I144,'Lista de Precios'!$A$3:$M$49893,13,0),"")</f>
        <v/>
      </c>
    </row>
    <row r="145" spans="43:43" x14ac:dyDescent="0.2">
      <c r="AQ145" s="7" t="str">
        <f>IF($I145&gt;0,VLOOKUP($I145,'Lista de Precios'!$A$3:$M$49893,13,0),"")</f>
        <v/>
      </c>
    </row>
    <row r="146" spans="43:43" x14ac:dyDescent="0.2">
      <c r="AQ146" s="7" t="str">
        <f>IF($I146&gt;0,VLOOKUP($I146,'Lista de Precios'!$A$3:$M$49893,13,0),"")</f>
        <v/>
      </c>
    </row>
    <row r="147" spans="43:43" x14ac:dyDescent="0.2">
      <c r="AQ147" s="7" t="str">
        <f>IF($I147&gt;0,VLOOKUP($I147,'Lista de Precios'!$A$3:$M$49893,13,0),"")</f>
        <v/>
      </c>
    </row>
    <row r="148" spans="43:43" x14ac:dyDescent="0.2">
      <c r="AQ148" s="7" t="str">
        <f>IF($I148&gt;0,VLOOKUP($I148,'Lista de Precios'!$A$3:$M$49893,13,0),"")</f>
        <v/>
      </c>
    </row>
    <row r="149" spans="43:43" x14ac:dyDescent="0.2">
      <c r="AQ149" s="7" t="str">
        <f>IF($I149&gt;0,VLOOKUP($I149,'Lista de Precios'!$A$3:$M$49893,13,0),"")</f>
        <v/>
      </c>
    </row>
    <row r="150" spans="43:43" x14ac:dyDescent="0.2">
      <c r="AQ150" s="7" t="str">
        <f>IF($I150&gt;0,VLOOKUP($I150,'Lista de Precios'!$A$3:$M$49893,13,0),"")</f>
        <v/>
      </c>
    </row>
    <row r="151" spans="43:43" x14ac:dyDescent="0.2">
      <c r="AQ151" s="7" t="str">
        <f>IF($I151&gt;0,VLOOKUP($I151,'Lista de Precios'!$A$3:$M$49893,13,0),"")</f>
        <v/>
      </c>
    </row>
    <row r="152" spans="43:43" x14ac:dyDescent="0.2">
      <c r="AQ152" s="7" t="str">
        <f>IF($I152&gt;0,VLOOKUP($I152,'Lista de Precios'!$A$3:$M$49893,13,0),"")</f>
        <v/>
      </c>
    </row>
    <row r="153" spans="43:43" x14ac:dyDescent="0.2">
      <c r="AQ153" s="7" t="str">
        <f>IF($I153&gt;0,VLOOKUP($I153,'Lista de Precios'!$A$3:$M$49893,13,0),"")</f>
        <v/>
      </c>
    </row>
    <row r="154" spans="43:43" x14ac:dyDescent="0.2">
      <c r="AQ154" s="7" t="str">
        <f>IF($I154&gt;0,VLOOKUP($I154,'Lista de Precios'!$A$3:$M$49893,13,0),"")</f>
        <v/>
      </c>
    </row>
    <row r="155" spans="43:43" x14ac:dyDescent="0.2">
      <c r="AQ155" s="7" t="str">
        <f>IF($I155&gt;0,VLOOKUP($I155,'Lista de Precios'!$A$3:$M$49893,13,0),"")</f>
        <v/>
      </c>
    </row>
    <row r="156" spans="43:43" x14ac:dyDescent="0.2">
      <c r="AQ156" s="7" t="str">
        <f>IF($I156&gt;0,VLOOKUP($I156,'Lista de Precios'!$A$3:$M$49893,13,0),"")</f>
        <v/>
      </c>
    </row>
    <row r="157" spans="43:43" x14ac:dyDescent="0.2">
      <c r="AQ157" s="7" t="str">
        <f>IF($I157&gt;0,VLOOKUP($I157,'Lista de Precios'!$A$3:$M$49893,13,0),"")</f>
        <v/>
      </c>
    </row>
    <row r="158" spans="43:43" x14ac:dyDescent="0.2">
      <c r="AQ158" s="7" t="str">
        <f>IF($I158&gt;0,VLOOKUP($I158,'Lista de Precios'!$A$3:$M$49893,13,0),"")</f>
        <v/>
      </c>
    </row>
    <row r="159" spans="43:43" x14ac:dyDescent="0.2">
      <c r="AQ159" s="7" t="str">
        <f>IF($I159&gt;0,VLOOKUP($I159,'Lista de Precios'!$A$3:$M$49893,13,0),"")</f>
        <v/>
      </c>
    </row>
    <row r="160" spans="43:43" x14ac:dyDescent="0.2">
      <c r="AQ160" s="7" t="str">
        <f>IF($I160&gt;0,VLOOKUP($I160,'Lista de Precios'!$A$3:$M$49893,13,0),"")</f>
        <v/>
      </c>
    </row>
    <row r="161" spans="43:43" x14ac:dyDescent="0.2">
      <c r="AQ161" s="7" t="str">
        <f>IF($I161&gt;0,VLOOKUP($I161,'Lista de Precios'!$A$3:$M$49893,13,0),"")</f>
        <v/>
      </c>
    </row>
    <row r="162" spans="43:43" x14ac:dyDescent="0.2">
      <c r="AQ162" s="7" t="str">
        <f>IF($I162&gt;0,VLOOKUP($I162,'Lista de Precios'!$A$3:$M$49893,13,0),"")</f>
        <v/>
      </c>
    </row>
    <row r="163" spans="43:43" x14ac:dyDescent="0.2">
      <c r="AQ163" s="7" t="str">
        <f>IF($I163&gt;0,VLOOKUP($I163,'Lista de Precios'!$A$3:$M$49893,13,0),"")</f>
        <v/>
      </c>
    </row>
    <row r="164" spans="43:43" x14ac:dyDescent="0.2">
      <c r="AQ164" s="7" t="str">
        <f>IF($I164&gt;0,VLOOKUP($I164,'Lista de Precios'!$A$3:$M$49893,13,0),"")</f>
        <v/>
      </c>
    </row>
    <row r="165" spans="43:43" x14ac:dyDescent="0.2">
      <c r="AQ165" s="7" t="str">
        <f>IF($I165&gt;0,VLOOKUP($I165,'Lista de Precios'!$A$3:$M$49893,13,0),"")</f>
        <v/>
      </c>
    </row>
    <row r="166" spans="43:43" x14ac:dyDescent="0.2">
      <c r="AQ166" s="7" t="str">
        <f>IF($I166&gt;0,VLOOKUP($I166,'Lista de Precios'!$A$3:$M$49893,13,0),"")</f>
        <v/>
      </c>
    </row>
    <row r="167" spans="43:43" x14ac:dyDescent="0.2">
      <c r="AQ167" s="7" t="str">
        <f>IF($I167&gt;0,VLOOKUP($I167,'Lista de Precios'!$A$3:$M$49893,13,0),"")</f>
        <v/>
      </c>
    </row>
    <row r="168" spans="43:43" x14ac:dyDescent="0.2">
      <c r="AQ168" s="7" t="str">
        <f>IF($I168&gt;0,VLOOKUP($I168,'Lista de Precios'!$A$3:$M$49893,13,0),"")</f>
        <v/>
      </c>
    </row>
    <row r="169" spans="43:43" x14ac:dyDescent="0.2">
      <c r="AQ169" s="7" t="str">
        <f>IF($I169&gt;0,VLOOKUP($I169,'Lista de Precios'!$A$3:$M$49893,13,0),"")</f>
        <v/>
      </c>
    </row>
    <row r="170" spans="43:43" x14ac:dyDescent="0.2">
      <c r="AQ170" s="7" t="str">
        <f>IF($I170&gt;0,VLOOKUP($I170,'Lista de Precios'!$A$3:$M$49893,13,0),"")</f>
        <v/>
      </c>
    </row>
    <row r="171" spans="43:43" x14ac:dyDescent="0.2">
      <c r="AQ171" s="7" t="str">
        <f>IF($I171&gt;0,VLOOKUP($I171,'Lista de Precios'!$A$3:$M$49893,13,0),"")</f>
        <v/>
      </c>
    </row>
    <row r="172" spans="43:43" x14ac:dyDescent="0.2">
      <c r="AQ172" s="7" t="str">
        <f>IF($I172&gt;0,VLOOKUP($I172,'Lista de Precios'!$A$3:$M$49893,13,0),"")</f>
        <v/>
      </c>
    </row>
    <row r="173" spans="43:43" x14ac:dyDescent="0.2">
      <c r="AQ173" s="7" t="str">
        <f>IF($I173&gt;0,VLOOKUP($I173,'Lista de Precios'!$A$3:$M$49893,13,0),"")</f>
        <v/>
      </c>
    </row>
    <row r="174" spans="43:43" x14ac:dyDescent="0.2">
      <c r="AQ174" s="7" t="str">
        <f>IF($I174&gt;0,VLOOKUP($I174,'Lista de Precios'!$A$3:$M$49893,13,0),"")</f>
        <v/>
      </c>
    </row>
    <row r="175" spans="43:43" x14ac:dyDescent="0.2">
      <c r="AQ175" s="7" t="str">
        <f>IF($I175&gt;0,VLOOKUP($I175,'Lista de Precios'!$A$3:$M$49893,13,0),"")</f>
        <v/>
      </c>
    </row>
    <row r="176" spans="43:43" x14ac:dyDescent="0.2">
      <c r="AQ176" s="7" t="str">
        <f>IF($I176&gt;0,VLOOKUP($I176,'Lista de Precios'!$A$3:$M$49893,13,0),"")</f>
        <v/>
      </c>
    </row>
    <row r="177" spans="43:43" x14ac:dyDescent="0.2">
      <c r="AQ177" s="7" t="str">
        <f>IF($I177&gt;0,VLOOKUP($I177,'Lista de Precios'!$A$3:$M$49893,13,0),"")</f>
        <v/>
      </c>
    </row>
    <row r="178" spans="43:43" x14ac:dyDescent="0.2">
      <c r="AQ178" s="7" t="str">
        <f>IF($I178&gt;0,VLOOKUP($I178,'Lista de Precios'!$A$3:$M$49893,13,0),"")</f>
        <v/>
      </c>
    </row>
    <row r="179" spans="43:43" x14ac:dyDescent="0.2">
      <c r="AQ179" s="7" t="str">
        <f>IF($I179&gt;0,VLOOKUP($I179,'Lista de Precios'!$A$3:$M$49893,13,0),"")</f>
        <v/>
      </c>
    </row>
    <row r="180" spans="43:43" x14ac:dyDescent="0.2">
      <c r="AQ180" s="7" t="str">
        <f>IF($I180&gt;0,VLOOKUP($I180,'Lista de Precios'!$A$3:$M$49893,13,0),"")</f>
        <v/>
      </c>
    </row>
    <row r="181" spans="43:43" x14ac:dyDescent="0.2">
      <c r="AQ181" s="7" t="str">
        <f>IF($I181&gt;0,VLOOKUP($I181,'Lista de Precios'!$A$3:$M$49893,13,0),"")</f>
        <v/>
      </c>
    </row>
    <row r="182" spans="43:43" x14ac:dyDescent="0.2">
      <c r="AQ182" s="7" t="str">
        <f>IF($I182&gt;0,VLOOKUP($I182,'Lista de Precios'!$A$3:$M$49893,13,0),"")</f>
        <v/>
      </c>
    </row>
    <row r="183" spans="43:43" x14ac:dyDescent="0.2">
      <c r="AQ183" s="7" t="str">
        <f>IF($I183&gt;0,VLOOKUP($I183,'Lista de Precios'!$A$3:$M$49893,13,0),"")</f>
        <v/>
      </c>
    </row>
    <row r="184" spans="43:43" x14ac:dyDescent="0.2">
      <c r="AQ184" s="7" t="str">
        <f>IF($I184&gt;0,VLOOKUP($I184,'Lista de Precios'!$A$3:$M$49893,13,0),"")</f>
        <v/>
      </c>
    </row>
    <row r="185" spans="43:43" x14ac:dyDescent="0.2">
      <c r="AQ185" s="7" t="str">
        <f>IF($I185&gt;0,VLOOKUP($I185,'Lista de Precios'!$A$3:$M$49893,13,0),"")</f>
        <v/>
      </c>
    </row>
    <row r="186" spans="43:43" x14ac:dyDescent="0.2">
      <c r="AQ186" s="7" t="str">
        <f>IF($I186&gt;0,VLOOKUP($I186,'Lista de Precios'!$A$3:$M$49893,13,0),"")</f>
        <v/>
      </c>
    </row>
    <row r="187" spans="43:43" x14ac:dyDescent="0.2">
      <c r="AQ187" s="7" t="str">
        <f>IF($I187&gt;0,VLOOKUP($I187,'Lista de Precios'!$A$3:$M$49893,13,0),"")</f>
        <v/>
      </c>
    </row>
    <row r="188" spans="43:43" x14ac:dyDescent="0.2">
      <c r="AQ188" s="7" t="str">
        <f>IF($I188&gt;0,VLOOKUP($I188,'Lista de Precios'!$A$3:$M$49893,13,0),"")</f>
        <v/>
      </c>
    </row>
    <row r="189" spans="43:43" x14ac:dyDescent="0.2">
      <c r="AQ189" s="7" t="str">
        <f>IF($I189&gt;0,VLOOKUP($I189,'Lista de Precios'!$A$3:$M$49893,13,0),"")</f>
        <v/>
      </c>
    </row>
    <row r="190" spans="43:43" x14ac:dyDescent="0.2">
      <c r="AQ190" s="7" t="str">
        <f>IF($I190&gt;0,VLOOKUP($I190,'Lista de Precios'!$A$3:$M$49893,13,0),"")</f>
        <v/>
      </c>
    </row>
    <row r="191" spans="43:43" x14ac:dyDescent="0.2">
      <c r="AQ191" s="7" t="str">
        <f>IF($I191&gt;0,VLOOKUP($I191,'Lista de Precios'!$A$3:$M$49893,13,0),"")</f>
        <v/>
      </c>
    </row>
    <row r="192" spans="43:43" x14ac:dyDescent="0.2">
      <c r="AQ192" s="7" t="str">
        <f>IF($I192&gt;0,VLOOKUP($I192,'Lista de Precios'!$A$3:$M$49893,13,0),"")</f>
        <v/>
      </c>
    </row>
    <row r="193" spans="43:43" x14ac:dyDescent="0.2">
      <c r="AQ193" s="7" t="str">
        <f>IF($I193&gt;0,VLOOKUP($I193,'Lista de Precios'!$A$3:$M$49893,13,0),"")</f>
        <v/>
      </c>
    </row>
    <row r="194" spans="43:43" x14ac:dyDescent="0.2">
      <c r="AQ194" s="7" t="str">
        <f>IF($I194&gt;0,VLOOKUP($I194,'Lista de Precios'!$A$3:$M$49893,13,0),"")</f>
        <v/>
      </c>
    </row>
    <row r="195" spans="43:43" x14ac:dyDescent="0.2">
      <c r="AQ195" s="7" t="str">
        <f>IF($I195&gt;0,VLOOKUP($I195,'Lista de Precios'!$A$3:$M$49893,13,0),"")</f>
        <v/>
      </c>
    </row>
    <row r="196" spans="43:43" x14ac:dyDescent="0.2">
      <c r="AQ196" s="7" t="str">
        <f>IF($I196&gt;0,VLOOKUP($I196,'Lista de Precios'!$A$3:$M$49893,13,0),"")</f>
        <v/>
      </c>
    </row>
    <row r="197" spans="43:43" x14ac:dyDescent="0.2">
      <c r="AQ197" s="7" t="str">
        <f>IF($I197&gt;0,VLOOKUP($I197,'Lista de Precios'!$A$3:$M$49893,13,0),"")</f>
        <v/>
      </c>
    </row>
    <row r="198" spans="43:43" x14ac:dyDescent="0.2">
      <c r="AQ198" s="7" t="str">
        <f>IF($I198&gt;0,VLOOKUP($I198,'Lista de Precios'!$A$3:$M$49893,13,0),"")</f>
        <v/>
      </c>
    </row>
    <row r="199" spans="43:43" x14ac:dyDescent="0.2">
      <c r="AQ199" s="7" t="str">
        <f>IF($I199&gt;0,VLOOKUP($I199,'Lista de Precios'!$A$3:$M$49893,13,0),"")</f>
        <v/>
      </c>
    </row>
    <row r="200" spans="43:43" x14ac:dyDescent="0.2">
      <c r="AQ200" s="7" t="str">
        <f>IF($I200&gt;0,VLOOKUP($I200,'Lista de Precios'!$A$3:$M$49893,13,0),"")</f>
        <v/>
      </c>
    </row>
    <row r="201" spans="43:43" x14ac:dyDescent="0.2">
      <c r="AQ201" s="7" t="str">
        <f>IF($I201&gt;0,VLOOKUP($I201,'Lista de Precios'!$A$3:$M$49893,13,0),"")</f>
        <v/>
      </c>
    </row>
    <row r="202" spans="43:43" x14ac:dyDescent="0.2">
      <c r="AQ202" s="7" t="str">
        <f>IF($I202&gt;0,VLOOKUP($I202,'Lista de Precios'!$A$3:$M$49893,13,0),"")</f>
        <v/>
      </c>
    </row>
    <row r="203" spans="43:43" x14ac:dyDescent="0.2">
      <c r="AQ203" s="7" t="str">
        <f>IF($I203&gt;0,VLOOKUP($I203,'Lista de Precios'!$A$3:$M$49893,13,0),"")</f>
        <v/>
      </c>
    </row>
    <row r="204" spans="43:43" x14ac:dyDescent="0.2">
      <c r="AQ204" s="7" t="str">
        <f>IF($I204&gt;0,VLOOKUP($I204,'Lista de Precios'!$A$3:$M$49893,13,0),"")</f>
        <v/>
      </c>
    </row>
    <row r="205" spans="43:43" x14ac:dyDescent="0.2">
      <c r="AQ205" s="7" t="str">
        <f>IF($I205&gt;0,VLOOKUP($I205,'Lista de Precios'!$A$3:$M$49893,13,0),"")</f>
        <v/>
      </c>
    </row>
    <row r="206" spans="43:43" x14ac:dyDescent="0.2">
      <c r="AQ206" s="7" t="str">
        <f>IF($I206&gt;0,VLOOKUP($I206,'Lista de Precios'!$A$3:$M$49893,13,0),"")</f>
        <v/>
      </c>
    </row>
    <row r="207" spans="43:43" x14ac:dyDescent="0.2">
      <c r="AQ207" s="7" t="str">
        <f>IF($I207&gt;0,VLOOKUP($I207,'Lista de Precios'!$A$3:$M$49893,13,0),"")</f>
        <v/>
      </c>
    </row>
    <row r="208" spans="43:43" x14ac:dyDescent="0.2">
      <c r="AQ208" s="7" t="str">
        <f>IF($I208&gt;0,VLOOKUP($I208,'Lista de Precios'!$A$3:$M$49893,13,0),"")</f>
        <v/>
      </c>
    </row>
    <row r="209" spans="43:43" x14ac:dyDescent="0.2">
      <c r="AQ209" s="7" t="str">
        <f>IF($I209&gt;0,VLOOKUP($I209,'Lista de Precios'!$A$3:$M$49893,13,0),"")</f>
        <v/>
      </c>
    </row>
    <row r="210" spans="43:43" x14ac:dyDescent="0.2">
      <c r="AQ210" s="7" t="str">
        <f>IF($I210&gt;0,VLOOKUP($I210,'Lista de Precios'!$A$3:$M$49893,13,0),"")</f>
        <v/>
      </c>
    </row>
    <row r="211" spans="43:43" x14ac:dyDescent="0.2">
      <c r="AQ211" s="7" t="str">
        <f>IF($I211&gt;0,VLOOKUP($I211,'Lista de Precios'!$A$3:$M$49893,13,0),"")</f>
        <v/>
      </c>
    </row>
    <row r="212" spans="43:43" x14ac:dyDescent="0.2">
      <c r="AQ212" s="7" t="str">
        <f>IF($I212&gt;0,VLOOKUP($I212,'Lista de Precios'!$A$3:$M$49893,13,0),"")</f>
        <v/>
      </c>
    </row>
    <row r="213" spans="43:43" x14ac:dyDescent="0.2">
      <c r="AQ213" s="7" t="str">
        <f>IF($I213&gt;0,VLOOKUP($I213,'Lista de Precios'!$A$3:$M$49893,13,0),"")</f>
        <v/>
      </c>
    </row>
    <row r="214" spans="43:43" x14ac:dyDescent="0.2">
      <c r="AQ214" s="7" t="str">
        <f>IF($I214&gt;0,VLOOKUP($I214,'Lista de Precios'!$A$3:$M$49893,13,0),"")</f>
        <v/>
      </c>
    </row>
    <row r="215" spans="43:43" x14ac:dyDescent="0.2">
      <c r="AQ215" s="7" t="str">
        <f>IF($I215&gt;0,VLOOKUP($I215,'Lista de Precios'!$A$3:$M$49893,13,0),"")</f>
        <v/>
      </c>
    </row>
    <row r="216" spans="43:43" x14ac:dyDescent="0.2">
      <c r="AQ216" s="7" t="str">
        <f>IF($I216&gt;0,VLOOKUP($I216,'Lista de Precios'!$A$3:$M$49893,13,0),"")</f>
        <v/>
      </c>
    </row>
    <row r="217" spans="43:43" x14ac:dyDescent="0.2">
      <c r="AQ217" s="7" t="str">
        <f>IF($I217&gt;0,VLOOKUP($I217,'Lista de Precios'!$A$3:$M$49893,13,0),"")</f>
        <v/>
      </c>
    </row>
    <row r="218" spans="43:43" x14ac:dyDescent="0.2">
      <c r="AQ218" s="7" t="str">
        <f>IF($I218&gt;0,VLOOKUP($I218,'Lista de Precios'!$A$3:$M$49893,13,0),"")</f>
        <v/>
      </c>
    </row>
    <row r="219" spans="43:43" x14ac:dyDescent="0.2">
      <c r="AQ219" s="7" t="str">
        <f>IF($I219&gt;0,VLOOKUP($I219,'Lista de Precios'!$A$3:$M$49893,13,0),"")</f>
        <v/>
      </c>
    </row>
    <row r="220" spans="43:43" x14ac:dyDescent="0.2">
      <c r="AQ220" s="7" t="str">
        <f>IF($I220&gt;0,VLOOKUP($I220,'Lista de Precios'!$A$3:$M$49893,13,0),"")</f>
        <v/>
      </c>
    </row>
    <row r="221" spans="43:43" x14ac:dyDescent="0.2">
      <c r="AQ221" s="7" t="str">
        <f>IF($I221&gt;0,VLOOKUP($I221,'Lista de Precios'!$A$3:$M$49893,13,0),"")</f>
        <v/>
      </c>
    </row>
    <row r="222" spans="43:43" x14ac:dyDescent="0.2">
      <c r="AQ222" s="7" t="str">
        <f>IF($I222&gt;0,VLOOKUP($I222,'Lista de Precios'!$A$3:$M$49893,13,0),"")</f>
        <v/>
      </c>
    </row>
    <row r="223" spans="43:43" x14ac:dyDescent="0.2">
      <c r="AQ223" s="7" t="str">
        <f>IF($I223&gt;0,VLOOKUP($I223,'Lista de Precios'!$A$3:$M$49893,13,0),"")</f>
        <v/>
      </c>
    </row>
    <row r="224" spans="43:43" x14ac:dyDescent="0.2">
      <c r="AQ224" s="7" t="str">
        <f>IF($I224&gt;0,VLOOKUP($I224,'Lista de Precios'!$A$3:$M$49893,13,0),"")</f>
        <v/>
      </c>
    </row>
    <row r="225" spans="43:43" x14ac:dyDescent="0.2">
      <c r="AQ225" s="7" t="str">
        <f>IF($I225&gt;0,VLOOKUP($I225,'Lista de Precios'!$A$3:$M$49893,13,0),"")</f>
        <v/>
      </c>
    </row>
    <row r="226" spans="43:43" x14ac:dyDescent="0.2">
      <c r="AQ226" s="7" t="str">
        <f>IF($I226&gt;0,VLOOKUP($I226,'Lista de Precios'!$A$3:$M$49893,13,0),"")</f>
        <v/>
      </c>
    </row>
    <row r="227" spans="43:43" x14ac:dyDescent="0.2">
      <c r="AQ227" s="7" t="str">
        <f>IF($I227&gt;0,VLOOKUP($I227,'Lista de Precios'!$A$3:$M$49893,13,0),"")</f>
        <v/>
      </c>
    </row>
  </sheetData>
  <mergeCells count="7">
    <mergeCell ref="D5:J5"/>
    <mergeCell ref="H11:I11"/>
    <mergeCell ref="H12:I12"/>
    <mergeCell ref="L13:M13"/>
    <mergeCell ref="I7:O8"/>
    <mergeCell ref="J9:K9"/>
    <mergeCell ref="M9:Q9"/>
  </mergeCells>
  <conditionalFormatting sqref="A56:B104 A14:B22 A29:B54">
    <cfRule type="cellIs" dxfId="245" priority="129" stopIfTrue="1" operator="greaterThan">
      <formula>0</formula>
    </cfRule>
    <cfRule type="cellIs" dxfId="244" priority="130" stopIfTrue="1" operator="equal">
      <formula>0</formula>
    </cfRule>
    <cfRule type="cellIs" dxfId="243" priority="131" operator="greaterThan">
      <formula>0</formula>
    </cfRule>
    <cfRule type="cellIs" dxfId="242" priority="132" stopIfTrue="1" operator="greaterThan">
      <formula>0</formula>
    </cfRule>
    <cfRule type="cellIs" dxfId="241" priority="133" stopIfTrue="1" operator="equal">
      <formula>0</formula>
    </cfRule>
  </conditionalFormatting>
  <conditionalFormatting sqref="A21:B22">
    <cfRule type="cellIs" dxfId="240" priority="113" stopIfTrue="1" operator="greaterThan">
      <formula>0</formula>
    </cfRule>
    <cfRule type="cellIs" dxfId="239" priority="114" stopIfTrue="1" operator="equal">
      <formula>0</formula>
    </cfRule>
    <cfRule type="cellIs" dxfId="238" priority="115" operator="greaterThan">
      <formula>0</formula>
    </cfRule>
    <cfRule type="cellIs" dxfId="237" priority="116" stopIfTrue="1" operator="greaterThan">
      <formula>0</formula>
    </cfRule>
    <cfRule type="cellIs" dxfId="236" priority="117" stopIfTrue="1" operator="equal">
      <formula>0</formula>
    </cfRule>
  </conditionalFormatting>
  <conditionalFormatting sqref="A105:B105">
    <cfRule type="cellIs" dxfId="235" priority="105" operator="greaterThan">
      <formula>0</formula>
    </cfRule>
    <cfRule type="cellIs" dxfId="234" priority="106" stopIfTrue="1" operator="greaterThan">
      <formula>0</formula>
    </cfRule>
    <cfRule type="cellIs" dxfId="233" priority="107" stopIfTrue="1" operator="equal">
      <formula>0</formula>
    </cfRule>
  </conditionalFormatting>
  <conditionalFormatting sqref="A105:B106">
    <cfRule type="cellIs" dxfId="232" priority="101" stopIfTrue="1" operator="equal">
      <formula>0</formula>
    </cfRule>
  </conditionalFormatting>
  <conditionalFormatting sqref="A105:B111">
    <cfRule type="cellIs" dxfId="231" priority="67" stopIfTrue="1" operator="greaterThan">
      <formula>0</formula>
    </cfRule>
  </conditionalFormatting>
  <conditionalFormatting sqref="A106:B106">
    <cfRule type="cellIs" dxfId="230" priority="99" operator="greaterThan">
      <formula>0</formula>
    </cfRule>
    <cfRule type="cellIs" dxfId="229" priority="100" stopIfTrue="1" operator="greaterThan">
      <formula>0</formula>
    </cfRule>
  </conditionalFormatting>
  <conditionalFormatting sqref="A106:B107">
    <cfRule type="cellIs" dxfId="228" priority="95" stopIfTrue="1" operator="equal">
      <formula>0</formula>
    </cfRule>
  </conditionalFormatting>
  <conditionalFormatting sqref="A107:B107">
    <cfRule type="cellIs" dxfId="227" priority="93" operator="greaterThan">
      <formula>0</formula>
    </cfRule>
    <cfRule type="cellIs" dxfId="226" priority="94" stopIfTrue="1" operator="greaterThan">
      <formula>0</formula>
    </cfRule>
  </conditionalFormatting>
  <conditionalFormatting sqref="A107:B108">
    <cfRule type="cellIs" dxfId="225" priority="89" stopIfTrue="1" operator="equal">
      <formula>0</formula>
    </cfRule>
  </conditionalFormatting>
  <conditionalFormatting sqref="A108:B108">
    <cfRule type="cellIs" dxfId="224" priority="87" operator="greaterThan">
      <formula>0</formula>
    </cfRule>
    <cfRule type="cellIs" dxfId="223" priority="88" stopIfTrue="1" operator="greaterThan">
      <formula>0</formula>
    </cfRule>
  </conditionalFormatting>
  <conditionalFormatting sqref="A108:B109">
    <cfRule type="cellIs" dxfId="222" priority="83" stopIfTrue="1" operator="equal">
      <formula>0</formula>
    </cfRule>
  </conditionalFormatting>
  <conditionalFormatting sqref="A109:B109">
    <cfRule type="cellIs" dxfId="221" priority="81" operator="greaterThan">
      <formula>0</formula>
    </cfRule>
    <cfRule type="cellIs" dxfId="220" priority="82" stopIfTrue="1" operator="greaterThan">
      <formula>0</formula>
    </cfRule>
  </conditionalFormatting>
  <conditionalFormatting sqref="A109:B110">
    <cfRule type="cellIs" dxfId="219" priority="77" stopIfTrue="1" operator="equal">
      <formula>0</formula>
    </cfRule>
  </conditionalFormatting>
  <conditionalFormatting sqref="A110:B110">
    <cfRule type="cellIs" dxfId="218" priority="75" operator="greaterThan">
      <formula>0</formula>
    </cfRule>
    <cfRule type="cellIs" dxfId="217" priority="76" stopIfTrue="1" operator="greaterThan">
      <formula>0</formula>
    </cfRule>
  </conditionalFormatting>
  <conditionalFormatting sqref="A110:B111">
    <cfRule type="cellIs" dxfId="216" priority="71" stopIfTrue="1" operator="equal">
      <formula>0</formula>
    </cfRule>
  </conditionalFormatting>
  <conditionalFormatting sqref="A111:B111">
    <cfRule type="cellIs" dxfId="215" priority="68" stopIfTrue="1" operator="equal">
      <formula>0</formula>
    </cfRule>
    <cfRule type="cellIs" dxfId="214" priority="69" operator="greaterThan">
      <formula>0</formula>
    </cfRule>
    <cfRule type="cellIs" dxfId="213" priority="70" stopIfTrue="1" operator="greaterThan">
      <formula>0</formula>
    </cfRule>
  </conditionalFormatting>
  <conditionalFormatting sqref="J56:J111 J14:J22 J29:J54">
    <cfRule type="cellIs" dxfId="212" priority="72" stopIfTrue="1" operator="lessThan">
      <formula>E14</formula>
    </cfRule>
  </conditionalFormatting>
  <conditionalFormatting sqref="A25:B25">
    <cfRule type="cellIs" dxfId="211" priority="56" stopIfTrue="1" operator="greaterThan">
      <formula>0</formula>
    </cfRule>
    <cfRule type="cellIs" dxfId="210" priority="57" stopIfTrue="1" operator="equal">
      <formula>0</formula>
    </cfRule>
    <cfRule type="cellIs" dxfId="209" priority="58" operator="greaterThan">
      <formula>0</formula>
    </cfRule>
    <cfRule type="cellIs" dxfId="208" priority="59" stopIfTrue="1" operator="greaterThan">
      <formula>0</formula>
    </cfRule>
    <cfRule type="cellIs" dxfId="207" priority="60" stopIfTrue="1" operator="equal">
      <formula>0</formula>
    </cfRule>
  </conditionalFormatting>
  <conditionalFormatting sqref="J25">
    <cfRule type="cellIs" dxfId="206" priority="55" stopIfTrue="1" operator="lessThan">
      <formula>E25</formula>
    </cfRule>
  </conditionalFormatting>
  <conditionalFormatting sqref="A28:B28">
    <cfRule type="cellIs" dxfId="205" priority="38" stopIfTrue="1" operator="greaterThan">
      <formula>0</formula>
    </cfRule>
    <cfRule type="cellIs" dxfId="204" priority="39" stopIfTrue="1" operator="equal">
      <formula>0</formula>
    </cfRule>
    <cfRule type="cellIs" dxfId="203" priority="40" operator="greaterThan">
      <formula>0</formula>
    </cfRule>
    <cfRule type="cellIs" dxfId="202" priority="41" stopIfTrue="1" operator="greaterThan">
      <formula>0</formula>
    </cfRule>
    <cfRule type="cellIs" dxfId="201" priority="42" stopIfTrue="1" operator="equal">
      <formula>0</formula>
    </cfRule>
  </conditionalFormatting>
  <conditionalFormatting sqref="J28">
    <cfRule type="cellIs" dxfId="200" priority="37" stopIfTrue="1" operator="lessThan">
      <formula>E28</formula>
    </cfRule>
  </conditionalFormatting>
  <conditionalFormatting sqref="A55:B55">
    <cfRule type="cellIs" dxfId="199" priority="32" stopIfTrue="1" operator="greaterThan">
      <formula>0</formula>
    </cfRule>
    <cfRule type="cellIs" dxfId="198" priority="33" stopIfTrue="1" operator="equal">
      <formula>0</formula>
    </cfRule>
    <cfRule type="cellIs" dxfId="197" priority="34" operator="greaterThan">
      <formula>0</formula>
    </cfRule>
    <cfRule type="cellIs" dxfId="196" priority="35" stopIfTrue="1" operator="greaterThan">
      <formula>0</formula>
    </cfRule>
    <cfRule type="cellIs" dxfId="195" priority="36" stopIfTrue="1" operator="equal">
      <formula>0</formula>
    </cfRule>
  </conditionalFormatting>
  <conditionalFormatting sqref="J55">
    <cfRule type="cellIs" dxfId="194" priority="31" stopIfTrue="1" operator="lessThan">
      <formula>E55</formula>
    </cfRule>
  </conditionalFormatting>
  <conditionalFormatting sqref="A23:B23">
    <cfRule type="cellIs" dxfId="193" priority="20" stopIfTrue="1" operator="greaterThan">
      <formula>0</formula>
    </cfRule>
    <cfRule type="cellIs" dxfId="192" priority="21" stopIfTrue="1" operator="equal">
      <formula>0</formula>
    </cfRule>
    <cfRule type="cellIs" dxfId="191" priority="22" operator="greaterThan">
      <formula>0</formula>
    </cfRule>
    <cfRule type="cellIs" dxfId="190" priority="23" stopIfTrue="1" operator="greaterThan">
      <formula>0</formula>
    </cfRule>
    <cfRule type="cellIs" dxfId="189" priority="24" stopIfTrue="1" operator="equal">
      <formula>0</formula>
    </cfRule>
  </conditionalFormatting>
  <conditionalFormatting sqref="J23">
    <cfRule type="cellIs" dxfId="188" priority="19" stopIfTrue="1" operator="lessThan">
      <formula>E23</formula>
    </cfRule>
  </conditionalFormatting>
  <conditionalFormatting sqref="A24:B24">
    <cfRule type="cellIs" dxfId="187" priority="14" stopIfTrue="1" operator="greaterThan">
      <formula>0</formula>
    </cfRule>
    <cfRule type="cellIs" dxfId="186" priority="15" stopIfTrue="1" operator="equal">
      <formula>0</formula>
    </cfRule>
    <cfRule type="cellIs" dxfId="185" priority="16" operator="greaterThan">
      <formula>0</formula>
    </cfRule>
    <cfRule type="cellIs" dxfId="184" priority="17" stopIfTrue="1" operator="greaterThan">
      <formula>0</formula>
    </cfRule>
    <cfRule type="cellIs" dxfId="183" priority="18" stopIfTrue="1" operator="equal">
      <formula>0</formula>
    </cfRule>
  </conditionalFormatting>
  <conditionalFormatting sqref="J24">
    <cfRule type="cellIs" dxfId="182" priority="13" stopIfTrue="1" operator="lessThan">
      <formula>E24</formula>
    </cfRule>
  </conditionalFormatting>
  <conditionalFormatting sqref="A26:B26">
    <cfRule type="cellIs" dxfId="181" priority="8" stopIfTrue="1" operator="greaterThan">
      <formula>0</formula>
    </cfRule>
    <cfRule type="cellIs" dxfId="180" priority="9" stopIfTrue="1" operator="equal">
      <formula>0</formula>
    </cfRule>
    <cfRule type="cellIs" dxfId="179" priority="10" operator="greaterThan">
      <formula>0</formula>
    </cfRule>
    <cfRule type="cellIs" dxfId="178" priority="11" stopIfTrue="1" operator="greaterThan">
      <formula>0</formula>
    </cfRule>
    <cfRule type="cellIs" dxfId="177" priority="12" stopIfTrue="1" operator="equal">
      <formula>0</formula>
    </cfRule>
  </conditionalFormatting>
  <conditionalFormatting sqref="J26">
    <cfRule type="cellIs" dxfId="176" priority="7" stopIfTrue="1" operator="lessThan">
      <formula>E26</formula>
    </cfRule>
  </conditionalFormatting>
  <conditionalFormatting sqref="A27:B27">
    <cfRule type="cellIs" dxfId="175" priority="2" stopIfTrue="1" operator="greaterThan">
      <formula>0</formula>
    </cfRule>
    <cfRule type="cellIs" dxfId="174" priority="3" stopIfTrue="1" operator="equal">
      <formula>0</formula>
    </cfRule>
    <cfRule type="cellIs" dxfId="173" priority="4" operator="greaterThan">
      <formula>0</formula>
    </cfRule>
    <cfRule type="cellIs" dxfId="172" priority="5" stopIfTrue="1" operator="greaterThan">
      <formula>0</formula>
    </cfRule>
    <cfRule type="cellIs" dxfId="171" priority="6" stopIfTrue="1" operator="equal">
      <formula>0</formula>
    </cfRule>
  </conditionalFormatting>
  <conditionalFormatting sqref="J27">
    <cfRule type="cellIs" dxfId="170" priority="1" stopIfTrue="1" operator="lessThan">
      <formula>E27</formula>
    </cfRule>
  </conditionalFormatting>
  <printOptions horizontalCentered="1"/>
  <pageMargins left="0" right="0" top="0.39370078740157483" bottom="0.39370078740157483" header="0" footer="0"/>
  <pageSetup paperSize="5" scale="38" fitToHeight="2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  <pageSetUpPr fitToPage="1"/>
  </sheetPr>
  <dimension ref="A1:XER101"/>
  <sheetViews>
    <sheetView showGridLines="0" zoomScale="60" zoomScaleNormal="60" workbookViewId="0">
      <pane xSplit="11" ySplit="13" topLeftCell="P14" activePane="bottomRight" state="frozen"/>
      <selection activeCell="I14" sqref="I14"/>
      <selection pane="topRight" activeCell="I14" sqref="I14"/>
      <selection pane="bottomLeft" activeCell="I14" sqref="I14"/>
      <selection pane="bottomRight" activeCell="AG26" sqref="AG26"/>
    </sheetView>
  </sheetViews>
  <sheetFormatPr baseColWidth="10" defaultColWidth="11.42578125" defaultRowHeight="12.75" x14ac:dyDescent="0.2"/>
  <cols>
    <col min="1" max="1" width="11.42578125" style="7"/>
    <col min="2" max="2" width="8.42578125" style="7" customWidth="1"/>
    <col min="3" max="3" width="40.7109375" style="7" customWidth="1"/>
    <col min="4" max="4" width="36" style="7" bestFit="1" customWidth="1"/>
    <col min="5" max="5" width="20.28515625" style="7" bestFit="1" customWidth="1"/>
    <col min="6" max="7" width="16.42578125" style="7" customWidth="1"/>
    <col min="8" max="8" width="3.42578125" style="7" customWidth="1"/>
    <col min="9" max="9" width="14" style="7" bestFit="1" customWidth="1"/>
    <col min="10" max="10" width="17.7109375" style="7" bestFit="1" customWidth="1"/>
    <col min="11" max="11" width="4.7109375" style="7" hidden="1" customWidth="1"/>
    <col min="12" max="39" width="7.28515625" style="7" customWidth="1"/>
    <col min="40" max="40" width="14.5703125" style="7" customWidth="1"/>
    <col min="41" max="41" width="19.42578125" style="7" customWidth="1"/>
    <col min="42" max="42" width="7.5703125" style="7" customWidth="1"/>
    <col min="43" max="43" width="8.28515625" style="7" customWidth="1"/>
    <col min="44" max="44" width="11.42578125" style="7" customWidth="1"/>
    <col min="45" max="45" width="19.28515625" style="7" customWidth="1"/>
    <col min="46" max="16370" width="11.42578125" style="7"/>
    <col min="16371" max="16375" width="0" style="7" hidden="1" customWidth="1"/>
    <col min="16376" max="16384" width="11.42578125" style="7"/>
  </cols>
  <sheetData>
    <row r="1" spans="1:249 16369:16372" ht="27.75" customHeight="1" x14ac:dyDescent="0.2">
      <c r="B1" s="75"/>
      <c r="C1" s="84" t="str">
        <f>+'ENE 26'!$C$1</f>
        <v>NOTA DE PEDIDO - 1° SEMESTRE 2026 (Enero - Junio)</v>
      </c>
      <c r="D1" s="85"/>
      <c r="E1" s="85"/>
      <c r="F1" s="85"/>
      <c r="G1" s="85"/>
      <c r="H1" s="85"/>
      <c r="I1" s="85"/>
      <c r="J1" s="85"/>
    </row>
    <row r="2" spans="1:249 16369:16372" ht="6" customHeight="1" x14ac:dyDescent="0.2"/>
    <row r="3" spans="1:249 16369:16372" ht="20.25" x14ac:dyDescent="0.2">
      <c r="C3" s="31" t="s">
        <v>54</v>
      </c>
      <c r="D3" s="83" t="s">
        <v>2</v>
      </c>
      <c r="I3" s="32"/>
      <c r="J3" s="32"/>
    </row>
    <row r="4" spans="1:249 16369:16372" ht="6" customHeight="1" x14ac:dyDescent="0.2"/>
    <row r="5" spans="1:249 16369:16372" ht="23.25" x14ac:dyDescent="0.2">
      <c r="C5" s="31" t="s">
        <v>4</v>
      </c>
      <c r="D5" s="305" t="str">
        <f>+IF(D7="","",(VLOOKUP(D7,AUX!$A$1:$B$5610,2,FALSE)))</f>
        <v/>
      </c>
      <c r="E5" s="306"/>
      <c r="F5" s="306"/>
      <c r="G5" s="306"/>
      <c r="H5" s="306"/>
      <c r="I5" s="306"/>
      <c r="J5" s="307"/>
    </row>
    <row r="6" spans="1:249 16369:16372" ht="6" customHeight="1" thickBot="1" x14ac:dyDescent="0.25"/>
    <row r="7" spans="1:249 16369:16372" ht="23.25" x14ac:dyDescent="0.35">
      <c r="C7" s="31" t="s">
        <v>53</v>
      </c>
      <c r="D7" s="86"/>
      <c r="E7" s="33"/>
      <c r="F7" s="33"/>
      <c r="G7" s="33"/>
      <c r="H7" s="34"/>
      <c r="I7" s="314" t="s">
        <v>55</v>
      </c>
      <c r="J7" s="315"/>
      <c r="K7" s="315"/>
      <c r="L7" s="315"/>
      <c r="M7" s="315"/>
      <c r="N7" s="315"/>
      <c r="O7" s="315"/>
      <c r="P7" s="315"/>
      <c r="Q7" s="316"/>
    </row>
    <row r="8" spans="1:249 16369:16372" ht="6" customHeight="1" thickBot="1" x14ac:dyDescent="0.25">
      <c r="I8" s="317"/>
      <c r="J8" s="318"/>
      <c r="K8" s="318"/>
      <c r="L8" s="318"/>
      <c r="M8" s="318"/>
      <c r="N8" s="318"/>
      <c r="O8" s="318"/>
      <c r="P8" s="318"/>
      <c r="Q8" s="326"/>
    </row>
    <row r="9" spans="1:249 16369:16372" ht="27" customHeight="1" thickBot="1" x14ac:dyDescent="0.25">
      <c r="C9" s="31"/>
      <c r="D9" s="125" t="str">
        <f>+AUX!J4</f>
        <v>FEB 2026</v>
      </c>
      <c r="I9" s="35" t="s">
        <v>52</v>
      </c>
      <c r="J9" s="327">
        <f>+AM9</f>
        <v>264</v>
      </c>
      <c r="K9" s="328"/>
      <c r="L9" s="35" t="s">
        <v>35</v>
      </c>
      <c r="M9" s="329">
        <f>+AO9</f>
        <v>9563422.4598930478</v>
      </c>
      <c r="N9" s="330"/>
      <c r="O9" s="330"/>
      <c r="P9" s="330"/>
      <c r="Q9" s="331"/>
      <c r="AM9" s="77">
        <f>SUM(AM14:AM100)</f>
        <v>264</v>
      </c>
      <c r="AN9" s="27"/>
      <c r="AO9" s="78">
        <f>SUM(AO14:AO100)</f>
        <v>9563422.4598930478</v>
      </c>
    </row>
    <row r="10" spans="1:249 16369:16372" ht="6" customHeight="1" thickBot="1" x14ac:dyDescent="0.25"/>
    <row r="11" spans="1:249 16369:16372" ht="21" thickBot="1" x14ac:dyDescent="0.25">
      <c r="C11" s="1"/>
      <c r="D11" s="1"/>
      <c r="E11" s="1"/>
      <c r="F11" s="1"/>
      <c r="G11" s="1"/>
      <c r="H11" s="308" t="s">
        <v>6</v>
      </c>
      <c r="I11" s="309"/>
      <c r="J11" s="3" t="s">
        <v>51</v>
      </c>
      <c r="K11" s="4">
        <v>1</v>
      </c>
      <c r="L11" s="5" t="s">
        <v>7</v>
      </c>
      <c r="M11" s="6" t="s">
        <v>8</v>
      </c>
      <c r="N11" s="6" t="s">
        <v>9</v>
      </c>
      <c r="O11" s="6" t="s">
        <v>10</v>
      </c>
      <c r="P11" s="6" t="s">
        <v>11</v>
      </c>
      <c r="Q11" s="5" t="s">
        <v>12</v>
      </c>
      <c r="R11" s="6" t="s">
        <v>13</v>
      </c>
      <c r="S11" s="6" t="s">
        <v>14</v>
      </c>
      <c r="T11" s="6" t="s">
        <v>15</v>
      </c>
      <c r="U11" s="6" t="s">
        <v>16</v>
      </c>
      <c r="V11" s="6" t="s">
        <v>17</v>
      </c>
      <c r="W11" s="6" t="s">
        <v>18</v>
      </c>
      <c r="X11" s="6" t="s">
        <v>19</v>
      </c>
      <c r="Y11" s="6" t="s">
        <v>20</v>
      </c>
      <c r="Z11" s="6" t="s">
        <v>21</v>
      </c>
      <c r="AA11" s="5" t="s">
        <v>22</v>
      </c>
      <c r="AB11" s="6" t="s">
        <v>23</v>
      </c>
      <c r="AC11" s="6" t="s">
        <v>24</v>
      </c>
      <c r="AD11" s="6" t="s">
        <v>25</v>
      </c>
      <c r="AE11" s="6" t="s">
        <v>26</v>
      </c>
      <c r="AF11" s="6" t="s">
        <v>27</v>
      </c>
      <c r="AG11" s="6" t="s">
        <v>28</v>
      </c>
      <c r="AH11" s="6" t="s">
        <v>29</v>
      </c>
      <c r="AI11" s="6" t="s">
        <v>30</v>
      </c>
      <c r="AJ11" s="6" t="s">
        <v>31</v>
      </c>
      <c r="AK11" s="6" t="s">
        <v>32</v>
      </c>
      <c r="AL11" s="6" t="s">
        <v>33</v>
      </c>
      <c r="AM11" s="81" t="s">
        <v>34</v>
      </c>
      <c r="AN11" s="2" t="s">
        <v>5</v>
      </c>
      <c r="AO11" s="79" t="s">
        <v>35</v>
      </c>
    </row>
    <row r="12" spans="1:249 16369:16372" ht="21" thickBot="1" x14ac:dyDescent="0.25">
      <c r="H12" s="310" t="s">
        <v>37</v>
      </c>
      <c r="I12" s="311"/>
      <c r="J12" s="9" t="s">
        <v>670</v>
      </c>
      <c r="K12" s="10">
        <v>2</v>
      </c>
      <c r="L12" s="226"/>
      <c r="M12" s="189"/>
      <c r="N12" s="189"/>
      <c r="O12" s="189"/>
      <c r="P12" s="189"/>
      <c r="Q12" s="95"/>
      <c r="R12" s="189"/>
      <c r="S12" s="189"/>
      <c r="T12" s="189"/>
      <c r="U12" s="227"/>
      <c r="V12" s="189"/>
      <c r="W12" s="189"/>
      <c r="X12" s="189"/>
      <c r="Y12" s="189"/>
      <c r="Z12" s="228"/>
      <c r="AA12" s="229"/>
      <c r="AB12" s="189"/>
      <c r="AC12" s="189"/>
      <c r="AD12" s="189"/>
      <c r="AE12" s="189"/>
      <c r="AF12" s="230"/>
      <c r="AG12" s="230"/>
      <c r="AH12" s="230"/>
      <c r="AI12" s="231"/>
      <c r="AJ12" s="95"/>
      <c r="AK12" s="230"/>
      <c r="AL12" s="230"/>
      <c r="AM12" s="82" t="s">
        <v>38</v>
      </c>
      <c r="AN12" s="8" t="s">
        <v>36</v>
      </c>
      <c r="AO12" s="80" t="s">
        <v>38</v>
      </c>
      <c r="HQ12" s="123"/>
      <c r="HR12" s="123"/>
      <c r="HS12" s="123"/>
      <c r="HT12" s="123"/>
      <c r="HU12" s="123"/>
      <c r="HV12" s="123"/>
      <c r="HW12" s="123"/>
      <c r="HX12" s="123"/>
      <c r="HY12" s="123"/>
      <c r="HZ12" s="123"/>
      <c r="IA12" s="123"/>
      <c r="IB12" s="123"/>
      <c r="ID12" s="123"/>
      <c r="IE12" s="123"/>
      <c r="IF12" s="123"/>
      <c r="IG12" s="123"/>
      <c r="IH12" s="123"/>
      <c r="II12" s="123"/>
      <c r="IJ12" s="123"/>
      <c r="IK12" s="123"/>
      <c r="IL12" s="123"/>
      <c r="IM12" s="123"/>
      <c r="IN12" s="123"/>
      <c r="IO12" s="123"/>
      <c r="XEO12" s="7">
        <f>+SUM(XEO14:XEO94)</f>
        <v>12</v>
      </c>
      <c r="XEP12" s="7">
        <f t="shared" ref="XEP12:XER12" si="0">+SUM(XEP14:XEP94)</f>
        <v>0</v>
      </c>
      <c r="XEQ12" s="7">
        <f t="shared" si="0"/>
        <v>0</v>
      </c>
      <c r="XER12" s="7">
        <f t="shared" si="0"/>
        <v>142</v>
      </c>
    </row>
    <row r="13" spans="1:249 16369:16372" ht="21" thickBot="1" x14ac:dyDescent="0.25">
      <c r="A13" s="75" t="s">
        <v>437</v>
      </c>
      <c r="B13" s="75"/>
      <c r="C13" s="75" t="s">
        <v>39</v>
      </c>
      <c r="D13" s="75" t="s">
        <v>40</v>
      </c>
      <c r="E13" s="75" t="s">
        <v>56</v>
      </c>
      <c r="F13" s="75" t="s">
        <v>373</v>
      </c>
      <c r="G13" s="75" t="s">
        <v>380</v>
      </c>
      <c r="H13" s="12"/>
      <c r="I13" s="13"/>
      <c r="J13" s="23"/>
      <c r="K13" s="14"/>
      <c r="L13" s="265"/>
      <c r="M13" s="266"/>
      <c r="N13" s="95"/>
      <c r="O13" s="96"/>
      <c r="P13" s="97"/>
      <c r="Q13" s="98"/>
      <c r="R13" s="95"/>
      <c r="S13" s="95"/>
      <c r="T13" s="95"/>
      <c r="U13" s="95"/>
      <c r="V13" s="95"/>
      <c r="W13" s="95"/>
      <c r="X13" s="95"/>
      <c r="Y13" s="96"/>
      <c r="Z13" s="97"/>
      <c r="AA13" s="99"/>
      <c r="AB13" s="95"/>
      <c r="AC13" s="95"/>
      <c r="AD13" s="95"/>
      <c r="AE13" s="95"/>
      <c r="AF13" s="95"/>
      <c r="AG13" s="95"/>
      <c r="AH13" s="95"/>
      <c r="AI13" s="100"/>
      <c r="AJ13" s="95"/>
      <c r="AK13" s="95"/>
      <c r="AL13" s="95"/>
      <c r="AM13" s="15"/>
      <c r="AN13" s="11"/>
      <c r="AO13" s="16"/>
      <c r="AP13" s="75" t="s">
        <v>442</v>
      </c>
      <c r="AQ13" s="75" t="s">
        <v>616</v>
      </c>
      <c r="HZ13" s="123"/>
      <c r="IA13" s="123"/>
      <c r="IB13" s="123"/>
      <c r="IM13" s="123"/>
      <c r="IN13" s="123"/>
      <c r="IO13" s="123"/>
      <c r="XEO13" s="7" t="s">
        <v>451</v>
      </c>
      <c r="XEP13" s="7" t="s">
        <v>617</v>
      </c>
      <c r="XEQ13" s="7" t="s">
        <v>618</v>
      </c>
      <c r="XER13" s="7" t="s">
        <v>453</v>
      </c>
    </row>
    <row r="14" spans="1:249 16369:16372" ht="23.25" customHeight="1" x14ac:dyDescent="0.25">
      <c r="A14" s="104" t="str">
        <f>IF($I14&gt;0,VLOOKUP(I14,'Lista de Precios'!$A$3:$L$2883,9,0),0)</f>
        <v>Mujer</v>
      </c>
      <c r="B14" s="74" t="str">
        <f>IF($I14&gt;0,VLOOKUP(I14,'Lista de Precios'!$A$3:$H$2883,7,0),0)</f>
        <v>LANZ</v>
      </c>
      <c r="C14" s="7" t="str">
        <f>IF($I14&gt;0,VLOOKUP(I14,'Lista de Precios'!$A$3:$H$2883,2,0),"")</f>
        <v>NEBULA</v>
      </c>
      <c r="D14" s="7" t="str">
        <f>IF($I14&gt;0,VLOOKUP($I14,'Lista de Precios'!$A$3:$H$2883,3,0),"")</f>
        <v>NEGRO/BEIGE ALESAN/NARANJA DUSTY</v>
      </c>
      <c r="E14" s="76" t="str">
        <f>IF($I14&gt;0,VLOOKUP(I14,'Lista de Precios'!$A$3:$H$2883,6,0),"")</f>
        <v>FEBRERO</v>
      </c>
      <c r="F14" s="76" t="str">
        <f>IF($I14&gt;0,VLOOKUP(I14,'Lista de Precios'!$A$3:$H$2883,8,0),"")</f>
        <v>35 AL 40</v>
      </c>
      <c r="G14" s="101">
        <f>IF(AN14="","",AN14*1.87)</f>
        <v>94900</v>
      </c>
      <c r="H14" s="19" t="s">
        <v>3</v>
      </c>
      <c r="I14" s="18">
        <v>52398</v>
      </c>
      <c r="J14" s="28" t="str">
        <f t="shared" ref="J14:J22" si="1">+E14</f>
        <v>FEBRERO</v>
      </c>
      <c r="K14" s="24">
        <f>+IF($I14&gt;0,VLOOKUP($I14,'Lista de Precios'!$A$3:$H$2883,5,0),0)</f>
        <v>1</v>
      </c>
      <c r="L14" s="36"/>
      <c r="M14" s="36"/>
      <c r="N14" s="36"/>
      <c r="O14" s="37"/>
      <c r="P14" s="38"/>
      <c r="Q14" s="39"/>
      <c r="R14" s="37"/>
      <c r="S14" s="37"/>
      <c r="T14" s="37"/>
      <c r="U14" s="37"/>
      <c r="V14" s="37"/>
      <c r="W14" s="37"/>
      <c r="X14" s="37"/>
      <c r="Y14" s="37"/>
      <c r="Z14" s="40"/>
      <c r="AA14" s="41"/>
      <c r="AB14" s="37"/>
      <c r="AC14" s="37">
        <v>2</v>
      </c>
      <c r="AD14" s="37">
        <v>4</v>
      </c>
      <c r="AE14" s="37">
        <v>4</v>
      </c>
      <c r="AF14" s="37">
        <v>2</v>
      </c>
      <c r="AG14" s="37"/>
      <c r="AH14" s="36"/>
      <c r="AI14" s="36"/>
      <c r="AJ14" s="36"/>
      <c r="AK14" s="42"/>
      <c r="AL14" s="43"/>
      <c r="AM14" s="73">
        <f t="shared" ref="AM14:AM46" si="2">+IF(I14&gt;0,SUM(L14:AL14),0)</f>
        <v>12</v>
      </c>
      <c r="AN14" s="70">
        <f>+IF($I14&gt;0,VLOOKUP($I14,'Lista de Precios'!$A$3:$H$2883,4,0),"")</f>
        <v>50748.663101604274</v>
      </c>
      <c r="AO14" s="67">
        <f>+IF(AM14&gt;0,AN14*AM14,"")</f>
        <v>608983.95721925132</v>
      </c>
      <c r="AP14" s="7" t="str">
        <f>IF($I14&gt;0,VLOOKUP($I14,'Lista de Precios'!$A$3:$K$2883,10,0),"")</f>
        <v>Running</v>
      </c>
      <c r="AQ14" s="7" t="str">
        <f>IF($I14&gt;0,VLOOKUP($I14,'Lista de Precios'!$A$3:$M$4893,13,0),"")</f>
        <v>Running+Training</v>
      </c>
      <c r="HQ14" s="134"/>
      <c r="HR14" s="134"/>
      <c r="HS14" s="134"/>
      <c r="HT14" s="134"/>
      <c r="HU14" s="134"/>
      <c r="HV14" s="134"/>
      <c r="HW14" s="134"/>
      <c r="HX14" s="134"/>
      <c r="HY14" s="134"/>
      <c r="HZ14" s="134"/>
      <c r="IA14" s="134"/>
      <c r="IB14" s="134"/>
      <c r="ID14" s="134"/>
      <c r="IE14" s="134"/>
      <c r="IF14" s="134"/>
      <c r="IG14" s="134"/>
      <c r="IH14" s="134"/>
      <c r="II14" s="134"/>
      <c r="IJ14" s="134"/>
      <c r="IK14" s="134"/>
      <c r="IL14" s="134"/>
      <c r="IM14" s="135"/>
      <c r="IN14" s="135"/>
      <c r="IO14" s="135"/>
      <c r="XEO14" s="7" t="str">
        <f t="shared" ref="XEO14:XEO46" si="3">+IF($AQ14=$XEO$13,$AM14,"")</f>
        <v/>
      </c>
      <c r="XEP14" s="7" t="str">
        <f t="shared" ref="XEP14:XEP46" si="4">+IF($AQ14=$XEP$13,$AM14,"")</f>
        <v/>
      </c>
      <c r="XEQ14" s="7" t="str">
        <f t="shared" ref="XEQ14:XEQ46" si="5">+IF($AQ14=$XEQ$13,$AM14,"")</f>
        <v/>
      </c>
      <c r="XER14" s="7" t="str">
        <f t="shared" ref="XER14:XER46" si="6">+IF($AQ14=$XER$13,$AM14,"")</f>
        <v/>
      </c>
    </row>
    <row r="15" spans="1:249 16369:16372" ht="23.25" customHeight="1" x14ac:dyDescent="0.25">
      <c r="A15" s="74" t="str">
        <f>IF($I15&gt;0,VLOOKUP(I15,'Lista de Precios'!$A$3:$L$2883,9,0),0)</f>
        <v>Hombre</v>
      </c>
      <c r="B15" s="74" t="str">
        <f>IF($I15&gt;0,VLOOKUP(I15,'Lista de Precios'!$A$3:$H$2883,7,0),0)</f>
        <v>LANZ</v>
      </c>
      <c r="C15" s="7" t="str">
        <f>IF($I15&gt;0,VLOOKUP(I15,'Lista de Precios'!$A$3:$H$2883,2,0),"")</f>
        <v>NEBULA</v>
      </c>
      <c r="D15" s="7" t="str">
        <f>IF($I15&gt;0,VLOOKUP(I15,'Lista de Precios'!$A$3:$H$2883,3,0),"")</f>
        <v>GRIS MAGNET/GRIS SKY/VERDE GECKO</v>
      </c>
      <c r="E15" s="76" t="str">
        <f>IF($I15&gt;0,VLOOKUP(I15,'Lista de Precios'!$A$3:$H$2883,6,0),"")</f>
        <v>FEBRERO</v>
      </c>
      <c r="F15" s="76" t="str">
        <f>IF($I15&gt;0,VLOOKUP(I15,'Lista de Precios'!$A$3:$H$2883,8,0),"")</f>
        <v>35 AL 45</v>
      </c>
      <c r="G15" s="101">
        <f t="shared" ref="G15:G79" si="7">IF(AN15="","",AN15*1.87)</f>
        <v>94900</v>
      </c>
      <c r="H15" s="20" t="s">
        <v>3</v>
      </c>
      <c r="I15" s="18">
        <v>52397</v>
      </c>
      <c r="J15" s="28" t="str">
        <f t="shared" si="1"/>
        <v>FEBRERO</v>
      </c>
      <c r="K15" s="24">
        <f>+IF($I15&gt;0,VLOOKUP($I15,'Lista de Precios'!$A$3:$H$2883,5,0),0)</f>
        <v>1</v>
      </c>
      <c r="L15" s="36"/>
      <c r="M15" s="36"/>
      <c r="N15" s="36"/>
      <c r="O15" s="37"/>
      <c r="P15" s="38"/>
      <c r="Q15" s="39"/>
      <c r="R15" s="37"/>
      <c r="S15" s="37"/>
      <c r="T15" s="37"/>
      <c r="U15" s="37"/>
      <c r="V15" s="37"/>
      <c r="W15" s="37"/>
      <c r="X15" s="37"/>
      <c r="Y15" s="37"/>
      <c r="Z15" s="40"/>
      <c r="AA15" s="41"/>
      <c r="AB15" s="37"/>
      <c r="AC15" s="37"/>
      <c r="AD15" s="37"/>
      <c r="AE15" s="37">
        <v>2</v>
      </c>
      <c r="AF15" s="37">
        <v>2</v>
      </c>
      <c r="AG15" s="37">
        <v>4</v>
      </c>
      <c r="AH15" s="36">
        <v>2</v>
      </c>
      <c r="AI15" s="36">
        <v>2</v>
      </c>
      <c r="AJ15" s="36">
        <v>2</v>
      </c>
      <c r="AK15" s="42">
        <v>2</v>
      </c>
      <c r="AL15" s="43"/>
      <c r="AM15" s="73">
        <f t="shared" si="2"/>
        <v>16</v>
      </c>
      <c r="AN15" s="71">
        <f>+IF($I15&gt;0,VLOOKUP($I15,'Lista de Precios'!$A$3:$H$2883,4,0),"")</f>
        <v>50748.663101604274</v>
      </c>
      <c r="AO15" s="68">
        <f t="shared" ref="AO15:AO79" si="8">+IF(AM15&gt;0,AN15*AM15,"")</f>
        <v>811978.60962566838</v>
      </c>
      <c r="AP15" s="7" t="str">
        <f>IF($I15&gt;0,VLOOKUP($I15,'Lista de Precios'!$A$3:$K$2883,10,0),"")</f>
        <v>Running</v>
      </c>
      <c r="AQ15" s="7" t="str">
        <f>IF($I15&gt;0,VLOOKUP($I15,'Lista de Precios'!$A$3:$M$4893,13,0),"")</f>
        <v>Running+Training</v>
      </c>
      <c r="HQ15" s="134"/>
      <c r="HR15" s="134"/>
      <c r="HS15" s="134"/>
      <c r="HT15" s="134"/>
      <c r="HU15" s="134"/>
      <c r="HV15" s="134"/>
      <c r="HW15" s="134"/>
      <c r="HX15" s="134"/>
      <c r="HY15" s="134"/>
      <c r="HZ15" s="134"/>
      <c r="IA15" s="134"/>
      <c r="IB15" s="134"/>
      <c r="ID15" s="134"/>
      <c r="IE15" s="134"/>
      <c r="IF15" s="134"/>
      <c r="IG15" s="134"/>
      <c r="IH15" s="134"/>
      <c r="II15" s="134"/>
      <c r="IJ15" s="134"/>
      <c r="IK15" s="134"/>
      <c r="IL15" s="134"/>
      <c r="IM15" s="135"/>
      <c r="IN15" s="135"/>
      <c r="IO15" s="135"/>
      <c r="XEO15" s="7" t="str">
        <f t="shared" si="3"/>
        <v/>
      </c>
      <c r="XEP15" s="7" t="str">
        <f t="shared" si="4"/>
        <v/>
      </c>
      <c r="XEQ15" s="7" t="str">
        <f t="shared" si="5"/>
        <v/>
      </c>
      <c r="XER15" s="7" t="str">
        <f t="shared" si="6"/>
        <v/>
      </c>
    </row>
    <row r="16" spans="1:249 16369:16372" ht="23.25" customHeight="1" x14ac:dyDescent="0.25">
      <c r="A16" s="74" t="str">
        <f>IF($I16&gt;0,VLOOKUP(I16,'Lista de Precios'!$A$3:$L$2883,9,0),0)</f>
        <v>Mujer</v>
      </c>
      <c r="B16" s="74" t="str">
        <f>IF($I16&gt;0,VLOOKUP(I16,'Lista de Precios'!$A$3:$H$2883,7,0),0)</f>
        <v>CONT</v>
      </c>
      <c r="C16" s="7" t="str">
        <f>IF($I16&gt;0,VLOOKUP(I16,'Lista de Precios'!$A$3:$H$2883,2,0),"")</f>
        <v>FAST 2.0</v>
      </c>
      <c r="D16" s="7" t="str">
        <f>IF($I16&gt;0,VLOOKUP(I16,'Lista de Precios'!$A$3:$H$2883,3,0),"")</f>
        <v>NEGRO/DORADO</v>
      </c>
      <c r="E16" s="76" t="str">
        <f>IF($I16&gt;0,VLOOKUP(I16,'Lista de Precios'!$A$3:$H$2883,6,0),"")</f>
        <v>FEBRERO</v>
      </c>
      <c r="F16" s="76" t="str">
        <f>IF($I16&gt;0,VLOOKUP(I16,'Lista de Precios'!$A$3:$H$2883,8,0),"")</f>
        <v>35 AL 40</v>
      </c>
      <c r="G16" s="101">
        <f t="shared" si="7"/>
        <v>74900</v>
      </c>
      <c r="H16" s="20" t="s">
        <v>3</v>
      </c>
      <c r="I16" s="18">
        <v>26443</v>
      </c>
      <c r="J16" s="28" t="str">
        <f t="shared" si="1"/>
        <v>FEBRERO</v>
      </c>
      <c r="K16" s="24">
        <f>+IF($I16&gt;0,VLOOKUP($I16,'Lista de Precios'!$A$3:$H$2883,5,0),0)</f>
        <v>1</v>
      </c>
      <c r="L16" s="36"/>
      <c r="M16" s="36"/>
      <c r="N16" s="36"/>
      <c r="O16" s="37"/>
      <c r="P16" s="38"/>
      <c r="Q16" s="39"/>
      <c r="R16" s="37"/>
      <c r="S16" s="37"/>
      <c r="T16" s="37"/>
      <c r="U16" s="37"/>
      <c r="V16" s="37"/>
      <c r="W16" s="37"/>
      <c r="X16" s="37"/>
      <c r="Y16" s="37"/>
      <c r="Z16" s="40"/>
      <c r="AA16" s="41">
        <v>2</v>
      </c>
      <c r="AB16" s="37">
        <v>4</v>
      </c>
      <c r="AC16" s="37">
        <v>12</v>
      </c>
      <c r="AD16" s="37">
        <v>12</v>
      </c>
      <c r="AE16" s="37">
        <v>6</v>
      </c>
      <c r="AF16" s="37">
        <v>8</v>
      </c>
      <c r="AG16" s="37"/>
      <c r="AH16" s="36"/>
      <c r="AI16" s="36"/>
      <c r="AJ16" s="36"/>
      <c r="AK16" s="42"/>
      <c r="AL16" s="43"/>
      <c r="AM16" s="73">
        <f t="shared" si="2"/>
        <v>44</v>
      </c>
      <c r="AN16" s="71">
        <f>+IF($I16&gt;0,VLOOKUP($I16,'Lista de Precios'!$A$3:$H$2883,4,0),"")</f>
        <v>40053.475935828872</v>
      </c>
      <c r="AO16" s="68">
        <f t="shared" si="8"/>
        <v>1762352.9411764704</v>
      </c>
      <c r="AP16" s="7" t="str">
        <f>IF($I16&gt;0,VLOOKUP($I16,'Lista de Precios'!$A$3:$K$2883,10,0),"")</f>
        <v>Running</v>
      </c>
      <c r="AQ16" s="7" t="str">
        <f>IF($I16&gt;0,VLOOKUP($I16,'Lista de Precios'!$A$3:$M$4893,13,0),"")</f>
        <v>Running+Training</v>
      </c>
      <c r="HQ16" s="134"/>
      <c r="HR16" s="134"/>
      <c r="HS16" s="134"/>
      <c r="HT16" s="134"/>
      <c r="HU16" s="134"/>
      <c r="HV16" s="134"/>
      <c r="HW16" s="134"/>
      <c r="HX16" s="134"/>
      <c r="HY16" s="134"/>
      <c r="HZ16" s="134"/>
      <c r="IA16" s="134"/>
      <c r="IB16" s="134"/>
      <c r="ID16" s="134"/>
      <c r="IE16" s="134"/>
      <c r="IF16" s="134"/>
      <c r="IG16" s="134"/>
      <c r="IH16" s="134"/>
      <c r="II16" s="134"/>
      <c r="IJ16" s="134"/>
      <c r="IK16" s="134"/>
      <c r="IL16" s="134"/>
      <c r="IM16" s="135"/>
      <c r="IN16" s="135"/>
      <c r="IO16" s="135"/>
      <c r="XEO16" s="7" t="str">
        <f t="shared" si="3"/>
        <v/>
      </c>
      <c r="XEP16" s="7" t="str">
        <f t="shared" si="4"/>
        <v/>
      </c>
      <c r="XEQ16" s="7" t="str">
        <f t="shared" si="5"/>
        <v/>
      </c>
      <c r="XER16" s="7" t="str">
        <f t="shared" si="6"/>
        <v/>
      </c>
    </row>
    <row r="17" spans="1:249 16369:16372" ht="23.25" customHeight="1" x14ac:dyDescent="0.25">
      <c r="A17" s="74" t="str">
        <f>IF($I17&gt;0,VLOOKUP(I17,'Lista de Precios'!$A$3:$L$2883,9,0),0)</f>
        <v>Hombre</v>
      </c>
      <c r="B17" s="74" t="str">
        <f>IF($I17&gt;0,VLOOKUP(I17,'Lista de Precios'!$A$3:$H$2883,7,0),0)</f>
        <v>CONT</v>
      </c>
      <c r="C17" s="7" t="str">
        <f>IF($I17&gt;0,VLOOKUP(I17,'Lista de Precios'!$A$3:$H$2883,2,0),"")</f>
        <v>WIND 5</v>
      </c>
      <c r="D17" s="7" t="str">
        <f>IF($I17&gt;0,VLOOKUP(I17,'Lista de Precios'!$A$3:$H$2883,3,0),"")</f>
        <v>NEGRO/GRIS</v>
      </c>
      <c r="E17" s="76" t="str">
        <f>IF($I17&gt;0,VLOOKUP(I17,'Lista de Precios'!$A$3:$H$2883,6,0),"")</f>
        <v>ENERO</v>
      </c>
      <c r="F17" s="76" t="str">
        <f>IF($I17&gt;0,VLOOKUP(I17,'Lista de Precios'!$A$3:$H$2883,8,0),"")</f>
        <v>35 AL 45</v>
      </c>
      <c r="G17" s="101">
        <f t="shared" si="7"/>
        <v>68900</v>
      </c>
      <c r="H17" s="20" t="s">
        <v>3</v>
      </c>
      <c r="I17" s="18">
        <v>25787</v>
      </c>
      <c r="J17" s="28" t="str">
        <f t="shared" si="1"/>
        <v>ENERO</v>
      </c>
      <c r="K17" s="24">
        <f>+IF($I17&gt;0,VLOOKUP($I17,'Lista de Precios'!$A$3:$H$2883,5,0),0)</f>
        <v>1</v>
      </c>
      <c r="L17" s="36"/>
      <c r="M17" s="36"/>
      <c r="N17" s="36"/>
      <c r="O17" s="37"/>
      <c r="P17" s="38"/>
      <c r="Q17" s="39"/>
      <c r="R17" s="37"/>
      <c r="S17" s="37"/>
      <c r="T17" s="37"/>
      <c r="U17" s="37"/>
      <c r="V17" s="37"/>
      <c r="W17" s="37"/>
      <c r="X17" s="37"/>
      <c r="Y17" s="37"/>
      <c r="Z17" s="40"/>
      <c r="AA17" s="41"/>
      <c r="AB17" s="37"/>
      <c r="AC17" s="37"/>
      <c r="AD17" s="37">
        <v>6</v>
      </c>
      <c r="AE17" s="37">
        <v>6</v>
      </c>
      <c r="AF17" s="37">
        <v>6</v>
      </c>
      <c r="AG17" s="37"/>
      <c r="AH17" s="36"/>
      <c r="AI17" s="36"/>
      <c r="AJ17" s="36"/>
      <c r="AK17" s="42"/>
      <c r="AL17" s="43"/>
      <c r="AM17" s="73">
        <f t="shared" si="2"/>
        <v>18</v>
      </c>
      <c r="AN17" s="71">
        <f>+IF($I17&gt;0,VLOOKUP($I17,'Lista de Precios'!$A$3:$H$2883,4,0),"")</f>
        <v>36844.919786096252</v>
      </c>
      <c r="AO17" s="68">
        <f t="shared" si="8"/>
        <v>663208.55614973255</v>
      </c>
      <c r="AP17" s="7" t="str">
        <f>IF($I17&gt;0,VLOOKUP($I17,'Lista de Precios'!$A$3:$K$2883,10,0),"")</f>
        <v>Running</v>
      </c>
      <c r="AQ17" s="7" t="str">
        <f>IF($I17&gt;0,VLOOKUP($I17,'Lista de Precios'!$A$3:$M$4893,13,0),"")</f>
        <v>Running+Training</v>
      </c>
      <c r="HQ17" s="134"/>
      <c r="HR17" s="134"/>
      <c r="HS17" s="134"/>
      <c r="HT17" s="134"/>
      <c r="HU17" s="134"/>
      <c r="HV17" s="134"/>
      <c r="HW17" s="134"/>
      <c r="HX17" s="134"/>
      <c r="HY17" s="134"/>
      <c r="HZ17" s="134"/>
      <c r="IA17" s="134"/>
      <c r="IB17" s="134"/>
      <c r="ID17" s="134"/>
      <c r="IE17" s="134"/>
      <c r="IF17" s="134"/>
      <c r="IG17" s="134"/>
      <c r="IH17" s="134"/>
      <c r="II17" s="134"/>
      <c r="IJ17" s="134"/>
      <c r="IK17" s="134"/>
      <c r="IL17" s="134"/>
      <c r="IM17" s="135"/>
      <c r="IN17" s="135"/>
      <c r="IO17" s="135"/>
      <c r="XEO17" s="7" t="str">
        <f t="shared" si="3"/>
        <v/>
      </c>
      <c r="XEP17" s="7" t="str">
        <f t="shared" si="4"/>
        <v/>
      </c>
      <c r="XEQ17" s="7" t="str">
        <f t="shared" si="5"/>
        <v/>
      </c>
      <c r="XER17" s="7" t="str">
        <f t="shared" si="6"/>
        <v/>
      </c>
    </row>
    <row r="18" spans="1:249 16369:16372" ht="23.25" customHeight="1" x14ac:dyDescent="0.25">
      <c r="A18" s="74" t="str">
        <f>IF($I18&gt;0,VLOOKUP(I18,'Lista de Precios'!$A$3:$L$2883,9,0),0)</f>
        <v>Unisex</v>
      </c>
      <c r="B18" s="74" t="str">
        <f>IF($I18&gt;0,VLOOKUP(I18,'Lista de Precios'!$A$3:$H$2883,7,0),0)</f>
        <v>CONT</v>
      </c>
      <c r="C18" s="7" t="str">
        <f>IF($I18&gt;0,VLOOKUP(I18,'Lista de Precios'!$A$3:$H$2883,2,0),"")</f>
        <v>SENDAI</v>
      </c>
      <c r="D18" s="7" t="str">
        <f>IF($I18&gt;0,VLOOKUP(I18,'Lista de Precios'!$A$3:$H$2883,3,0),"")</f>
        <v>MORN/ETHEREA</v>
      </c>
      <c r="E18" s="76" t="str">
        <f>IF($I18&gt;0,VLOOKUP(I18,'Lista de Precios'!$A$3:$H$2883,6,0),"")</f>
        <v>ENERO</v>
      </c>
      <c r="F18" s="76" t="str">
        <f>IF($I18&gt;0,VLOOKUP(I18,'Lista de Precios'!$A$3:$H$2883,8,0),"")</f>
        <v>35 AL 45</v>
      </c>
      <c r="G18" s="101">
        <f t="shared" si="7"/>
        <v>73900</v>
      </c>
      <c r="H18" s="20" t="s">
        <v>3</v>
      </c>
      <c r="I18" s="18">
        <v>26902</v>
      </c>
      <c r="J18" s="28" t="str">
        <f t="shared" si="1"/>
        <v>ENERO</v>
      </c>
      <c r="K18" s="24">
        <f>+IF($I18&gt;0,VLOOKUP($I18,'Lista de Precios'!$A$3:$H$2883,5,0),0)</f>
        <v>1</v>
      </c>
      <c r="L18" s="36"/>
      <c r="M18" s="36"/>
      <c r="N18" s="36"/>
      <c r="O18" s="37"/>
      <c r="P18" s="38"/>
      <c r="Q18" s="39"/>
      <c r="R18" s="37"/>
      <c r="S18" s="37"/>
      <c r="T18" s="37"/>
      <c r="U18" s="37"/>
      <c r="V18" s="37"/>
      <c r="W18" s="37"/>
      <c r="X18" s="37"/>
      <c r="Y18" s="37"/>
      <c r="Z18" s="40"/>
      <c r="AA18" s="41"/>
      <c r="AB18" s="37"/>
      <c r="AC18" s="37">
        <v>2</v>
      </c>
      <c r="AD18" s="37">
        <v>4</v>
      </c>
      <c r="AE18" s="37">
        <v>4</v>
      </c>
      <c r="AF18" s="37">
        <v>2</v>
      </c>
      <c r="AG18" s="37"/>
      <c r="AH18" s="36"/>
      <c r="AI18" s="36"/>
      <c r="AJ18" s="36"/>
      <c r="AK18" s="42"/>
      <c r="AL18" s="43"/>
      <c r="AM18" s="73">
        <f t="shared" si="2"/>
        <v>12</v>
      </c>
      <c r="AN18" s="71">
        <f>+IF($I18&gt;0,VLOOKUP($I18,'Lista de Precios'!$A$3:$H$2883,4,0),"")</f>
        <v>39518.716577540108</v>
      </c>
      <c r="AO18" s="68">
        <f t="shared" si="8"/>
        <v>474224.5989304813</v>
      </c>
      <c r="AP18" s="7" t="str">
        <f>IF($I18&gt;0,VLOOKUP($I18,'Lista de Precios'!$A$3:$K$2883,10,0),"")</f>
        <v>Casual</v>
      </c>
      <c r="AQ18" s="7" t="str">
        <f>IF($I18&gt;0,VLOOKUP($I18,'Lista de Precios'!$A$3:$M$4893,13,0),"")</f>
        <v>Casual</v>
      </c>
      <c r="HQ18" s="134"/>
      <c r="HR18" s="134"/>
      <c r="HS18" s="134"/>
      <c r="HT18" s="134"/>
      <c r="HU18" s="134"/>
      <c r="HV18" s="134"/>
      <c r="HW18" s="134"/>
      <c r="HX18" s="134"/>
      <c r="HY18" s="134"/>
      <c r="HZ18" s="134"/>
      <c r="IA18" s="134"/>
      <c r="IB18" s="134"/>
      <c r="ID18" s="134"/>
      <c r="IE18" s="134"/>
      <c r="IF18" s="134"/>
      <c r="IG18" s="134"/>
      <c r="IH18" s="134"/>
      <c r="II18" s="134"/>
      <c r="IJ18" s="134"/>
      <c r="IK18" s="134"/>
      <c r="IL18" s="134"/>
      <c r="IM18" s="135"/>
      <c r="IN18" s="135"/>
      <c r="IO18" s="135"/>
      <c r="XEO18" s="7">
        <f t="shared" si="3"/>
        <v>12</v>
      </c>
      <c r="XEP18" s="7" t="str">
        <f t="shared" si="4"/>
        <v/>
      </c>
      <c r="XEQ18" s="7" t="str">
        <f t="shared" si="5"/>
        <v/>
      </c>
      <c r="XER18" s="7" t="str">
        <f t="shared" si="6"/>
        <v/>
      </c>
    </row>
    <row r="19" spans="1:249 16369:16372" ht="23.25" customHeight="1" x14ac:dyDescent="0.25">
      <c r="A19" s="74" t="str">
        <f>IF($I19&gt;0,VLOOKUP(I19,'Lista de Precios'!$A$3:$L$2883,9,0),0)</f>
        <v>Kids</v>
      </c>
      <c r="B19" s="74" t="str">
        <f>IF($I19&gt;0,VLOOKUP(I19,'Lista de Precios'!$A$3:$H$2883,7,0),0)</f>
        <v>CONT</v>
      </c>
      <c r="C19" s="7" t="str">
        <f>IF($I19&gt;0,VLOOKUP(I19,'Lista de Precios'!$A$3:$H$2883,2,0),"")</f>
        <v>ITEN KIDS</v>
      </c>
      <c r="D19" s="7" t="str">
        <f>IF($I19&gt;0,VLOOKUP(I19,'Lista de Precios'!$A$3:$H$2883,3,0),"")</f>
        <v>NEGRO / VERDE WAVE</v>
      </c>
      <c r="E19" s="76" t="str">
        <f>IF($I19&gt;0,VLOOKUP(I19,'Lista de Precios'!$A$3:$H$2883,6,0),"")</f>
        <v>ENERO</v>
      </c>
      <c r="F19" s="76" t="str">
        <f>IF($I19&gt;0,VLOOKUP(I19,'Lista de Precios'!$A$3:$H$2883,8,0),"")</f>
        <v>25 AL 34</v>
      </c>
      <c r="G19" s="101">
        <f t="shared" si="7"/>
        <v>61899.999999999993</v>
      </c>
      <c r="H19" s="20" t="s">
        <v>3</v>
      </c>
      <c r="I19" s="18">
        <v>89578</v>
      </c>
      <c r="J19" s="28" t="str">
        <f t="shared" si="1"/>
        <v>ENERO</v>
      </c>
      <c r="K19" s="24">
        <f>+IF($I19&gt;0,VLOOKUP($I19,'Lista de Precios'!$A$3:$H$2883,5,0),0)</f>
        <v>1</v>
      </c>
      <c r="L19" s="36"/>
      <c r="M19" s="36"/>
      <c r="N19" s="36"/>
      <c r="O19" s="37"/>
      <c r="P19" s="38"/>
      <c r="Q19" s="39"/>
      <c r="R19" s="37">
        <v>4</v>
      </c>
      <c r="S19" s="37"/>
      <c r="T19" s="37">
        <v>4</v>
      </c>
      <c r="U19" s="37"/>
      <c r="V19" s="37">
        <v>6</v>
      </c>
      <c r="W19" s="37">
        <v>4</v>
      </c>
      <c r="X19" s="37">
        <v>4</v>
      </c>
      <c r="Y19" s="37">
        <v>2</v>
      </c>
      <c r="Z19" s="40">
        <v>2</v>
      </c>
      <c r="AA19" s="41"/>
      <c r="AB19" s="37"/>
      <c r="AC19" s="37"/>
      <c r="AD19" s="37"/>
      <c r="AE19" s="37"/>
      <c r="AF19" s="37"/>
      <c r="AG19" s="37"/>
      <c r="AH19" s="36"/>
      <c r="AI19" s="36"/>
      <c r="AJ19" s="36"/>
      <c r="AK19" s="42"/>
      <c r="AL19" s="43"/>
      <c r="AM19" s="73">
        <f t="shared" si="2"/>
        <v>26</v>
      </c>
      <c r="AN19" s="71">
        <f>+IF($I19&gt;0,VLOOKUP($I19,'Lista de Precios'!$A$3:$H$2883,4,0),"")</f>
        <v>33101.604278074861</v>
      </c>
      <c r="AO19" s="68">
        <f t="shared" si="8"/>
        <v>860641.71122994635</v>
      </c>
      <c r="AP19" s="7" t="str">
        <f>IF($I19&gt;0,VLOOKUP($I19,'Lista de Precios'!$A$3:$K$2883,10,0),"")</f>
        <v>Running</v>
      </c>
      <c r="AQ19" s="7" t="str">
        <f>IF($I19&gt;0,VLOOKUP($I19,'Lista de Precios'!$A$3:$M$4893,13,0),"")</f>
        <v>Kids</v>
      </c>
      <c r="HQ19" s="134"/>
      <c r="HR19" s="134"/>
      <c r="HS19" s="134"/>
      <c r="HT19" s="134"/>
      <c r="HU19" s="134"/>
      <c r="HV19" s="134"/>
      <c r="HW19" s="134"/>
      <c r="HX19" s="134"/>
      <c r="HY19" s="134"/>
      <c r="HZ19" s="134"/>
      <c r="IA19" s="134"/>
      <c r="IB19" s="134"/>
      <c r="ID19" s="134"/>
      <c r="IE19" s="134"/>
      <c r="IF19" s="134"/>
      <c r="IG19" s="134"/>
      <c r="IH19" s="134"/>
      <c r="II19" s="134"/>
      <c r="IJ19" s="134"/>
      <c r="IK19" s="134"/>
      <c r="IL19" s="134"/>
      <c r="IM19" s="135"/>
      <c r="IN19" s="135"/>
      <c r="IO19" s="135"/>
      <c r="XEO19" s="7" t="str">
        <f t="shared" si="3"/>
        <v/>
      </c>
      <c r="XEP19" s="7" t="str">
        <f t="shared" si="4"/>
        <v/>
      </c>
      <c r="XEQ19" s="7" t="str">
        <f t="shared" si="5"/>
        <v/>
      </c>
      <c r="XER19" s="7">
        <f t="shared" si="6"/>
        <v>26</v>
      </c>
    </row>
    <row r="20" spans="1:249 16369:16372" ht="23.25" customHeight="1" x14ac:dyDescent="0.25">
      <c r="A20" s="74" t="str">
        <f>IF($I20&gt;0,VLOOKUP(I20,'Lista de Precios'!$A$3:$L$2883,9,0),0)</f>
        <v>Kids</v>
      </c>
      <c r="B20" s="74" t="str">
        <f>IF($I20&gt;0,VLOOKUP(I20,'Lista de Precios'!$A$3:$H$2883,7,0),0)</f>
        <v>CONT</v>
      </c>
      <c r="C20" s="7" t="str">
        <f>IF($I20&gt;0,VLOOKUP(I20,'Lista de Precios'!$A$3:$H$2883,2,0),"")</f>
        <v>WIND IV MESH KIDS</v>
      </c>
      <c r="D20" s="7" t="str">
        <f>IF($I20&gt;0,VLOOKUP(I20,'Lista de Precios'!$A$3:$H$2883,3,0),"")</f>
        <v>NEGRO / BLANCO</v>
      </c>
      <c r="E20" s="76" t="str">
        <f>IF($I20&gt;0,VLOOKUP(I20,'Lista de Precios'!$A$3:$H$2883,6,0),"")</f>
        <v>FEBRERO</v>
      </c>
      <c r="F20" s="76" t="str">
        <f>IF($I20&gt;0,VLOOKUP(I20,'Lista de Precios'!$A$3:$H$2883,8,0),"")</f>
        <v>25 AL 34</v>
      </c>
      <c r="G20" s="101">
        <f t="shared" si="7"/>
        <v>57900</v>
      </c>
      <c r="H20" s="20" t="s">
        <v>3</v>
      </c>
      <c r="I20" s="18">
        <v>52407</v>
      </c>
      <c r="J20" s="28" t="str">
        <f t="shared" si="1"/>
        <v>FEBRERO</v>
      </c>
      <c r="K20" s="24">
        <f>+IF($I20&gt;0,VLOOKUP($I20,'Lista de Precios'!$A$3:$H$2883,5,0),0)</f>
        <v>1</v>
      </c>
      <c r="L20" s="36"/>
      <c r="M20" s="36"/>
      <c r="N20" s="36"/>
      <c r="O20" s="37"/>
      <c r="P20" s="38"/>
      <c r="Q20" s="39"/>
      <c r="R20" s="37">
        <v>4</v>
      </c>
      <c r="S20" s="37"/>
      <c r="T20" s="37">
        <v>6</v>
      </c>
      <c r="U20" s="37">
        <v>6</v>
      </c>
      <c r="V20" s="37">
        <v>8</v>
      </c>
      <c r="W20" s="37">
        <v>4</v>
      </c>
      <c r="X20" s="37">
        <v>2</v>
      </c>
      <c r="Y20" s="37"/>
      <c r="Z20" s="40">
        <v>2</v>
      </c>
      <c r="AA20" s="41"/>
      <c r="AB20" s="37"/>
      <c r="AC20" s="37"/>
      <c r="AD20" s="37"/>
      <c r="AE20" s="37"/>
      <c r="AF20" s="37"/>
      <c r="AG20" s="37"/>
      <c r="AH20" s="36"/>
      <c r="AI20" s="36"/>
      <c r="AJ20" s="36"/>
      <c r="AK20" s="42"/>
      <c r="AL20" s="43"/>
      <c r="AM20" s="73">
        <f t="shared" si="2"/>
        <v>32</v>
      </c>
      <c r="AN20" s="71">
        <f>+IF($I20&gt;0,VLOOKUP($I20,'Lista de Precios'!$A$3:$H$2883,4,0),"")</f>
        <v>30962.566844919784</v>
      </c>
      <c r="AO20" s="68">
        <f t="shared" si="8"/>
        <v>990802.13903743308</v>
      </c>
      <c r="AP20" s="7" t="str">
        <f>IF($I20&gt;0,VLOOKUP($I20,'Lista de Precios'!$A$3:$K$2883,10,0),"")</f>
        <v>Running</v>
      </c>
      <c r="AQ20" s="7" t="str">
        <f>IF($I20&gt;0,VLOOKUP($I20,'Lista de Precios'!$A$3:$M$4893,13,0),"")</f>
        <v>Kids</v>
      </c>
      <c r="HQ20" s="134"/>
      <c r="HR20" s="134"/>
      <c r="HS20" s="134"/>
      <c r="HT20" s="134"/>
      <c r="HU20" s="134"/>
      <c r="HV20" s="134"/>
      <c r="HW20" s="134"/>
      <c r="HX20" s="134"/>
      <c r="HY20" s="134"/>
      <c r="HZ20" s="134"/>
      <c r="IA20" s="134"/>
      <c r="IB20" s="134"/>
      <c r="ID20" s="134"/>
      <c r="IE20" s="134"/>
      <c r="IF20" s="134"/>
      <c r="IG20" s="134"/>
      <c r="IH20" s="134"/>
      <c r="II20" s="134"/>
      <c r="IJ20" s="134"/>
      <c r="IK20" s="134"/>
      <c r="IL20" s="134"/>
      <c r="IM20" s="135"/>
      <c r="IN20" s="135"/>
      <c r="IO20" s="135"/>
      <c r="XEO20" s="7" t="str">
        <f t="shared" si="3"/>
        <v/>
      </c>
      <c r="XEP20" s="7" t="str">
        <f t="shared" si="4"/>
        <v/>
      </c>
      <c r="XEQ20" s="7" t="str">
        <f t="shared" si="5"/>
        <v/>
      </c>
      <c r="XER20" s="7">
        <f t="shared" si="6"/>
        <v>32</v>
      </c>
    </row>
    <row r="21" spans="1:249 16369:16372" ht="23.25" customHeight="1" x14ac:dyDescent="0.25">
      <c r="A21" s="74" t="str">
        <f>IF($I21&gt;0,VLOOKUP(I21,'Lista de Precios'!$A$3:$L$2883,9,0),0)</f>
        <v>Kids</v>
      </c>
      <c r="B21" s="74" t="str">
        <f>IF($I21&gt;0,VLOOKUP(I21,'Lista de Precios'!$A$3:$H$2883,7,0),0)</f>
        <v>CONT</v>
      </c>
      <c r="C21" s="7" t="str">
        <f>IF($I21&gt;0,VLOOKUP(I21,'Lista de Precios'!$A$3:$H$2883,2,0),"")</f>
        <v>WIND IV MESH KIDS</v>
      </c>
      <c r="D21" s="7" t="str">
        <f>IF($I21&gt;0,VLOOKUP(I21,'Lista de Precios'!$A$3:$H$2883,3,0),"")</f>
        <v xml:space="preserve">ROSA / NEGRO </v>
      </c>
      <c r="E21" s="76" t="str">
        <f>IF($I21&gt;0,VLOOKUP(I21,'Lista de Precios'!$A$3:$H$2883,6,0),"")</f>
        <v>FEBRERO</v>
      </c>
      <c r="F21" s="76" t="str">
        <f>IF($I21&gt;0,VLOOKUP(I21,'Lista de Precios'!$A$3:$H$2883,8,0),"")</f>
        <v>25 AL 34</v>
      </c>
      <c r="G21" s="101">
        <f t="shared" si="7"/>
        <v>57900</v>
      </c>
      <c r="H21" s="20" t="s">
        <v>3</v>
      </c>
      <c r="I21" s="18">
        <v>52409</v>
      </c>
      <c r="J21" s="28" t="str">
        <f t="shared" si="1"/>
        <v>FEBRERO</v>
      </c>
      <c r="K21" s="24">
        <f>+IF($I21&gt;0,VLOOKUP($I21,'Lista de Precios'!$A$3:$H$2883,5,0),0)</f>
        <v>1</v>
      </c>
      <c r="L21" s="36"/>
      <c r="M21" s="36"/>
      <c r="N21" s="36"/>
      <c r="O21" s="37"/>
      <c r="P21" s="38"/>
      <c r="Q21" s="39"/>
      <c r="R21" s="37">
        <v>2</v>
      </c>
      <c r="S21" s="37"/>
      <c r="T21" s="37">
        <v>2</v>
      </c>
      <c r="U21" s="37">
        <v>2</v>
      </c>
      <c r="V21" s="37">
        <v>2</v>
      </c>
      <c r="W21" s="37"/>
      <c r="X21" s="37"/>
      <c r="Y21" s="37"/>
      <c r="Z21" s="40"/>
      <c r="AA21" s="41"/>
      <c r="AB21" s="37"/>
      <c r="AC21" s="37"/>
      <c r="AD21" s="37"/>
      <c r="AE21" s="37"/>
      <c r="AF21" s="37"/>
      <c r="AG21" s="37"/>
      <c r="AH21" s="36"/>
      <c r="AI21" s="36"/>
      <c r="AJ21" s="36"/>
      <c r="AK21" s="42"/>
      <c r="AL21" s="43"/>
      <c r="AM21" s="73">
        <f t="shared" si="2"/>
        <v>8</v>
      </c>
      <c r="AN21" s="71">
        <f>+IF($I21&gt;0,VLOOKUP($I21,'Lista de Precios'!$A$3:$H$2883,4,0),"")</f>
        <v>30962.566844919784</v>
      </c>
      <c r="AO21" s="68">
        <f t="shared" si="8"/>
        <v>247700.53475935827</v>
      </c>
      <c r="AP21" s="7" t="str">
        <f>IF($I21&gt;0,VLOOKUP($I21,'Lista de Precios'!$A$3:$K$2883,10,0),"")</f>
        <v>Running</v>
      </c>
      <c r="AQ21" s="7" t="str">
        <f>IF($I21&gt;0,VLOOKUP($I21,'Lista de Precios'!$A$3:$M$4893,13,0),"")</f>
        <v>Kids</v>
      </c>
      <c r="HQ21" s="134"/>
      <c r="HR21" s="134"/>
      <c r="HS21" s="134"/>
      <c r="HT21" s="134"/>
      <c r="HU21" s="134"/>
      <c r="HV21" s="134"/>
      <c r="HW21" s="134"/>
      <c r="HX21" s="134"/>
      <c r="HY21" s="134"/>
      <c r="HZ21" s="134"/>
      <c r="IA21" s="134"/>
      <c r="IB21" s="134"/>
      <c r="ID21" s="134"/>
      <c r="IE21" s="134"/>
      <c r="IF21" s="134"/>
      <c r="IG21" s="134"/>
      <c r="IH21" s="134"/>
      <c r="II21" s="134"/>
      <c r="IJ21" s="134"/>
      <c r="IK21" s="134"/>
      <c r="IL21" s="134"/>
      <c r="IM21" s="135"/>
      <c r="IN21" s="135"/>
      <c r="IO21" s="135"/>
      <c r="XEO21" s="7" t="str">
        <f t="shared" si="3"/>
        <v/>
      </c>
      <c r="XEP21" s="7" t="str">
        <f t="shared" si="4"/>
        <v/>
      </c>
      <c r="XEQ21" s="7" t="str">
        <f t="shared" si="5"/>
        <v/>
      </c>
      <c r="XER21" s="7">
        <f t="shared" si="6"/>
        <v>8</v>
      </c>
    </row>
    <row r="22" spans="1:249 16369:16372" ht="23.25" customHeight="1" x14ac:dyDescent="0.25">
      <c r="A22" s="74" t="str">
        <f>IF($I22&gt;0,VLOOKUP(I22,'Lista de Precios'!$A$3:$L$2883,9,0),0)</f>
        <v>Kids</v>
      </c>
      <c r="B22" s="74" t="str">
        <f>IF($I22&gt;0,VLOOKUP(I22,'Lista de Precios'!$A$3:$H$2883,7,0),0)</f>
        <v>CONT</v>
      </c>
      <c r="C22" s="7" t="str">
        <f>IF($I22&gt;0,VLOOKUP(I22,'Lista de Precios'!$A$3:$H$2883,2,0),"")</f>
        <v>ZURICH III KIDS</v>
      </c>
      <c r="D22" s="7" t="str">
        <f>IF($I22&gt;0,VLOOKUP(I22,'Lista de Precios'!$A$3:$H$2883,3,0),"")</f>
        <v>NEGRO</v>
      </c>
      <c r="E22" s="76" t="str">
        <f>IF($I22&gt;0,VLOOKUP(I22,'Lista de Precios'!$A$3:$H$2883,6,0),"")</f>
        <v>ENERO</v>
      </c>
      <c r="F22" s="76" t="str">
        <f>IF($I22&gt;0,VLOOKUP(I22,'Lista de Precios'!$A$3:$H$2883,8,0),"")</f>
        <v>25 AL 34</v>
      </c>
      <c r="G22" s="101">
        <f t="shared" si="7"/>
        <v>52900</v>
      </c>
      <c r="H22" s="20" t="s">
        <v>3</v>
      </c>
      <c r="I22" s="18">
        <v>26320</v>
      </c>
      <c r="J22" s="28" t="str">
        <f t="shared" si="1"/>
        <v>ENERO</v>
      </c>
      <c r="K22" s="24">
        <f>+IF($I22&gt;0,VLOOKUP($I22,'Lista de Precios'!$A$3:$H$2883,5,0),0)</f>
        <v>1</v>
      </c>
      <c r="L22" s="36"/>
      <c r="M22" s="36"/>
      <c r="N22" s="36"/>
      <c r="O22" s="37"/>
      <c r="P22" s="38"/>
      <c r="Q22" s="39"/>
      <c r="R22" s="37"/>
      <c r="S22" s="37">
        <v>2</v>
      </c>
      <c r="T22" s="37">
        <v>2</v>
      </c>
      <c r="U22" s="37">
        <v>2</v>
      </c>
      <c r="V22" s="37">
        <v>6</v>
      </c>
      <c r="W22" s="37">
        <v>4</v>
      </c>
      <c r="X22" s="37">
        <v>2</v>
      </c>
      <c r="Y22" s="37">
        <v>2</v>
      </c>
      <c r="Z22" s="40">
        <v>2</v>
      </c>
      <c r="AA22" s="41"/>
      <c r="AB22" s="37"/>
      <c r="AC22" s="37"/>
      <c r="AD22" s="37"/>
      <c r="AE22" s="37"/>
      <c r="AF22" s="37"/>
      <c r="AG22" s="37"/>
      <c r="AH22" s="42"/>
      <c r="AI22" s="42"/>
      <c r="AJ22" s="43"/>
      <c r="AK22" s="43"/>
      <c r="AL22" s="43"/>
      <c r="AM22" s="73">
        <f t="shared" si="2"/>
        <v>22</v>
      </c>
      <c r="AN22" s="71">
        <f>+IF($I22&gt;0,VLOOKUP($I22,'Lista de Precios'!$A$3:$H$2883,4,0),"")</f>
        <v>28288.770053475935</v>
      </c>
      <c r="AO22" s="68">
        <f t="shared" si="8"/>
        <v>622352.9411764706</v>
      </c>
      <c r="AP22" s="7" t="str">
        <f>IF($I22&gt;0,VLOOKUP($I22,'Lista de Precios'!$A$3:$K$2883,10,0),"")</f>
        <v>Running</v>
      </c>
      <c r="AQ22" s="7" t="str">
        <f>IF($I22&gt;0,VLOOKUP($I22,'Lista de Precios'!$A$3:$M$4893,13,0),"")</f>
        <v>Kids</v>
      </c>
      <c r="HQ22" s="134"/>
      <c r="HR22" s="134"/>
      <c r="HS22" s="134"/>
      <c r="HT22" s="134"/>
      <c r="HU22" s="134"/>
      <c r="HV22" s="134"/>
      <c r="HW22" s="134"/>
      <c r="HX22" s="134"/>
      <c r="HY22" s="134"/>
      <c r="HZ22" s="134"/>
      <c r="IA22" s="134"/>
      <c r="IB22" s="134"/>
      <c r="ID22" s="134"/>
      <c r="IE22" s="134"/>
      <c r="IF22" s="134"/>
      <c r="IG22" s="134"/>
      <c r="IH22" s="134"/>
      <c r="II22" s="134"/>
      <c r="IJ22" s="134"/>
      <c r="IK22" s="134"/>
      <c r="IL22" s="134"/>
      <c r="IM22" s="135"/>
      <c r="IN22" s="135"/>
      <c r="IO22" s="135"/>
      <c r="XEO22" s="7" t="str">
        <f t="shared" si="3"/>
        <v/>
      </c>
      <c r="XEP22" s="7" t="str">
        <f t="shared" si="4"/>
        <v/>
      </c>
      <c r="XEQ22" s="7" t="str">
        <f t="shared" si="5"/>
        <v/>
      </c>
      <c r="XER22" s="7">
        <f t="shared" si="6"/>
        <v>22</v>
      </c>
    </row>
    <row r="23" spans="1:249 16369:16372" ht="23.25" customHeight="1" x14ac:dyDescent="0.25">
      <c r="A23" s="74" t="str">
        <f>IF($I23&gt;0,VLOOKUP(I23,'Lista de Precios'!$A$3:$L$2883,9,0),0)</f>
        <v>Kids</v>
      </c>
      <c r="B23" s="74" t="str">
        <f>IF($I23&gt;0,VLOOKUP(I23,'Lista de Precios'!$A$3:$H$2883,7,0),0)</f>
        <v>CONT</v>
      </c>
      <c r="C23" s="7" t="str">
        <f>IF($I23&gt;0,VLOOKUP(I23,'Lista de Precios'!$A$3:$H$2883,2,0),"")</f>
        <v>ZURICH III KIDS</v>
      </c>
      <c r="D23" s="7" t="str">
        <f>IF($I23&gt;0,VLOOKUP(I23,'Lista de Precios'!$A$3:$H$2883,3,0),"")</f>
        <v>BLANCO / MARINO</v>
      </c>
      <c r="E23" s="76" t="str">
        <f>IF($I23&gt;0,VLOOKUP(I23,'Lista de Precios'!$A$3:$H$2883,6,0),"")</f>
        <v>ENERO</v>
      </c>
      <c r="F23" s="76" t="str">
        <f>IF($I23&gt;0,VLOOKUP(I23,'Lista de Precios'!$A$3:$H$2883,8,0),"")</f>
        <v>25 AL 34</v>
      </c>
      <c r="G23" s="101">
        <f t="shared" si="7"/>
        <v>52900</v>
      </c>
      <c r="H23" s="20" t="s">
        <v>3</v>
      </c>
      <c r="I23" s="18">
        <v>26325</v>
      </c>
      <c r="J23" s="28" t="str">
        <f t="shared" ref="J23:J80" si="9">+E23</f>
        <v>ENERO</v>
      </c>
      <c r="K23" s="24">
        <f>+IF($I23&gt;0,VLOOKUP($I23,'Lista de Precios'!$A$3:$H$2883,5,0),0)</f>
        <v>1</v>
      </c>
      <c r="L23" s="36"/>
      <c r="M23" s="36"/>
      <c r="N23" s="36"/>
      <c r="O23" s="37"/>
      <c r="P23" s="38"/>
      <c r="Q23" s="39"/>
      <c r="R23" s="37"/>
      <c r="S23" s="37">
        <v>2</v>
      </c>
      <c r="T23" s="37">
        <v>2</v>
      </c>
      <c r="U23" s="37">
        <v>2</v>
      </c>
      <c r="V23" s="37">
        <v>4</v>
      </c>
      <c r="W23" s="37">
        <v>2</v>
      </c>
      <c r="X23" s="37">
        <v>2</v>
      </c>
      <c r="Y23" s="37"/>
      <c r="Z23" s="40"/>
      <c r="AA23" s="41"/>
      <c r="AB23" s="37"/>
      <c r="AC23" s="37"/>
      <c r="AD23" s="37"/>
      <c r="AE23" s="37"/>
      <c r="AF23" s="37"/>
      <c r="AG23" s="37"/>
      <c r="AH23" s="42"/>
      <c r="AI23" s="42"/>
      <c r="AJ23" s="43"/>
      <c r="AK23" s="43"/>
      <c r="AL23" s="43"/>
      <c r="AM23" s="73">
        <f t="shared" si="2"/>
        <v>14</v>
      </c>
      <c r="AN23" s="71">
        <f>+IF($I23&gt;0,VLOOKUP($I23,'Lista de Precios'!$A$3:$H$2883,4,0),"")</f>
        <v>28288.770053475935</v>
      </c>
      <c r="AO23" s="68">
        <f t="shared" si="8"/>
        <v>396042.78074866312</v>
      </c>
      <c r="AP23" s="7" t="str">
        <f>IF($I23&gt;0,VLOOKUP($I23,'Lista de Precios'!$A$3:$K$2883,10,0),"")</f>
        <v>Running</v>
      </c>
      <c r="AQ23" s="7" t="str">
        <f>IF($I23&gt;0,VLOOKUP($I23,'Lista de Precios'!$A$3:$M$4893,13,0),"")</f>
        <v>Kids</v>
      </c>
      <c r="HQ23" s="134"/>
      <c r="HR23" s="134"/>
      <c r="HS23" s="134"/>
      <c r="HT23" s="134"/>
      <c r="HU23" s="134"/>
      <c r="HV23" s="134"/>
      <c r="HW23" s="134"/>
      <c r="HX23" s="134"/>
      <c r="HY23" s="134"/>
      <c r="HZ23" s="134"/>
      <c r="IA23" s="134"/>
      <c r="IB23" s="134"/>
      <c r="ID23" s="134"/>
      <c r="IE23" s="134"/>
      <c r="IF23" s="134"/>
      <c r="IG23" s="134"/>
      <c r="IH23" s="134"/>
      <c r="II23" s="134"/>
      <c r="IJ23" s="134"/>
      <c r="IK23" s="134"/>
      <c r="IL23" s="134"/>
      <c r="IM23" s="135"/>
      <c r="IN23" s="135"/>
      <c r="IO23" s="135"/>
      <c r="XEO23" s="7" t="str">
        <f t="shared" si="3"/>
        <v/>
      </c>
      <c r="XEP23" s="7" t="str">
        <f t="shared" si="4"/>
        <v/>
      </c>
      <c r="XEQ23" s="7" t="str">
        <f t="shared" si="5"/>
        <v/>
      </c>
      <c r="XER23" s="7">
        <f t="shared" si="6"/>
        <v>14</v>
      </c>
    </row>
    <row r="24" spans="1:249 16369:16372" ht="23.25" customHeight="1" x14ac:dyDescent="0.25">
      <c r="A24" s="74" t="str">
        <f>IF($I24&gt;0,VLOOKUP(I24,'Lista de Precios'!$A$3:$L$2883,9,0),0)</f>
        <v>Kids</v>
      </c>
      <c r="B24" s="74" t="str">
        <f>IF($I24&gt;0,VLOOKUP(I24,'Lista de Precios'!$A$3:$H$2883,7,0),0)</f>
        <v>CONT</v>
      </c>
      <c r="C24" s="7" t="str">
        <f>IF($I24&gt;0,VLOOKUP(I24,'Lista de Precios'!$A$3:$H$2883,2,0),"")</f>
        <v>ZURICH III KIDS</v>
      </c>
      <c r="D24" s="7" t="str">
        <f>IF($I24&gt;0,VLOOKUP(I24,'Lista de Precios'!$A$3:$H$2883,3,0),"")</f>
        <v>BLANCO / FUCSIA</v>
      </c>
      <c r="E24" s="76" t="str">
        <f>IF($I24&gt;0,VLOOKUP(I24,'Lista de Precios'!$A$3:$H$2883,6,0),"")</f>
        <v>ENERO</v>
      </c>
      <c r="F24" s="76" t="str">
        <f>IF($I24&gt;0,VLOOKUP(I24,'Lista de Precios'!$A$3:$H$2883,8,0),"")</f>
        <v>25 AL 34</v>
      </c>
      <c r="G24" s="101">
        <f t="shared" si="7"/>
        <v>52900</v>
      </c>
      <c r="H24" s="20" t="s">
        <v>3</v>
      </c>
      <c r="I24" s="18">
        <v>26324</v>
      </c>
      <c r="J24" s="28" t="str">
        <f t="shared" si="9"/>
        <v>ENERO</v>
      </c>
      <c r="K24" s="24">
        <f>+IF($I24&gt;0,VLOOKUP($I24,'Lista de Precios'!$A$3:$H$2883,5,0),0)</f>
        <v>1</v>
      </c>
      <c r="L24" s="36"/>
      <c r="M24" s="36"/>
      <c r="N24" s="36"/>
      <c r="O24" s="37"/>
      <c r="P24" s="38"/>
      <c r="Q24" s="39"/>
      <c r="R24" s="37"/>
      <c r="S24" s="37">
        <v>2</v>
      </c>
      <c r="T24" s="37">
        <v>2</v>
      </c>
      <c r="U24" s="37">
        <v>2</v>
      </c>
      <c r="V24" s="37">
        <v>2</v>
      </c>
      <c r="W24" s="37">
        <v>2</v>
      </c>
      <c r="X24" s="37">
        <v>2</v>
      </c>
      <c r="Y24" s="37"/>
      <c r="Z24" s="40"/>
      <c r="AA24" s="41"/>
      <c r="AB24" s="37"/>
      <c r="AC24" s="37"/>
      <c r="AD24" s="37"/>
      <c r="AE24" s="37"/>
      <c r="AF24" s="37"/>
      <c r="AG24" s="37"/>
      <c r="AH24" s="42"/>
      <c r="AI24" s="42"/>
      <c r="AJ24" s="43"/>
      <c r="AK24" s="43"/>
      <c r="AL24" s="43"/>
      <c r="AM24" s="73">
        <f t="shared" si="2"/>
        <v>12</v>
      </c>
      <c r="AN24" s="71">
        <f>+IF($I24&gt;0,VLOOKUP($I24,'Lista de Precios'!$A$3:$H$2883,4,0),"")</f>
        <v>28288.770053475935</v>
      </c>
      <c r="AO24" s="68">
        <f t="shared" si="8"/>
        <v>339465.24064171122</v>
      </c>
      <c r="AP24" s="7" t="str">
        <f>IF($I24&gt;0,VLOOKUP($I24,'Lista de Precios'!$A$3:$K$2883,10,0),"")</f>
        <v>Running</v>
      </c>
      <c r="AQ24" s="7" t="str">
        <f>IF($I24&gt;0,VLOOKUP($I24,'Lista de Precios'!$A$3:$M$4893,13,0),"")</f>
        <v>Kids</v>
      </c>
      <c r="HQ24" s="134"/>
      <c r="HR24" s="134"/>
      <c r="HS24" s="134"/>
      <c r="HT24" s="134"/>
      <c r="HU24" s="134"/>
      <c r="HV24" s="134"/>
      <c r="HW24" s="134"/>
      <c r="HX24" s="134"/>
      <c r="HY24" s="134"/>
      <c r="HZ24" s="134"/>
      <c r="IA24" s="134"/>
      <c r="IB24" s="134"/>
      <c r="ID24" s="134"/>
      <c r="IE24" s="134"/>
      <c r="IF24" s="134"/>
      <c r="IG24" s="134"/>
      <c r="IH24" s="134"/>
      <c r="II24" s="134"/>
      <c r="IJ24" s="134"/>
      <c r="IK24" s="134"/>
      <c r="IL24" s="134"/>
      <c r="IM24" s="135"/>
      <c r="IN24" s="135"/>
      <c r="IO24" s="135"/>
      <c r="XEO24" s="7" t="str">
        <f t="shared" si="3"/>
        <v/>
      </c>
      <c r="XEP24" s="7" t="str">
        <f t="shared" si="4"/>
        <v/>
      </c>
      <c r="XEQ24" s="7" t="str">
        <f t="shared" si="5"/>
        <v/>
      </c>
      <c r="XER24" s="7">
        <f t="shared" si="6"/>
        <v>12</v>
      </c>
    </row>
    <row r="25" spans="1:249 16369:16372" ht="23.25" customHeight="1" x14ac:dyDescent="0.25">
      <c r="A25" s="74"/>
      <c r="B25" s="74"/>
      <c r="E25" s="76"/>
      <c r="F25" s="76"/>
      <c r="G25" s="101"/>
      <c r="H25" s="20"/>
      <c r="I25" s="18"/>
      <c r="J25" s="28"/>
      <c r="K25" s="24"/>
      <c r="L25" s="36"/>
      <c r="M25" s="36"/>
      <c r="N25" s="36"/>
      <c r="O25" s="37"/>
      <c r="P25" s="38"/>
      <c r="Q25" s="39"/>
      <c r="R25" s="37"/>
      <c r="S25" s="37"/>
      <c r="T25" s="37"/>
      <c r="U25" s="37"/>
      <c r="V25" s="37"/>
      <c r="W25" s="37"/>
      <c r="X25" s="37"/>
      <c r="Y25" s="37"/>
      <c r="Z25" s="40"/>
      <c r="AA25" s="41"/>
      <c r="AB25" s="37"/>
      <c r="AC25" s="37"/>
      <c r="AD25" s="37"/>
      <c r="AE25" s="37"/>
      <c r="AF25" s="37"/>
      <c r="AG25" s="37"/>
      <c r="AH25" s="42"/>
      <c r="AI25" s="42"/>
      <c r="AJ25" s="43"/>
      <c r="AK25" s="43"/>
      <c r="AL25" s="43"/>
      <c r="AM25" s="73"/>
      <c r="AN25" s="71"/>
      <c r="AO25" s="68"/>
      <c r="HQ25" s="134"/>
      <c r="HR25" s="134"/>
      <c r="HS25" s="134"/>
      <c r="HT25" s="134"/>
      <c r="HU25" s="134"/>
      <c r="HV25" s="134"/>
      <c r="HW25" s="134"/>
      <c r="HX25" s="134"/>
      <c r="HY25" s="134"/>
      <c r="HZ25" s="134"/>
      <c r="IA25" s="134"/>
      <c r="IB25" s="134"/>
      <c r="ID25" s="134"/>
      <c r="IE25" s="134"/>
      <c r="IF25" s="134"/>
      <c r="IG25" s="134"/>
      <c r="IH25" s="134"/>
      <c r="II25" s="134"/>
      <c r="IJ25" s="134"/>
      <c r="IK25" s="134"/>
      <c r="IL25" s="134"/>
      <c r="IM25" s="135"/>
      <c r="IN25" s="135"/>
      <c r="IO25" s="135"/>
    </row>
    <row r="26" spans="1:249 16369:16372" ht="23.25" customHeight="1" x14ac:dyDescent="0.25">
      <c r="A26" s="74" t="str">
        <f>IF($I26&gt;0,VLOOKUP(I26,'Lista de Precios'!$A$3:$L$2883,9,0),0)</f>
        <v>Mujer</v>
      </c>
      <c r="B26" s="74" t="str">
        <f>IF($I26&gt;0,VLOOKUP(I26,'Lista de Precios'!$A$3:$H$2883,7,0),0)</f>
        <v>CONT</v>
      </c>
      <c r="C26" s="7" t="str">
        <f>IF($I26&gt;0,VLOOKUP(I26,'Lista de Precios'!$A$3:$H$2883,2,0),"")</f>
        <v>DRIVE 2</v>
      </c>
      <c r="D26" s="7" t="str">
        <f>IF($I26&gt;0,VLOOKUP(I26,'Lista de Precios'!$A$3:$H$2883,3,0),"")</f>
        <v>ROSA HUSH/ROSA SHAPE</v>
      </c>
      <c r="E26" s="76" t="str">
        <f>IF($I26&gt;0,VLOOKUP(I26,'Lista de Precios'!$A$3:$H$2883,6,0),"")</f>
        <v>ENERO</v>
      </c>
      <c r="F26" s="76" t="str">
        <f>IF($I26&gt;0,VLOOKUP(I26,'Lista de Precios'!$A$3:$H$2883,8,0),"")</f>
        <v>35 AL 40</v>
      </c>
      <c r="G26" s="101">
        <f t="shared" si="7"/>
        <v>78900</v>
      </c>
      <c r="H26" s="20" t="s">
        <v>3</v>
      </c>
      <c r="I26" s="18">
        <v>26448</v>
      </c>
      <c r="J26" s="28" t="str">
        <f t="shared" si="9"/>
        <v>ENERO</v>
      </c>
      <c r="K26" s="24">
        <f>+IF($I26&gt;0,VLOOKUP($I26,'Lista de Precios'!$A$3:$H$2883,5,0),0)</f>
        <v>1</v>
      </c>
      <c r="L26" s="36"/>
      <c r="M26" s="36"/>
      <c r="N26" s="36"/>
      <c r="O26" s="37"/>
      <c r="P26" s="38"/>
      <c r="Q26" s="39"/>
      <c r="R26" s="37"/>
      <c r="S26" s="37"/>
      <c r="T26" s="37"/>
      <c r="U26" s="37"/>
      <c r="V26" s="37"/>
      <c r="W26" s="37"/>
      <c r="X26" s="37"/>
      <c r="Y26" s="37"/>
      <c r="Z26" s="40"/>
      <c r="AA26" s="41"/>
      <c r="AB26" s="37"/>
      <c r="AC26" s="37">
        <v>4</v>
      </c>
      <c r="AD26" s="37">
        <v>6</v>
      </c>
      <c r="AE26" s="37">
        <v>2</v>
      </c>
      <c r="AF26" s="37">
        <v>8</v>
      </c>
      <c r="AG26" s="37"/>
      <c r="AH26" s="42"/>
      <c r="AI26" s="42"/>
      <c r="AJ26" s="43"/>
      <c r="AK26" s="43"/>
      <c r="AL26" s="43"/>
      <c r="AM26" s="73">
        <f t="shared" si="2"/>
        <v>20</v>
      </c>
      <c r="AN26" s="71">
        <f>+IF($I26&gt;0,VLOOKUP($I26,'Lista de Precios'!$A$3:$H$2883,4,0),"")</f>
        <v>42192.513368983957</v>
      </c>
      <c r="AO26" s="68">
        <f t="shared" si="8"/>
        <v>843850.26737967914</v>
      </c>
      <c r="AP26" s="7" t="str">
        <f>IF($I26&gt;0,VLOOKUP($I26,'Lista de Precios'!$A$3:$K$2883,10,0),"")</f>
        <v>Training</v>
      </c>
      <c r="AQ26" s="7" t="str">
        <f>IF($I26&gt;0,VLOOKUP($I26,'Lista de Precios'!$A$3:$M$4893,13,0),"")</f>
        <v>Running+Training</v>
      </c>
      <c r="HQ26" s="134"/>
      <c r="HR26" s="134"/>
      <c r="HS26" s="134"/>
      <c r="HT26" s="134"/>
      <c r="HU26" s="134"/>
      <c r="HV26" s="134"/>
      <c r="HW26" s="134"/>
      <c r="HX26" s="134"/>
      <c r="HY26" s="134"/>
      <c r="HZ26" s="134"/>
      <c r="IA26" s="134"/>
      <c r="IB26" s="134"/>
      <c r="ID26" s="134"/>
      <c r="IE26" s="134"/>
      <c r="IF26" s="134"/>
      <c r="IG26" s="134"/>
      <c r="IH26" s="134"/>
      <c r="II26" s="134"/>
      <c r="IJ26" s="134"/>
      <c r="IK26" s="134"/>
      <c r="IL26" s="134"/>
      <c r="IM26" s="135"/>
      <c r="IN26" s="135"/>
      <c r="IO26" s="135"/>
      <c r="XEO26" s="7" t="str">
        <f t="shared" si="3"/>
        <v/>
      </c>
      <c r="XEP26" s="7" t="str">
        <f t="shared" si="4"/>
        <v/>
      </c>
      <c r="XEQ26" s="7" t="str">
        <f t="shared" si="5"/>
        <v/>
      </c>
      <c r="XER26" s="7" t="str">
        <f t="shared" si="6"/>
        <v/>
      </c>
    </row>
    <row r="27" spans="1:249 16369:16372" ht="23.25" customHeight="1" x14ac:dyDescent="0.25">
      <c r="A27" s="74">
        <f>IF($I27&gt;0,VLOOKUP(I27,'Lista de Precios'!$A$3:$L$2883,9,0),0)</f>
        <v>0</v>
      </c>
      <c r="B27" s="74">
        <f>IF($I27&gt;0,VLOOKUP(I27,'Lista de Precios'!$A$3:$H$2883,7,0),0)</f>
        <v>0</v>
      </c>
      <c r="C27" s="7" t="str">
        <f>IF($I27&gt;0,VLOOKUP(I27,'Lista de Precios'!$A$3:$H$2883,2,0),"")</f>
        <v/>
      </c>
      <c r="D27" s="7" t="str">
        <f>IF($I27&gt;0,VLOOKUP(I27,'Lista de Precios'!$A$3:$H$2883,3,0),"")</f>
        <v/>
      </c>
      <c r="E27" s="76" t="str">
        <f>IF($I27&gt;0,VLOOKUP(I27,'Lista de Precios'!$A$3:$H$2883,6,0),"")</f>
        <v/>
      </c>
      <c r="F27" s="76" t="str">
        <f>IF($I27&gt;0,VLOOKUP(I27,'Lista de Precios'!$A$3:$H$2883,8,0),"")</f>
        <v/>
      </c>
      <c r="G27" s="101" t="str">
        <f t="shared" si="7"/>
        <v/>
      </c>
      <c r="H27" s="20" t="s">
        <v>3</v>
      </c>
      <c r="I27" s="18"/>
      <c r="J27" s="28" t="str">
        <f t="shared" si="9"/>
        <v/>
      </c>
      <c r="K27" s="24">
        <f>+IF($I27&gt;0,VLOOKUP($I27,'Lista de Precios'!$A$3:$H$2883,5,0),0)</f>
        <v>0</v>
      </c>
      <c r="L27" s="36"/>
      <c r="M27" s="36"/>
      <c r="N27" s="36"/>
      <c r="O27" s="37"/>
      <c r="P27" s="38"/>
      <c r="Q27" s="39"/>
      <c r="R27" s="37"/>
      <c r="S27" s="37"/>
      <c r="T27" s="37"/>
      <c r="U27" s="37"/>
      <c r="V27" s="37"/>
      <c r="W27" s="37"/>
      <c r="X27" s="37"/>
      <c r="Y27" s="37"/>
      <c r="Z27" s="40"/>
      <c r="AA27" s="41"/>
      <c r="AB27" s="37"/>
      <c r="AC27" s="37"/>
      <c r="AD27" s="37"/>
      <c r="AE27" s="37"/>
      <c r="AF27" s="37"/>
      <c r="AG27" s="37"/>
      <c r="AH27" s="42"/>
      <c r="AI27" s="42"/>
      <c r="AJ27" s="43"/>
      <c r="AK27" s="43"/>
      <c r="AL27" s="43"/>
      <c r="AM27" s="73">
        <f t="shared" si="2"/>
        <v>0</v>
      </c>
      <c r="AN27" s="71" t="str">
        <f>+IF($I27&gt;0,VLOOKUP($I27,'Lista de Precios'!$A$3:$H$2883,4,0),"")</f>
        <v/>
      </c>
      <c r="AO27" s="68" t="str">
        <f t="shared" si="8"/>
        <v/>
      </c>
      <c r="AP27" s="7" t="str">
        <f>IF($I27&gt;0,VLOOKUP($I27,'Lista de Precios'!$A$3:$K$2883,10,0),"")</f>
        <v/>
      </c>
      <c r="AQ27" s="7" t="str">
        <f>IF($I27&gt;0,VLOOKUP($I27,'Lista de Precios'!$A$3:$M$4893,13,0),"")</f>
        <v/>
      </c>
      <c r="HQ27" s="134"/>
      <c r="HR27" s="134"/>
      <c r="HS27" s="134"/>
      <c r="HT27" s="134"/>
      <c r="HU27" s="134"/>
      <c r="HV27" s="134"/>
      <c r="HW27" s="134"/>
      <c r="HX27" s="134"/>
      <c r="HY27" s="134"/>
      <c r="HZ27" s="134"/>
      <c r="IA27" s="134"/>
      <c r="IB27" s="134"/>
      <c r="ID27" s="134"/>
      <c r="IE27" s="134"/>
      <c r="IF27" s="134"/>
      <c r="IG27" s="134"/>
      <c r="IH27" s="134"/>
      <c r="II27" s="134"/>
      <c r="IJ27" s="134"/>
      <c r="IK27" s="134"/>
      <c r="IL27" s="134"/>
      <c r="IM27" s="135"/>
      <c r="IN27" s="135"/>
      <c r="IO27" s="135"/>
      <c r="XEO27" s="7" t="str">
        <f t="shared" si="3"/>
        <v/>
      </c>
      <c r="XEP27" s="7" t="str">
        <f t="shared" si="4"/>
        <v/>
      </c>
      <c r="XEQ27" s="7" t="str">
        <f t="shared" si="5"/>
        <v/>
      </c>
      <c r="XER27" s="7" t="str">
        <f t="shared" si="6"/>
        <v/>
      </c>
    </row>
    <row r="28" spans="1:249 16369:16372" ht="23.25" customHeight="1" x14ac:dyDescent="0.25">
      <c r="A28" s="74" t="str">
        <f>IF($I28&gt;0,VLOOKUP(I28,'Lista de Precios'!$A$3:$L$2883,9,0),0)</f>
        <v>Kids</v>
      </c>
      <c r="B28" s="74" t="str">
        <f>IF($I28&gt;0,VLOOKUP(I28,'Lista de Precios'!$A$3:$H$2883,7,0),0)</f>
        <v>CONT</v>
      </c>
      <c r="C28" s="7" t="str">
        <f>IF($I28&gt;0,VLOOKUP(I28,'Lista de Precios'!$A$3:$H$2883,2,0),"")</f>
        <v>GONDOR III KIDS</v>
      </c>
      <c r="D28" s="7" t="str">
        <f>IF($I28&gt;0,VLOOKUP(I28,'Lista de Precios'!$A$3:$H$2883,3,0),"")</f>
        <v>NEGRO / BLANCO</v>
      </c>
      <c r="E28" s="76" t="str">
        <f>IF($I28&gt;0,VLOOKUP(I28,'Lista de Precios'!$A$3:$H$2883,6,0),"")</f>
        <v>ENERO</v>
      </c>
      <c r="F28" s="76" t="str">
        <f>IF($I28&gt;0,VLOOKUP(I28,'Lista de Precios'!$A$3:$H$2883,8,0),"")</f>
        <v>25 AL 34</v>
      </c>
      <c r="G28" s="101">
        <f t="shared" si="7"/>
        <v>62899.999999999993</v>
      </c>
      <c r="H28" s="20" t="s">
        <v>3</v>
      </c>
      <c r="I28" s="18">
        <v>25600</v>
      </c>
      <c r="J28" s="28" t="str">
        <f t="shared" si="9"/>
        <v>ENERO</v>
      </c>
      <c r="K28" s="24">
        <f>+IF($I28&gt;0,VLOOKUP($I28,'Lista de Precios'!$A$3:$H$2883,5,0),0)</f>
        <v>1</v>
      </c>
      <c r="L28" s="36"/>
      <c r="M28" s="36"/>
      <c r="N28" s="36"/>
      <c r="O28" s="37"/>
      <c r="P28" s="38"/>
      <c r="Q28" s="39">
        <v>2</v>
      </c>
      <c r="R28" s="37">
        <v>2</v>
      </c>
      <c r="S28" s="37">
        <v>4</v>
      </c>
      <c r="T28" s="37">
        <v>4</v>
      </c>
      <c r="U28" s="37">
        <v>2</v>
      </c>
      <c r="V28" s="37">
        <v>4</v>
      </c>
      <c r="W28" s="37">
        <v>2</v>
      </c>
      <c r="X28" s="37">
        <v>2</v>
      </c>
      <c r="Y28" s="37">
        <v>2</v>
      </c>
      <c r="Z28" s="40">
        <v>4</v>
      </c>
      <c r="AA28" s="41"/>
      <c r="AB28" s="37"/>
      <c r="AC28" s="37"/>
      <c r="AD28" s="37"/>
      <c r="AE28" s="37"/>
      <c r="AF28" s="37"/>
      <c r="AG28" s="37"/>
      <c r="AH28" s="42"/>
      <c r="AI28" s="42"/>
      <c r="AJ28" s="43"/>
      <c r="AK28" s="43"/>
      <c r="AL28" s="43"/>
      <c r="AM28" s="73">
        <f t="shared" si="2"/>
        <v>28</v>
      </c>
      <c r="AN28" s="71">
        <f>+IF($I28&gt;0,VLOOKUP($I28,'Lista de Precios'!$A$3:$H$2883,4,0),"")</f>
        <v>33636.363636363632</v>
      </c>
      <c r="AO28" s="68">
        <f t="shared" si="8"/>
        <v>941818.18181818165</v>
      </c>
      <c r="AP28" s="7" t="str">
        <f>IF($I28&gt;0,VLOOKUP($I28,'Lista de Precios'!$A$3:$K$2883,10,0),"")</f>
        <v>Outdoor</v>
      </c>
      <c r="AQ28" s="7" t="str">
        <f>IF($I28&gt;0,VLOOKUP($I28,'Lista de Precios'!$A$3:$M$4893,13,0),"")</f>
        <v>Kids</v>
      </c>
      <c r="HQ28" s="134"/>
      <c r="HR28" s="134"/>
      <c r="HS28" s="134"/>
      <c r="HT28" s="134"/>
      <c r="HU28" s="134"/>
      <c r="HV28" s="134"/>
      <c r="HW28" s="134"/>
      <c r="HX28" s="134"/>
      <c r="HY28" s="134"/>
      <c r="HZ28" s="134"/>
      <c r="IA28" s="134"/>
      <c r="IB28" s="134"/>
      <c r="ID28" s="134"/>
      <c r="IE28" s="134"/>
      <c r="IF28" s="134"/>
      <c r="IG28" s="134"/>
      <c r="IH28" s="134"/>
      <c r="II28" s="134"/>
      <c r="IJ28" s="134"/>
      <c r="IK28" s="134"/>
      <c r="IL28" s="134"/>
      <c r="IM28" s="135"/>
      <c r="IN28" s="135"/>
      <c r="IO28" s="135"/>
      <c r="XEO28" s="7" t="str">
        <f t="shared" si="3"/>
        <v/>
      </c>
      <c r="XEP28" s="7" t="str">
        <f t="shared" si="4"/>
        <v/>
      </c>
      <c r="XEQ28" s="7" t="str">
        <f t="shared" si="5"/>
        <v/>
      </c>
      <c r="XER28" s="7">
        <f t="shared" si="6"/>
        <v>28</v>
      </c>
    </row>
    <row r="29" spans="1:249 16369:16372" ht="23.25" customHeight="1" x14ac:dyDescent="0.25">
      <c r="A29" s="74">
        <f>IF($I29&gt;0,VLOOKUP(I29,'Lista de Precios'!$A$3:$L$2883,9,0),0)</f>
        <v>0</v>
      </c>
      <c r="B29" s="74">
        <f>IF($I29&gt;0,VLOOKUP(I29,'Lista de Precios'!$A$3:$H$2883,7,0),0)</f>
        <v>0</v>
      </c>
      <c r="C29" s="7" t="str">
        <f>IF($I29&gt;0,VLOOKUP(I29,'Lista de Precios'!$A$3:$H$2883,2,0),"")</f>
        <v/>
      </c>
      <c r="D29" s="7" t="str">
        <f>IF($I29&gt;0,VLOOKUP(I29,'Lista de Precios'!$A$3:$H$2883,3,0),"")</f>
        <v/>
      </c>
      <c r="E29" s="76" t="str">
        <f>IF($I29&gt;0,VLOOKUP(I29,'Lista de Precios'!$A$3:$H$2883,6,0),"")</f>
        <v/>
      </c>
      <c r="F29" s="76" t="str">
        <f>IF($I29&gt;0,VLOOKUP(I29,'Lista de Precios'!$A$3:$H$2883,8,0),"")</f>
        <v/>
      </c>
      <c r="G29" s="101" t="str">
        <f t="shared" si="7"/>
        <v/>
      </c>
      <c r="H29" s="20" t="s">
        <v>3</v>
      </c>
      <c r="I29" s="18"/>
      <c r="J29" s="28" t="str">
        <f t="shared" si="9"/>
        <v/>
      </c>
      <c r="K29" s="24">
        <f>+IF($I29&gt;0,VLOOKUP($I29,'Lista de Precios'!$A$3:$H$2883,5,0),0)</f>
        <v>0</v>
      </c>
      <c r="L29" s="36"/>
      <c r="M29" s="36"/>
      <c r="N29" s="36"/>
      <c r="O29" s="37"/>
      <c r="P29" s="38"/>
      <c r="Q29" s="39"/>
      <c r="R29" s="37"/>
      <c r="S29" s="37"/>
      <c r="T29" s="37"/>
      <c r="U29" s="37"/>
      <c r="V29" s="37"/>
      <c r="W29" s="37"/>
      <c r="X29" s="37"/>
      <c r="Y29" s="37"/>
      <c r="Z29" s="40"/>
      <c r="AA29" s="41"/>
      <c r="AB29" s="37"/>
      <c r="AC29" s="37"/>
      <c r="AD29" s="37"/>
      <c r="AE29" s="37"/>
      <c r="AF29" s="37"/>
      <c r="AG29" s="37"/>
      <c r="AH29" s="42"/>
      <c r="AI29" s="42"/>
      <c r="AJ29" s="43"/>
      <c r="AK29" s="43"/>
      <c r="AL29" s="43"/>
      <c r="AM29" s="73">
        <f t="shared" si="2"/>
        <v>0</v>
      </c>
      <c r="AN29" s="71" t="str">
        <f>+IF($I29&gt;0,VLOOKUP($I29,'Lista de Precios'!$A$3:$H$2883,4,0),"")</f>
        <v/>
      </c>
      <c r="AO29" s="68" t="str">
        <f t="shared" si="8"/>
        <v/>
      </c>
      <c r="AP29" s="7" t="str">
        <f>IF($I29&gt;0,VLOOKUP($I29,'Lista de Precios'!$A$3:$K$2883,10,0),"")</f>
        <v/>
      </c>
      <c r="AQ29" s="7" t="str">
        <f>IF($I29&gt;0,VLOOKUP($I29,'Lista de Precios'!$A$3:$M$4893,13,0),"")</f>
        <v/>
      </c>
      <c r="HQ29" s="134"/>
      <c r="HR29" s="134"/>
      <c r="HS29" s="134"/>
      <c r="HT29" s="134"/>
      <c r="HU29" s="134"/>
      <c r="HV29" s="134"/>
      <c r="HW29" s="134"/>
      <c r="HX29" s="134"/>
      <c r="HY29" s="134"/>
      <c r="HZ29" s="134"/>
      <c r="IA29" s="134"/>
      <c r="IB29" s="134"/>
      <c r="ID29" s="134"/>
      <c r="IE29" s="134"/>
      <c r="IF29" s="134"/>
      <c r="IG29" s="134"/>
      <c r="IH29" s="134"/>
      <c r="II29" s="134"/>
      <c r="IJ29" s="134"/>
      <c r="IK29" s="134"/>
      <c r="IL29" s="134"/>
      <c r="IM29" s="135"/>
      <c r="IN29" s="135"/>
      <c r="IO29" s="135"/>
      <c r="XEO29" s="7" t="str">
        <f t="shared" si="3"/>
        <v/>
      </c>
      <c r="XEP29" s="7" t="str">
        <f t="shared" si="4"/>
        <v/>
      </c>
      <c r="XEQ29" s="7" t="str">
        <f t="shared" si="5"/>
        <v/>
      </c>
      <c r="XER29" s="7" t="str">
        <f t="shared" si="6"/>
        <v/>
      </c>
    </row>
    <row r="30" spans="1:249 16369:16372" ht="23.25" customHeight="1" x14ac:dyDescent="0.25">
      <c r="A30" s="74">
        <f>IF($I30&gt;0,VLOOKUP(I30,'Lista de Precios'!$A$3:$L$2883,9,0),0)</f>
        <v>0</v>
      </c>
      <c r="B30" s="74">
        <f>IF($I30&gt;0,VLOOKUP(I30,'Lista de Precios'!$A$3:$H$2883,7,0),0)</f>
        <v>0</v>
      </c>
      <c r="C30" s="7" t="str">
        <f>IF($I30&gt;0,VLOOKUP(I30,'Lista de Precios'!$A$3:$H$2883,2,0),"")</f>
        <v/>
      </c>
      <c r="D30" s="7" t="str">
        <f>IF($I30&gt;0,VLOOKUP(I30,'Lista de Precios'!$A$3:$H$2883,3,0),"")</f>
        <v/>
      </c>
      <c r="E30" s="76" t="str">
        <f>IF($I30&gt;0,VLOOKUP(I30,'Lista de Precios'!$A$3:$H$2883,6,0),"")</f>
        <v/>
      </c>
      <c r="F30" s="76" t="str">
        <f>IF($I30&gt;0,VLOOKUP(I30,'Lista de Precios'!$A$3:$H$2883,8,0),"")</f>
        <v/>
      </c>
      <c r="G30" s="101" t="str">
        <f t="shared" si="7"/>
        <v/>
      </c>
      <c r="H30" s="20" t="s">
        <v>3</v>
      </c>
      <c r="I30" s="18"/>
      <c r="J30" s="28" t="str">
        <f t="shared" si="9"/>
        <v/>
      </c>
      <c r="K30" s="24">
        <f>+IF($I30&gt;0,VLOOKUP($I30,'Lista de Precios'!$A$3:$H$2883,5,0),0)</f>
        <v>0</v>
      </c>
      <c r="L30" s="37"/>
      <c r="M30" s="37"/>
      <c r="N30" s="37"/>
      <c r="O30" s="37"/>
      <c r="P30" s="40"/>
      <c r="Q30" s="39"/>
      <c r="R30" s="37"/>
      <c r="S30" s="37"/>
      <c r="T30" s="37"/>
      <c r="U30" s="37"/>
      <c r="V30" s="37"/>
      <c r="W30" s="37"/>
      <c r="X30" s="37"/>
      <c r="Y30" s="37"/>
      <c r="Z30" s="40"/>
      <c r="AA30" s="41"/>
      <c r="AB30" s="37"/>
      <c r="AC30" s="37"/>
      <c r="AD30" s="37"/>
      <c r="AE30" s="37"/>
      <c r="AF30" s="43"/>
      <c r="AG30" s="43"/>
      <c r="AH30" s="42"/>
      <c r="AI30" s="42"/>
      <c r="AJ30" s="42"/>
      <c r="AK30" s="42"/>
      <c r="AL30" s="43"/>
      <c r="AM30" s="73">
        <f t="shared" si="2"/>
        <v>0</v>
      </c>
      <c r="AN30" s="71" t="str">
        <f>+IF($I30&gt;0,VLOOKUP($I30,'Lista de Precios'!$A$3:$H$2883,4,0),"")</f>
        <v/>
      </c>
      <c r="AO30" s="68" t="str">
        <f t="shared" si="8"/>
        <v/>
      </c>
      <c r="AP30" s="7" t="str">
        <f>IF($I30&gt;0,VLOOKUP($I30,'Lista de Precios'!$A$3:$K$2883,10,0),"")</f>
        <v/>
      </c>
      <c r="AQ30" s="7" t="str">
        <f>IF($I30&gt;0,VLOOKUP($I30,'Lista de Precios'!$A$3:$M$4893,13,0),"")</f>
        <v/>
      </c>
      <c r="HQ30" s="134"/>
      <c r="HR30" s="134"/>
      <c r="HS30" s="134"/>
      <c r="HT30" s="134"/>
      <c r="HU30" s="134"/>
      <c r="HV30" s="134"/>
      <c r="HW30" s="134"/>
      <c r="HX30" s="134"/>
      <c r="HY30" s="134"/>
      <c r="HZ30" s="134"/>
      <c r="IA30" s="134"/>
      <c r="IB30" s="134"/>
      <c r="ID30" s="134"/>
      <c r="IE30" s="134"/>
      <c r="IF30" s="134"/>
      <c r="IG30" s="134"/>
      <c r="IH30" s="134"/>
      <c r="II30" s="134"/>
      <c r="IJ30" s="134"/>
      <c r="IK30" s="134"/>
      <c r="IL30" s="134"/>
      <c r="IM30" s="135"/>
      <c r="IN30" s="135"/>
      <c r="IO30" s="135"/>
      <c r="XEO30" s="7" t="str">
        <f t="shared" si="3"/>
        <v/>
      </c>
      <c r="XEP30" s="7" t="str">
        <f t="shared" si="4"/>
        <v/>
      </c>
      <c r="XEQ30" s="7" t="str">
        <f t="shared" si="5"/>
        <v/>
      </c>
      <c r="XER30" s="7" t="str">
        <f t="shared" si="6"/>
        <v/>
      </c>
    </row>
    <row r="31" spans="1:249 16369:16372" ht="23.25" customHeight="1" x14ac:dyDescent="0.25">
      <c r="A31" s="74">
        <f>IF($I31&gt;0,VLOOKUP(I31,'Lista de Precios'!$A$3:$L$2883,9,0),0)</f>
        <v>0</v>
      </c>
      <c r="B31" s="74">
        <f>IF($I31&gt;0,VLOOKUP(I31,'Lista de Precios'!$A$3:$H$2883,7,0),0)</f>
        <v>0</v>
      </c>
      <c r="C31" s="7" t="str">
        <f>IF($I31&gt;0,VLOOKUP(I31,'Lista de Precios'!$A$3:$H$2883,2,0),"")</f>
        <v/>
      </c>
      <c r="D31" s="7" t="str">
        <f>IF($I31&gt;0,VLOOKUP(I31,'Lista de Precios'!$A$3:$H$2883,3,0),"")</f>
        <v/>
      </c>
      <c r="E31" s="76" t="str">
        <f>IF($I31&gt;0,VLOOKUP(I31,'Lista de Precios'!$A$3:$H$2883,6,0),"")</f>
        <v/>
      </c>
      <c r="F31" s="76" t="str">
        <f>IF($I31&gt;0,VLOOKUP(I31,'Lista de Precios'!$A$3:$H$2883,8,0),"")</f>
        <v/>
      </c>
      <c r="G31" s="101" t="str">
        <f t="shared" si="7"/>
        <v/>
      </c>
      <c r="H31" s="20" t="s">
        <v>3</v>
      </c>
      <c r="I31" s="18"/>
      <c r="J31" s="28" t="str">
        <f t="shared" si="9"/>
        <v/>
      </c>
      <c r="K31" s="24">
        <f>+IF($I31&gt;0,VLOOKUP($I31,'Lista de Precios'!$A$3:$H$2883,5,0),0)</f>
        <v>0</v>
      </c>
      <c r="L31" s="36"/>
      <c r="M31" s="36"/>
      <c r="N31" s="36"/>
      <c r="O31" s="37"/>
      <c r="P31" s="38"/>
      <c r="Q31" s="45"/>
      <c r="R31" s="43"/>
      <c r="S31" s="43"/>
      <c r="T31" s="43"/>
      <c r="U31" s="43"/>
      <c r="V31" s="43"/>
      <c r="W31" s="43"/>
      <c r="X31" s="43"/>
      <c r="Y31" s="37"/>
      <c r="Z31" s="40"/>
      <c r="AA31" s="41"/>
      <c r="AB31" s="37"/>
      <c r="AC31" s="37"/>
      <c r="AD31" s="37"/>
      <c r="AE31" s="37"/>
      <c r="AF31" s="43"/>
      <c r="AG31" s="43"/>
      <c r="AH31" s="42"/>
      <c r="AI31" s="42"/>
      <c r="AJ31" s="42"/>
      <c r="AK31" s="42"/>
      <c r="AL31" s="43"/>
      <c r="AM31" s="73">
        <f t="shared" si="2"/>
        <v>0</v>
      </c>
      <c r="AN31" s="71" t="str">
        <f>+IF($I31&gt;0,VLOOKUP($I31,'Lista de Precios'!$A$3:$H$2883,4,0),"")</f>
        <v/>
      </c>
      <c r="AO31" s="68" t="str">
        <f t="shared" si="8"/>
        <v/>
      </c>
      <c r="AP31" s="7" t="str">
        <f>IF($I31&gt;0,VLOOKUP($I31,'Lista de Precios'!$A$3:$K$2883,10,0),"")</f>
        <v/>
      </c>
      <c r="AQ31" s="7" t="str">
        <f>IF($I31&gt;0,VLOOKUP($I31,'Lista de Precios'!$A$3:$M$4893,13,0),"")</f>
        <v/>
      </c>
      <c r="HQ31" s="134"/>
      <c r="HR31" s="134"/>
      <c r="HS31" s="134"/>
      <c r="HT31" s="134"/>
      <c r="HU31" s="134"/>
      <c r="HV31" s="134"/>
      <c r="HW31" s="134"/>
      <c r="HX31" s="134"/>
      <c r="HY31" s="134"/>
      <c r="HZ31" s="134"/>
      <c r="IA31" s="134"/>
      <c r="IB31" s="134"/>
      <c r="ID31" s="134"/>
      <c r="IE31" s="134"/>
      <c r="IF31" s="134"/>
      <c r="IG31" s="134"/>
      <c r="IH31" s="134"/>
      <c r="II31" s="134"/>
      <c r="IJ31" s="134"/>
      <c r="IK31" s="134"/>
      <c r="IL31" s="134"/>
      <c r="IM31" s="135"/>
      <c r="IN31" s="135"/>
      <c r="IO31" s="135"/>
      <c r="XEO31" s="7" t="str">
        <f t="shared" si="3"/>
        <v/>
      </c>
      <c r="XEP31" s="7" t="str">
        <f t="shared" si="4"/>
        <v/>
      </c>
      <c r="XEQ31" s="7" t="str">
        <f t="shared" si="5"/>
        <v/>
      </c>
      <c r="XER31" s="7" t="str">
        <f t="shared" si="6"/>
        <v/>
      </c>
    </row>
    <row r="32" spans="1:249 16369:16372" ht="23.25" customHeight="1" x14ac:dyDescent="0.25">
      <c r="A32" s="74">
        <f>IF($I32&gt;0,VLOOKUP(I32,'Lista de Precios'!$A$3:$L$2883,9,0),0)</f>
        <v>0</v>
      </c>
      <c r="B32" s="74">
        <f>IF($I32&gt;0,VLOOKUP(I32,'Lista de Precios'!$A$3:$H$2883,7,0),0)</f>
        <v>0</v>
      </c>
      <c r="C32" s="7" t="str">
        <f>IF($I32&gt;0,VLOOKUP(I32,'Lista de Precios'!$A$3:$H$2883,2,0),"")</f>
        <v/>
      </c>
      <c r="D32" s="7" t="str">
        <f>IF($I32&gt;0,VLOOKUP(I32,'Lista de Precios'!$A$3:$H$2883,3,0),"")</f>
        <v/>
      </c>
      <c r="E32" s="76" t="str">
        <f>IF($I32&gt;0,VLOOKUP(I32,'Lista de Precios'!$A$3:$H$2883,6,0),"")</f>
        <v/>
      </c>
      <c r="F32" s="76" t="str">
        <f>IF($I32&gt;0,VLOOKUP(I32,'Lista de Precios'!$A$3:$H$2883,8,0),"")</f>
        <v/>
      </c>
      <c r="G32" s="101" t="str">
        <f t="shared" si="7"/>
        <v/>
      </c>
      <c r="H32" s="20" t="s">
        <v>3</v>
      </c>
      <c r="I32" s="18"/>
      <c r="J32" s="28" t="str">
        <f t="shared" si="9"/>
        <v/>
      </c>
      <c r="K32" s="24">
        <f>+IF($I32&gt;0,VLOOKUP($I32,'Lista de Precios'!$A$3:$H$2883,5,0),0)</f>
        <v>0</v>
      </c>
      <c r="L32" s="42"/>
      <c r="M32" s="42"/>
      <c r="N32" s="42"/>
      <c r="O32" s="43"/>
      <c r="P32" s="46"/>
      <c r="Q32" s="45"/>
      <c r="R32" s="43"/>
      <c r="S32" s="43"/>
      <c r="T32" s="43"/>
      <c r="U32" s="43"/>
      <c r="V32" s="43"/>
      <c r="W32" s="43"/>
      <c r="X32" s="43"/>
      <c r="Y32" s="37"/>
      <c r="Z32" s="40"/>
      <c r="AA32" s="41"/>
      <c r="AB32" s="37"/>
      <c r="AC32" s="37"/>
      <c r="AD32" s="37"/>
      <c r="AE32" s="37"/>
      <c r="AF32" s="43"/>
      <c r="AG32" s="43"/>
      <c r="AH32" s="42"/>
      <c r="AI32" s="42"/>
      <c r="AJ32" s="42"/>
      <c r="AK32" s="42"/>
      <c r="AL32" s="43"/>
      <c r="AM32" s="73">
        <f t="shared" si="2"/>
        <v>0</v>
      </c>
      <c r="AN32" s="71" t="str">
        <f>+IF($I32&gt;0,VLOOKUP($I32,'Lista de Precios'!$A$3:$H$2883,4,0),"")</f>
        <v/>
      </c>
      <c r="AO32" s="68" t="str">
        <f t="shared" si="8"/>
        <v/>
      </c>
      <c r="AP32" s="7" t="str">
        <f>IF($I32&gt;0,VLOOKUP($I32,'Lista de Precios'!$A$3:$K$2883,10,0),"")</f>
        <v/>
      </c>
      <c r="AQ32" s="7" t="str">
        <f>IF($I32&gt;0,VLOOKUP($I32,'Lista de Precios'!$A$3:$M$4893,13,0),"")</f>
        <v/>
      </c>
      <c r="HQ32" s="134"/>
      <c r="HR32" s="134"/>
      <c r="HS32" s="134"/>
      <c r="HT32" s="134"/>
      <c r="HU32" s="134"/>
      <c r="HV32" s="134"/>
      <c r="HW32" s="134"/>
      <c r="HX32" s="134"/>
      <c r="HY32" s="134"/>
      <c r="HZ32" s="134"/>
      <c r="IA32" s="134"/>
      <c r="IB32" s="134"/>
      <c r="ID32" s="134"/>
      <c r="IE32" s="134"/>
      <c r="IF32" s="134"/>
      <c r="IG32" s="134"/>
      <c r="IH32" s="134"/>
      <c r="II32" s="134"/>
      <c r="IJ32" s="134"/>
      <c r="IK32" s="134"/>
      <c r="IL32" s="134"/>
      <c r="IM32" s="135"/>
      <c r="IN32" s="135"/>
      <c r="IO32" s="135"/>
      <c r="XEO32" s="7" t="str">
        <f t="shared" si="3"/>
        <v/>
      </c>
      <c r="XEP32" s="7" t="str">
        <f t="shared" si="4"/>
        <v/>
      </c>
      <c r="XEQ32" s="7" t="str">
        <f t="shared" si="5"/>
        <v/>
      </c>
      <c r="XER32" s="7" t="str">
        <f t="shared" si="6"/>
        <v/>
      </c>
    </row>
    <row r="33" spans="1:249 16369:16372" ht="23.25" customHeight="1" x14ac:dyDescent="0.25">
      <c r="A33" s="74">
        <f>IF($I33&gt;0,VLOOKUP(I33,'Lista de Precios'!$A$3:$L$2883,9,0),0)</f>
        <v>0</v>
      </c>
      <c r="B33" s="74">
        <f>IF($I33&gt;0,VLOOKUP(I33,'Lista de Precios'!$A$3:$H$2883,7,0),0)</f>
        <v>0</v>
      </c>
      <c r="C33" s="7" t="str">
        <f>IF($I33&gt;0,VLOOKUP(I33,'Lista de Precios'!$A$3:$H$2883,2,0),"")</f>
        <v/>
      </c>
      <c r="D33" s="7" t="str">
        <f>IF($I33&gt;0,VLOOKUP(I33,'Lista de Precios'!$A$3:$H$2883,3,0),"")</f>
        <v/>
      </c>
      <c r="E33" s="76" t="str">
        <f>IF($I33&gt;0,VLOOKUP(I33,'Lista de Precios'!$A$3:$H$2883,6,0),"")</f>
        <v/>
      </c>
      <c r="F33" s="76" t="str">
        <f>IF($I33&gt;0,VLOOKUP(I33,'Lista de Precios'!$A$3:$H$2883,8,0),"")</f>
        <v/>
      </c>
      <c r="G33" s="101" t="str">
        <f t="shared" si="7"/>
        <v/>
      </c>
      <c r="H33" s="20" t="s">
        <v>3</v>
      </c>
      <c r="I33" s="18"/>
      <c r="J33" s="28" t="str">
        <f t="shared" si="9"/>
        <v/>
      </c>
      <c r="K33" s="24">
        <f>+IF($I33&gt;0,VLOOKUP($I33,'Lista de Precios'!$A$3:$H$2883,5,0),0)</f>
        <v>0</v>
      </c>
      <c r="L33" s="43"/>
      <c r="M33" s="43"/>
      <c r="N33" s="43"/>
      <c r="O33" s="43"/>
      <c r="P33" s="44"/>
      <c r="Q33" s="45"/>
      <c r="R33" s="43"/>
      <c r="S33" s="43"/>
      <c r="T33" s="43"/>
      <c r="U33" s="43"/>
      <c r="V33" s="43"/>
      <c r="W33" s="43"/>
      <c r="X33" s="43"/>
      <c r="Y33" s="37"/>
      <c r="Z33" s="40"/>
      <c r="AA33" s="41"/>
      <c r="AB33" s="37"/>
      <c r="AC33" s="37"/>
      <c r="AD33" s="37"/>
      <c r="AE33" s="37"/>
      <c r="AF33" s="43"/>
      <c r="AG33" s="43"/>
      <c r="AH33" s="42"/>
      <c r="AI33" s="42"/>
      <c r="AJ33" s="42"/>
      <c r="AK33" s="42"/>
      <c r="AL33" s="43"/>
      <c r="AM33" s="73">
        <f t="shared" si="2"/>
        <v>0</v>
      </c>
      <c r="AN33" s="71" t="str">
        <f>+IF($I33&gt;0,VLOOKUP($I33,'Lista de Precios'!$A$3:$H$2883,4,0),"")</f>
        <v/>
      </c>
      <c r="AO33" s="68" t="str">
        <f t="shared" si="8"/>
        <v/>
      </c>
      <c r="AP33" s="7" t="str">
        <f>IF($I33&gt;0,VLOOKUP($I33,'Lista de Precios'!$A$3:$K$2883,10,0),"")</f>
        <v/>
      </c>
      <c r="AQ33" s="7" t="str">
        <f>IF($I33&gt;0,VLOOKUP($I33,'Lista de Precios'!$A$3:$M$4893,13,0),"")</f>
        <v/>
      </c>
      <c r="HQ33" s="134"/>
      <c r="HR33" s="134"/>
      <c r="HS33" s="134"/>
      <c r="HT33" s="134"/>
      <c r="HU33" s="134"/>
      <c r="HV33" s="134"/>
      <c r="HW33" s="134"/>
      <c r="HX33" s="134"/>
      <c r="HY33" s="134"/>
      <c r="HZ33" s="134"/>
      <c r="IA33" s="134"/>
      <c r="IB33" s="134"/>
      <c r="ID33" s="134"/>
      <c r="IE33" s="134"/>
      <c r="IF33" s="134"/>
      <c r="IG33" s="134"/>
      <c r="IH33" s="134"/>
      <c r="II33" s="134"/>
      <c r="IJ33" s="134"/>
      <c r="IK33" s="134"/>
      <c r="IL33" s="134"/>
      <c r="IM33" s="135"/>
      <c r="IN33" s="135"/>
      <c r="IO33" s="135"/>
      <c r="XEO33" s="7" t="str">
        <f t="shared" si="3"/>
        <v/>
      </c>
      <c r="XEP33" s="7" t="str">
        <f t="shared" si="4"/>
        <v/>
      </c>
      <c r="XEQ33" s="7" t="str">
        <f t="shared" si="5"/>
        <v/>
      </c>
      <c r="XER33" s="7" t="str">
        <f t="shared" si="6"/>
        <v/>
      </c>
    </row>
    <row r="34" spans="1:249 16369:16372" ht="23.25" customHeight="1" x14ac:dyDescent="0.25">
      <c r="A34" s="74">
        <f>IF($I34&gt;0,VLOOKUP(I34,'Lista de Precios'!$A$3:$L$2883,9,0),0)</f>
        <v>0</v>
      </c>
      <c r="B34" s="74">
        <f>IF($I34&gt;0,VLOOKUP(I34,'Lista de Precios'!$A$3:$H$2883,7,0),0)</f>
        <v>0</v>
      </c>
      <c r="C34" s="7" t="str">
        <f>IF($I34&gt;0,VLOOKUP(I34,'Lista de Precios'!$A$3:$H$2883,2,0),"")</f>
        <v/>
      </c>
      <c r="D34" s="7" t="str">
        <f>IF($I34&gt;0,VLOOKUP(I34,'Lista de Precios'!$A$3:$H$2883,3,0),"")</f>
        <v/>
      </c>
      <c r="E34" s="76" t="str">
        <f>IF($I34&gt;0,VLOOKUP(I34,'Lista de Precios'!$A$3:$H$2883,6,0),"")</f>
        <v/>
      </c>
      <c r="F34" s="76" t="str">
        <f>IF($I34&gt;0,VLOOKUP(I34,'Lista de Precios'!$A$3:$H$2883,8,0),"")</f>
        <v/>
      </c>
      <c r="G34" s="101" t="str">
        <f t="shared" si="7"/>
        <v/>
      </c>
      <c r="H34" s="20" t="s">
        <v>3</v>
      </c>
      <c r="I34" s="18"/>
      <c r="J34" s="28" t="str">
        <f t="shared" si="9"/>
        <v/>
      </c>
      <c r="K34" s="24">
        <f>+IF($I34&gt;0,VLOOKUP($I34,'Lista de Precios'!$A$3:$H$2883,5,0),0)</f>
        <v>0</v>
      </c>
      <c r="L34" s="43"/>
      <c r="M34" s="43"/>
      <c r="N34" s="43"/>
      <c r="O34" s="37"/>
      <c r="P34" s="44"/>
      <c r="Q34" s="39"/>
      <c r="R34" s="37"/>
      <c r="S34" s="37"/>
      <c r="T34" s="37"/>
      <c r="U34" s="37"/>
      <c r="V34" s="37"/>
      <c r="W34" s="37"/>
      <c r="X34" s="37"/>
      <c r="Y34" s="37"/>
      <c r="Z34" s="40"/>
      <c r="AA34" s="41"/>
      <c r="AB34" s="37"/>
      <c r="AC34" s="37"/>
      <c r="AD34" s="37"/>
      <c r="AE34" s="37"/>
      <c r="AF34" s="43"/>
      <c r="AG34" s="43"/>
      <c r="AH34" s="42"/>
      <c r="AI34" s="42"/>
      <c r="AJ34" s="42"/>
      <c r="AK34" s="42"/>
      <c r="AL34" s="43"/>
      <c r="AM34" s="73">
        <f t="shared" si="2"/>
        <v>0</v>
      </c>
      <c r="AN34" s="71" t="str">
        <f>+IF($I34&gt;0,VLOOKUP($I34,'Lista de Precios'!$A$3:$H$2883,4,0),"")</f>
        <v/>
      </c>
      <c r="AO34" s="68" t="str">
        <f t="shared" si="8"/>
        <v/>
      </c>
      <c r="AP34" s="7" t="str">
        <f>IF($I34&gt;0,VLOOKUP($I34,'Lista de Precios'!$A$3:$K$2883,10,0),"")</f>
        <v/>
      </c>
      <c r="AQ34" s="7" t="str">
        <f>IF($I34&gt;0,VLOOKUP($I34,'Lista de Precios'!$A$3:$M$4893,13,0),"")</f>
        <v/>
      </c>
      <c r="HQ34" s="134"/>
      <c r="HR34" s="134"/>
      <c r="HS34" s="134"/>
      <c r="HT34" s="134"/>
      <c r="HU34" s="134"/>
      <c r="HV34" s="134"/>
      <c r="HW34" s="134"/>
      <c r="HX34" s="134"/>
      <c r="HY34" s="134"/>
      <c r="HZ34" s="134"/>
      <c r="IA34" s="134"/>
      <c r="IB34" s="134"/>
      <c r="ID34" s="134"/>
      <c r="IE34" s="134"/>
      <c r="IF34" s="134"/>
      <c r="IG34" s="134"/>
      <c r="IH34" s="134"/>
      <c r="II34" s="134"/>
      <c r="IJ34" s="134"/>
      <c r="IK34" s="134"/>
      <c r="IL34" s="134"/>
      <c r="IM34" s="135"/>
      <c r="IN34" s="135"/>
      <c r="IO34" s="135"/>
      <c r="XEO34" s="7" t="str">
        <f t="shared" si="3"/>
        <v/>
      </c>
      <c r="XEP34" s="7" t="str">
        <f t="shared" si="4"/>
        <v/>
      </c>
      <c r="XEQ34" s="7" t="str">
        <f t="shared" si="5"/>
        <v/>
      </c>
      <c r="XER34" s="7" t="str">
        <f t="shared" si="6"/>
        <v/>
      </c>
    </row>
    <row r="35" spans="1:249 16369:16372" ht="23.25" customHeight="1" x14ac:dyDescent="0.25">
      <c r="A35" s="74">
        <f>IF($I35&gt;0,VLOOKUP(I35,'Lista de Precios'!$A$3:$L$2883,9,0),0)</f>
        <v>0</v>
      </c>
      <c r="B35" s="74">
        <f>IF($I35&gt;0,VLOOKUP(I35,'Lista de Precios'!$A$3:$H$2883,7,0),0)</f>
        <v>0</v>
      </c>
      <c r="C35" s="7" t="str">
        <f>IF($I35&gt;0,VLOOKUP(I35,'Lista de Precios'!$A$3:$H$2883,2,0),"")</f>
        <v/>
      </c>
      <c r="D35" s="7" t="str">
        <f>IF($I35&gt;0,VLOOKUP(I35,'Lista de Precios'!$A$3:$H$2883,3,0),"")</f>
        <v/>
      </c>
      <c r="E35" s="76" t="str">
        <f>IF($I35&gt;0,VLOOKUP(I35,'Lista de Precios'!$A$3:$H$2883,6,0),"")</f>
        <v/>
      </c>
      <c r="F35" s="76" t="str">
        <f>IF($I35&gt;0,VLOOKUP(I35,'Lista de Precios'!$A$3:$H$2883,8,0),"")</f>
        <v/>
      </c>
      <c r="G35" s="101" t="str">
        <f t="shared" si="7"/>
        <v/>
      </c>
      <c r="H35" s="20" t="s">
        <v>3</v>
      </c>
      <c r="I35" s="18"/>
      <c r="J35" s="28" t="str">
        <f t="shared" si="9"/>
        <v/>
      </c>
      <c r="K35" s="24">
        <f>+IF($I35&gt;0,VLOOKUP($I35,'Lista de Precios'!$A$3:$H$2883,5,0),0)</f>
        <v>0</v>
      </c>
      <c r="L35" s="43"/>
      <c r="M35" s="43"/>
      <c r="N35" s="43"/>
      <c r="O35" s="43"/>
      <c r="P35" s="44"/>
      <c r="Q35" s="45"/>
      <c r="R35" s="43"/>
      <c r="S35" s="43"/>
      <c r="T35" s="43"/>
      <c r="U35" s="43"/>
      <c r="V35" s="43"/>
      <c r="W35" s="43"/>
      <c r="X35" s="43"/>
      <c r="Y35" s="37"/>
      <c r="Z35" s="40"/>
      <c r="AA35" s="41"/>
      <c r="AB35" s="37"/>
      <c r="AC35" s="37"/>
      <c r="AD35" s="37"/>
      <c r="AE35" s="37"/>
      <c r="AF35" s="37"/>
      <c r="AG35" s="43"/>
      <c r="AH35" s="42"/>
      <c r="AI35" s="42"/>
      <c r="AJ35" s="49"/>
      <c r="AK35" s="49"/>
      <c r="AL35" s="49"/>
      <c r="AM35" s="73">
        <f t="shared" si="2"/>
        <v>0</v>
      </c>
      <c r="AN35" s="71" t="str">
        <f>+IF($I35&gt;0,VLOOKUP($I35,'Lista de Precios'!$A$3:$H$2883,4,0),"")</f>
        <v/>
      </c>
      <c r="AO35" s="68" t="str">
        <f t="shared" si="8"/>
        <v/>
      </c>
      <c r="AP35" s="7" t="str">
        <f>IF($I35&gt;0,VLOOKUP($I35,'Lista de Precios'!$A$3:$K$2883,10,0),"")</f>
        <v/>
      </c>
      <c r="AQ35" s="7" t="str">
        <f>IF($I35&gt;0,VLOOKUP($I35,'Lista de Precios'!$A$3:$M$4893,13,0),"")</f>
        <v/>
      </c>
      <c r="HQ35" s="134"/>
      <c r="HR35" s="134"/>
      <c r="HS35" s="134"/>
      <c r="HT35" s="134"/>
      <c r="HU35" s="134"/>
      <c r="HV35" s="134"/>
      <c r="HW35" s="134"/>
      <c r="HX35" s="134"/>
      <c r="HY35" s="134"/>
      <c r="HZ35" s="134"/>
      <c r="IA35" s="134"/>
      <c r="IB35" s="134"/>
      <c r="ID35" s="134"/>
      <c r="IE35" s="134"/>
      <c r="IF35" s="134"/>
      <c r="IG35" s="134"/>
      <c r="IH35" s="134"/>
      <c r="II35" s="134"/>
      <c r="IJ35" s="134"/>
      <c r="IK35" s="134"/>
      <c r="IL35" s="134"/>
      <c r="IM35" s="135"/>
      <c r="IN35" s="135"/>
      <c r="IO35" s="135"/>
      <c r="XEO35" s="7" t="str">
        <f t="shared" si="3"/>
        <v/>
      </c>
      <c r="XEP35" s="7" t="str">
        <f t="shared" si="4"/>
        <v/>
      </c>
      <c r="XEQ35" s="7" t="str">
        <f t="shared" si="5"/>
        <v/>
      </c>
      <c r="XER35" s="7" t="str">
        <f t="shared" si="6"/>
        <v/>
      </c>
    </row>
    <row r="36" spans="1:249 16369:16372" ht="23.25" customHeight="1" x14ac:dyDescent="0.25">
      <c r="A36" s="74">
        <f>IF($I36&gt;0,VLOOKUP(I36,'Lista de Precios'!$A$3:$L$2883,9,0),0)</f>
        <v>0</v>
      </c>
      <c r="B36" s="74">
        <f>IF($I36&gt;0,VLOOKUP(I36,'Lista de Precios'!$A$3:$H$2883,7,0),0)</f>
        <v>0</v>
      </c>
      <c r="C36" s="7" t="str">
        <f>IF($I36&gt;0,VLOOKUP(I36,'Lista de Precios'!$A$3:$H$2883,2,0),"")</f>
        <v/>
      </c>
      <c r="D36" s="7" t="str">
        <f>IF($I36&gt;0,VLOOKUP(I36,'Lista de Precios'!$A$3:$H$2883,3,0),"")</f>
        <v/>
      </c>
      <c r="E36" s="76" t="str">
        <f>IF($I36&gt;0,VLOOKUP(I36,'Lista de Precios'!$A$3:$H$2883,6,0),"")</f>
        <v/>
      </c>
      <c r="F36" s="76" t="str">
        <f>IF($I36&gt;0,VLOOKUP(I36,'Lista de Precios'!$A$3:$H$2883,8,0),"")</f>
        <v/>
      </c>
      <c r="G36" s="101" t="str">
        <f t="shared" si="7"/>
        <v/>
      </c>
      <c r="H36" s="20" t="s">
        <v>3</v>
      </c>
      <c r="I36" s="18"/>
      <c r="J36" s="28" t="str">
        <f t="shared" si="9"/>
        <v/>
      </c>
      <c r="K36" s="24">
        <f>+IF($I36&gt;0,VLOOKUP($I36,'Lista de Precios'!$A$3:$H$2883,5,0),0)</f>
        <v>0</v>
      </c>
      <c r="L36" s="48"/>
      <c r="M36" s="48"/>
      <c r="N36" s="48"/>
      <c r="O36" s="48"/>
      <c r="P36" s="47"/>
      <c r="Q36" s="50"/>
      <c r="R36" s="43"/>
      <c r="S36" s="43"/>
      <c r="T36" s="43"/>
      <c r="U36" s="43"/>
      <c r="V36" s="43"/>
      <c r="W36" s="43"/>
      <c r="X36" s="43"/>
      <c r="Y36" s="37"/>
      <c r="Z36" s="40"/>
      <c r="AA36" s="41"/>
      <c r="AB36" s="37"/>
      <c r="AC36" s="37"/>
      <c r="AD36" s="37"/>
      <c r="AE36" s="37"/>
      <c r="AF36" s="37"/>
      <c r="AG36" s="43"/>
      <c r="AH36" s="42"/>
      <c r="AI36" s="42"/>
      <c r="AJ36" s="49"/>
      <c r="AK36" s="49"/>
      <c r="AL36" s="48"/>
      <c r="AM36" s="73">
        <f t="shared" si="2"/>
        <v>0</v>
      </c>
      <c r="AN36" s="71" t="str">
        <f>+IF($I36&gt;0,VLOOKUP($I36,'Lista de Precios'!$A$3:$H$2883,4,0),"")</f>
        <v/>
      </c>
      <c r="AO36" s="68" t="str">
        <f t="shared" si="8"/>
        <v/>
      </c>
      <c r="AP36" s="7" t="str">
        <f>IF($I36&gt;0,VLOOKUP($I36,'Lista de Precios'!$A$3:$K$2883,10,0),"")</f>
        <v/>
      </c>
      <c r="AQ36" s="7" t="str">
        <f>IF($I36&gt;0,VLOOKUP($I36,'Lista de Precios'!$A$3:$M$4893,13,0),"")</f>
        <v/>
      </c>
      <c r="HQ36" s="134"/>
      <c r="HR36" s="134"/>
      <c r="HS36" s="134"/>
      <c r="HT36" s="134"/>
      <c r="HU36" s="134"/>
      <c r="HV36" s="134"/>
      <c r="HW36" s="134"/>
      <c r="HX36" s="134"/>
      <c r="HY36" s="134"/>
      <c r="HZ36" s="134"/>
      <c r="IA36" s="134"/>
      <c r="IB36" s="134"/>
      <c r="ID36" s="134"/>
      <c r="IE36" s="134"/>
      <c r="IF36" s="134"/>
      <c r="IG36" s="134"/>
      <c r="IH36" s="134"/>
      <c r="II36" s="134"/>
      <c r="IJ36" s="134"/>
      <c r="IK36" s="134"/>
      <c r="IL36" s="134"/>
      <c r="IM36" s="135"/>
      <c r="IN36" s="135"/>
      <c r="IO36" s="135"/>
      <c r="XEO36" s="7" t="str">
        <f t="shared" si="3"/>
        <v/>
      </c>
      <c r="XEP36" s="7" t="str">
        <f t="shared" si="4"/>
        <v/>
      </c>
      <c r="XEQ36" s="7" t="str">
        <f t="shared" si="5"/>
        <v/>
      </c>
      <c r="XER36" s="7" t="str">
        <f t="shared" si="6"/>
        <v/>
      </c>
    </row>
    <row r="37" spans="1:249 16369:16372" ht="23.25" customHeight="1" x14ac:dyDescent="0.25">
      <c r="A37" s="74">
        <f>IF($I37&gt;0,VLOOKUP(I37,'Lista de Precios'!$A$3:$L$2883,9,0),0)</f>
        <v>0</v>
      </c>
      <c r="B37" s="74">
        <f>IF($I37&gt;0,VLOOKUP(I37,'Lista de Precios'!$A$3:$H$2883,7,0),0)</f>
        <v>0</v>
      </c>
      <c r="C37" s="7" t="str">
        <f>IF($I37&gt;0,VLOOKUP(I37,'Lista de Precios'!$A$3:$H$2883,2,0),"")</f>
        <v/>
      </c>
      <c r="D37" s="7" t="str">
        <f>IF($I37&gt;0,VLOOKUP(I37,'Lista de Precios'!$A$3:$H$2883,3,0),"")</f>
        <v/>
      </c>
      <c r="E37" s="76" t="str">
        <f>IF($I37&gt;0,VLOOKUP(I37,'Lista de Precios'!$A$3:$H$2883,6,0),"")</f>
        <v/>
      </c>
      <c r="F37" s="76" t="str">
        <f>IF($I37&gt;0,VLOOKUP(I37,'Lista de Precios'!$A$3:$H$2883,8,0),"")</f>
        <v/>
      </c>
      <c r="G37" s="101" t="str">
        <f t="shared" si="7"/>
        <v/>
      </c>
      <c r="H37" s="20" t="s">
        <v>3</v>
      </c>
      <c r="I37" s="18"/>
      <c r="J37" s="28" t="str">
        <f t="shared" si="9"/>
        <v/>
      </c>
      <c r="K37" s="24">
        <f>+IF($I37&gt;0,VLOOKUP($I37,'Lista de Precios'!$A$3:$H$2883,5,0),0)</f>
        <v>0</v>
      </c>
      <c r="L37" s="51"/>
      <c r="M37" s="51"/>
      <c r="N37" s="51"/>
      <c r="O37" s="48"/>
      <c r="P37" s="52"/>
      <c r="Q37" s="50"/>
      <c r="R37" s="43"/>
      <c r="S37" s="43"/>
      <c r="T37" s="43"/>
      <c r="U37" s="43"/>
      <c r="V37" s="43"/>
      <c r="W37" s="43"/>
      <c r="X37" s="43"/>
      <c r="Y37" s="43"/>
      <c r="Z37" s="44"/>
      <c r="AA37" s="41"/>
      <c r="AB37" s="37"/>
      <c r="AC37" s="37"/>
      <c r="AD37" s="37"/>
      <c r="AE37" s="37"/>
      <c r="AF37" s="48"/>
      <c r="AG37" s="54"/>
      <c r="AH37" s="54"/>
      <c r="AI37" s="54"/>
      <c r="AJ37" s="54"/>
      <c r="AK37" s="54"/>
      <c r="AL37" s="54"/>
      <c r="AM37" s="73">
        <f t="shared" si="2"/>
        <v>0</v>
      </c>
      <c r="AN37" s="71" t="str">
        <f>+IF($I37&gt;0,VLOOKUP($I37,'Lista de Precios'!$A$3:$H$2883,4,0),"")</f>
        <v/>
      </c>
      <c r="AO37" s="68" t="str">
        <f t="shared" si="8"/>
        <v/>
      </c>
      <c r="AP37" s="7" t="str">
        <f>IF($I37&gt;0,VLOOKUP($I37,'Lista de Precios'!$A$3:$K$2883,10,0),"")</f>
        <v/>
      </c>
      <c r="AQ37" s="7" t="str">
        <f>IF($I37&gt;0,VLOOKUP($I37,'Lista de Precios'!$A$3:$M$4893,13,0),"")</f>
        <v/>
      </c>
      <c r="HQ37" s="134"/>
      <c r="HR37" s="134"/>
      <c r="HS37" s="134"/>
      <c r="HT37" s="134"/>
      <c r="HU37" s="134"/>
      <c r="HV37" s="134"/>
      <c r="HW37" s="134"/>
      <c r="HX37" s="134"/>
      <c r="HY37" s="134"/>
      <c r="HZ37" s="134"/>
      <c r="IA37" s="134"/>
      <c r="IB37" s="134"/>
      <c r="ID37" s="134"/>
      <c r="IE37" s="134"/>
      <c r="IF37" s="134"/>
      <c r="IG37" s="134"/>
      <c r="IH37" s="134"/>
      <c r="II37" s="134"/>
      <c r="IJ37" s="134"/>
      <c r="IK37" s="134"/>
      <c r="IL37" s="134"/>
      <c r="IM37" s="135"/>
      <c r="IN37" s="135"/>
      <c r="IO37" s="135"/>
      <c r="XEO37" s="7" t="str">
        <f t="shared" si="3"/>
        <v/>
      </c>
      <c r="XEP37" s="7" t="str">
        <f t="shared" si="4"/>
        <v/>
      </c>
      <c r="XEQ37" s="7" t="str">
        <f t="shared" si="5"/>
        <v/>
      </c>
      <c r="XER37" s="7" t="str">
        <f t="shared" si="6"/>
        <v/>
      </c>
    </row>
    <row r="38" spans="1:249 16369:16372" ht="23.25" customHeight="1" x14ac:dyDescent="0.25">
      <c r="A38" s="74">
        <f>IF($I38&gt;0,VLOOKUP(I38,'Lista de Precios'!$A$3:$L$2883,9,0),0)</f>
        <v>0</v>
      </c>
      <c r="B38" s="74">
        <f>IF($I38&gt;0,VLOOKUP(I38,'Lista de Precios'!$A$3:$H$2883,7,0),0)</f>
        <v>0</v>
      </c>
      <c r="C38" s="7" t="str">
        <f>IF($I38&gt;0,VLOOKUP(I38,'Lista de Precios'!$A$3:$H$2883,2,0),"")</f>
        <v/>
      </c>
      <c r="D38" s="7" t="str">
        <f>IF($I38&gt;0,VLOOKUP(I38,'Lista de Precios'!$A$3:$H$2883,3,0),"")</f>
        <v/>
      </c>
      <c r="E38" s="76" t="str">
        <f>IF($I38&gt;0,VLOOKUP(I38,'Lista de Precios'!$A$3:$H$2883,6,0),"")</f>
        <v/>
      </c>
      <c r="F38" s="76" t="str">
        <f>IF($I38&gt;0,VLOOKUP(I38,'Lista de Precios'!$A$3:$H$2883,8,0),"")</f>
        <v/>
      </c>
      <c r="G38" s="101" t="str">
        <f t="shared" si="7"/>
        <v/>
      </c>
      <c r="H38" s="20" t="s">
        <v>3</v>
      </c>
      <c r="I38" s="18"/>
      <c r="J38" s="28" t="str">
        <f t="shared" si="9"/>
        <v/>
      </c>
      <c r="K38" s="24">
        <f>+IF($I38&gt;0,VLOOKUP($I38,'Lista de Precios'!$A$3:$H$2883,5,0),0)</f>
        <v>0</v>
      </c>
      <c r="L38" s="54"/>
      <c r="M38" s="54"/>
      <c r="N38" s="54"/>
      <c r="O38" s="48"/>
      <c r="P38" s="55"/>
      <c r="Q38" s="50"/>
      <c r="R38" s="43"/>
      <c r="S38" s="43"/>
      <c r="T38" s="43"/>
      <c r="U38" s="43"/>
      <c r="V38" s="43"/>
      <c r="W38" s="43"/>
      <c r="X38" s="43"/>
      <c r="Y38" s="43"/>
      <c r="Z38" s="44"/>
      <c r="AA38" s="41"/>
      <c r="AB38" s="37"/>
      <c r="AC38" s="37"/>
      <c r="AD38" s="37"/>
      <c r="AE38" s="37"/>
      <c r="AF38" s="48"/>
      <c r="AG38" s="54"/>
      <c r="AH38" s="54"/>
      <c r="AI38" s="54"/>
      <c r="AJ38" s="54"/>
      <c r="AK38" s="54"/>
      <c r="AL38" s="54"/>
      <c r="AM38" s="73">
        <f t="shared" si="2"/>
        <v>0</v>
      </c>
      <c r="AN38" s="71" t="str">
        <f>+IF($I38&gt;0,VLOOKUP($I38,'Lista de Precios'!$A$3:$H$2883,4,0),"")</f>
        <v/>
      </c>
      <c r="AO38" s="68" t="str">
        <f t="shared" si="8"/>
        <v/>
      </c>
      <c r="AP38" s="7" t="str">
        <f>IF($I38&gt;0,VLOOKUP($I38,'Lista de Precios'!$A$3:$K$2883,10,0),"")</f>
        <v/>
      </c>
      <c r="AQ38" s="7" t="str">
        <f>IF($I38&gt;0,VLOOKUP($I38,'Lista de Precios'!$A$3:$M$4893,13,0),"")</f>
        <v/>
      </c>
      <c r="HQ38" s="134"/>
      <c r="HR38" s="134"/>
      <c r="HS38" s="134"/>
      <c r="HT38" s="134"/>
      <c r="HU38" s="134"/>
      <c r="HV38" s="134"/>
      <c r="HW38" s="134"/>
      <c r="HX38" s="134"/>
      <c r="HY38" s="134"/>
      <c r="HZ38" s="134"/>
      <c r="IA38" s="134"/>
      <c r="IB38" s="134"/>
      <c r="ID38" s="134"/>
      <c r="IE38" s="134"/>
      <c r="IF38" s="134"/>
      <c r="IG38" s="134"/>
      <c r="IH38" s="134"/>
      <c r="II38" s="134"/>
      <c r="IJ38" s="134"/>
      <c r="IK38" s="134"/>
      <c r="IL38" s="134"/>
      <c r="IM38" s="135"/>
      <c r="IN38" s="135"/>
      <c r="IO38" s="135"/>
      <c r="XEO38" s="7" t="str">
        <f t="shared" si="3"/>
        <v/>
      </c>
      <c r="XEP38" s="7" t="str">
        <f t="shared" si="4"/>
        <v/>
      </c>
      <c r="XEQ38" s="7" t="str">
        <f t="shared" si="5"/>
        <v/>
      </c>
      <c r="XER38" s="7" t="str">
        <f t="shared" si="6"/>
        <v/>
      </c>
    </row>
    <row r="39" spans="1:249 16369:16372" ht="23.25" customHeight="1" x14ac:dyDescent="0.25">
      <c r="A39" s="74">
        <f>IF($I39&gt;0,VLOOKUP(I39,'Lista de Precios'!$A$3:$L$2883,9,0),0)</f>
        <v>0</v>
      </c>
      <c r="B39" s="74">
        <f>IF($I39&gt;0,VLOOKUP(I39,'Lista de Precios'!$A$3:$H$2883,7,0),0)</f>
        <v>0</v>
      </c>
      <c r="C39" s="7" t="str">
        <f>IF($I39&gt;0,VLOOKUP(I39,'Lista de Precios'!$A$3:$H$2883,2,0),"")</f>
        <v/>
      </c>
      <c r="D39" s="7" t="str">
        <f>IF($I39&gt;0,VLOOKUP(I39,'Lista de Precios'!$A$3:$H$2883,3,0),"")</f>
        <v/>
      </c>
      <c r="E39" s="76" t="str">
        <f>IF($I39&gt;0,VLOOKUP(I39,'Lista de Precios'!$A$3:$H$2883,6,0),"")</f>
        <v/>
      </c>
      <c r="F39" s="76" t="str">
        <f>IF($I39&gt;0,VLOOKUP(I39,'Lista de Precios'!$A$3:$H$2883,8,0),"")</f>
        <v/>
      </c>
      <c r="G39" s="101" t="str">
        <f t="shared" si="7"/>
        <v/>
      </c>
      <c r="H39" s="20" t="s">
        <v>3</v>
      </c>
      <c r="I39" s="18"/>
      <c r="J39" s="28" t="str">
        <f t="shared" si="9"/>
        <v/>
      </c>
      <c r="K39" s="24">
        <f>+IF($I39&gt;0,VLOOKUP($I39,'Lista de Precios'!$A$3:$H$2883,5,0),0)</f>
        <v>0</v>
      </c>
      <c r="L39" s="43"/>
      <c r="M39" s="43"/>
      <c r="N39" s="43"/>
      <c r="O39" s="48"/>
      <c r="P39" s="44"/>
      <c r="Q39" s="50"/>
      <c r="R39" s="43"/>
      <c r="S39" s="43"/>
      <c r="T39" s="43"/>
      <c r="U39" s="43"/>
      <c r="V39" s="43"/>
      <c r="W39" s="43"/>
      <c r="X39" s="43"/>
      <c r="Y39" s="43"/>
      <c r="Z39" s="44"/>
      <c r="AA39" s="41"/>
      <c r="AB39" s="37"/>
      <c r="AC39" s="37"/>
      <c r="AD39" s="37"/>
      <c r="AE39" s="37"/>
      <c r="AF39" s="48"/>
      <c r="AG39" s="43"/>
      <c r="AH39" s="42"/>
      <c r="AI39" s="42"/>
      <c r="AJ39" s="42"/>
      <c r="AK39" s="42"/>
      <c r="AL39" s="42"/>
      <c r="AM39" s="73">
        <f t="shared" si="2"/>
        <v>0</v>
      </c>
      <c r="AN39" s="71" t="str">
        <f>+IF($I39&gt;0,VLOOKUP($I39,'Lista de Precios'!$A$3:$H$2883,4,0),"")</f>
        <v/>
      </c>
      <c r="AO39" s="68" t="str">
        <f t="shared" si="8"/>
        <v/>
      </c>
      <c r="AP39" s="7" t="str">
        <f>IF($I39&gt;0,VLOOKUP($I39,'Lista de Precios'!$A$3:$K$2883,10,0),"")</f>
        <v/>
      </c>
      <c r="AQ39" s="7" t="str">
        <f>IF($I39&gt;0,VLOOKUP($I39,'Lista de Precios'!$A$3:$M$4893,13,0),"")</f>
        <v/>
      </c>
      <c r="HQ39" s="134"/>
      <c r="HR39" s="134"/>
      <c r="HS39" s="134"/>
      <c r="HT39" s="134"/>
      <c r="HU39" s="134"/>
      <c r="HV39" s="134"/>
      <c r="HW39" s="134"/>
      <c r="HX39" s="134"/>
      <c r="HY39" s="134"/>
      <c r="HZ39" s="134"/>
      <c r="IA39" s="134"/>
      <c r="IB39" s="134"/>
      <c r="ID39" s="134"/>
      <c r="IE39" s="134"/>
      <c r="IF39" s="134"/>
      <c r="IG39" s="134"/>
      <c r="IH39" s="134"/>
      <c r="II39" s="134"/>
      <c r="IJ39" s="134"/>
      <c r="IK39" s="134"/>
      <c r="IL39" s="134"/>
      <c r="IM39" s="135"/>
      <c r="IN39" s="135"/>
      <c r="IO39" s="135"/>
      <c r="XEO39" s="7" t="str">
        <f t="shared" si="3"/>
        <v/>
      </c>
      <c r="XEP39" s="7" t="str">
        <f t="shared" si="4"/>
        <v/>
      </c>
      <c r="XEQ39" s="7" t="str">
        <f t="shared" si="5"/>
        <v/>
      </c>
      <c r="XER39" s="7" t="str">
        <f t="shared" si="6"/>
        <v/>
      </c>
    </row>
    <row r="40" spans="1:249 16369:16372" ht="23.25" customHeight="1" x14ac:dyDescent="0.25">
      <c r="A40" s="74">
        <f>IF($I40&gt;0,VLOOKUP(I40,'Lista de Precios'!$A$3:$L$2883,9,0),0)</f>
        <v>0</v>
      </c>
      <c r="B40" s="74">
        <f>IF($I40&gt;0,VLOOKUP(I40,'Lista de Precios'!$A$3:$H$2883,7,0),0)</f>
        <v>0</v>
      </c>
      <c r="C40" s="7" t="str">
        <f>IF($I40&gt;0,VLOOKUP(I40,'Lista de Precios'!$A$3:$H$2883,2,0),"")</f>
        <v/>
      </c>
      <c r="D40" s="7" t="str">
        <f>IF($I40&gt;0,VLOOKUP(I40,'Lista de Precios'!$A$3:$H$2883,3,0),"")</f>
        <v/>
      </c>
      <c r="E40" s="76" t="str">
        <f>IF($I40&gt;0,VLOOKUP(I40,'Lista de Precios'!$A$3:$H$2883,6,0),"")</f>
        <v/>
      </c>
      <c r="F40" s="76" t="str">
        <f>IF($I40&gt;0,VLOOKUP(I40,'Lista de Precios'!$A$3:$H$2883,8,0),"")</f>
        <v/>
      </c>
      <c r="G40" s="101" t="str">
        <f t="shared" si="7"/>
        <v/>
      </c>
      <c r="H40" s="20" t="s">
        <v>3</v>
      </c>
      <c r="I40" s="18"/>
      <c r="J40" s="28" t="str">
        <f t="shared" si="9"/>
        <v/>
      </c>
      <c r="K40" s="24">
        <f>+IF($I40&gt;0,VLOOKUP($I40,'Lista de Precios'!$A$3:$H$2883,5,0),0)</f>
        <v>0</v>
      </c>
      <c r="L40" s="54"/>
      <c r="M40" s="54"/>
      <c r="N40" s="54"/>
      <c r="O40" s="43"/>
      <c r="P40" s="55"/>
      <c r="Q40" s="45"/>
      <c r="R40" s="43"/>
      <c r="S40" s="43"/>
      <c r="T40" s="43"/>
      <c r="U40" s="43"/>
      <c r="V40" s="43"/>
      <c r="W40" s="43"/>
      <c r="X40" s="43"/>
      <c r="Y40" s="43"/>
      <c r="Z40" s="44"/>
      <c r="AA40" s="41"/>
      <c r="AB40" s="37"/>
      <c r="AC40" s="37"/>
      <c r="AD40" s="37"/>
      <c r="AE40" s="37"/>
      <c r="AF40" s="43"/>
      <c r="AG40" s="54"/>
      <c r="AH40" s="54"/>
      <c r="AI40" s="54"/>
      <c r="AJ40" s="54"/>
      <c r="AK40" s="54"/>
      <c r="AL40" s="54"/>
      <c r="AM40" s="73">
        <f t="shared" si="2"/>
        <v>0</v>
      </c>
      <c r="AN40" s="71" t="str">
        <f>+IF($I40&gt;0,VLOOKUP($I40,'Lista de Precios'!$A$3:$H$2883,4,0),"")</f>
        <v/>
      </c>
      <c r="AO40" s="68" t="str">
        <f t="shared" si="8"/>
        <v/>
      </c>
      <c r="AP40" s="7" t="str">
        <f>IF($I40&gt;0,VLOOKUP($I40,'Lista de Precios'!$A$3:$K$2883,10,0),"")</f>
        <v/>
      </c>
      <c r="AQ40" s="7" t="str">
        <f>IF($I40&gt;0,VLOOKUP($I40,'Lista de Precios'!$A$3:$M$4893,13,0),"")</f>
        <v/>
      </c>
      <c r="HQ40" s="134"/>
      <c r="HR40" s="134"/>
      <c r="HS40" s="134"/>
      <c r="HT40" s="134"/>
      <c r="HU40" s="134"/>
      <c r="HV40" s="134"/>
      <c r="HW40" s="134"/>
      <c r="HX40" s="134"/>
      <c r="HY40" s="134"/>
      <c r="HZ40" s="134"/>
      <c r="IA40" s="134"/>
      <c r="IB40" s="134"/>
      <c r="ID40" s="134"/>
      <c r="IE40" s="134"/>
      <c r="IF40" s="134"/>
      <c r="IG40" s="134"/>
      <c r="IH40" s="134"/>
      <c r="II40" s="134"/>
      <c r="IJ40" s="134"/>
      <c r="IK40" s="134"/>
      <c r="IL40" s="134"/>
      <c r="IM40" s="135"/>
      <c r="IN40" s="135"/>
      <c r="IO40" s="135"/>
      <c r="XEO40" s="7" t="str">
        <f t="shared" si="3"/>
        <v/>
      </c>
      <c r="XEP40" s="7" t="str">
        <f t="shared" si="4"/>
        <v/>
      </c>
      <c r="XEQ40" s="7" t="str">
        <f t="shared" si="5"/>
        <v/>
      </c>
      <c r="XER40" s="7" t="str">
        <f t="shared" si="6"/>
        <v/>
      </c>
    </row>
    <row r="41" spans="1:249 16369:16372" ht="23.25" customHeight="1" x14ac:dyDescent="0.25">
      <c r="A41" s="74">
        <f>IF($I41&gt;0,VLOOKUP(I41,'Lista de Precios'!$A$3:$L$2883,9,0),0)</f>
        <v>0</v>
      </c>
      <c r="B41" s="74">
        <f>IF($I41&gt;0,VLOOKUP(I41,'Lista de Precios'!$A$3:$H$2883,7,0),0)</f>
        <v>0</v>
      </c>
      <c r="C41" s="7" t="str">
        <f>IF($I41&gt;0,VLOOKUP(I41,'Lista de Precios'!$A$3:$H$2883,2,0),"")</f>
        <v/>
      </c>
      <c r="D41" s="7" t="str">
        <f>IF($I41&gt;0,VLOOKUP(I41,'Lista de Precios'!$A$3:$H$2883,3,0),"")</f>
        <v/>
      </c>
      <c r="E41" s="76" t="str">
        <f>IF($I41&gt;0,VLOOKUP(I41,'Lista de Precios'!$A$3:$H$2883,6,0),"")</f>
        <v/>
      </c>
      <c r="F41" s="76" t="str">
        <f>IF($I41&gt;0,VLOOKUP(I41,'Lista de Precios'!$A$3:$H$2883,8,0),"")</f>
        <v/>
      </c>
      <c r="G41" s="101" t="str">
        <f t="shared" si="7"/>
        <v/>
      </c>
      <c r="H41" s="20" t="s">
        <v>3</v>
      </c>
      <c r="I41" s="18"/>
      <c r="J41" s="28" t="str">
        <f t="shared" si="9"/>
        <v/>
      </c>
      <c r="K41" s="24">
        <f>+IF($I41&gt;0,VLOOKUP($I41,'Lista de Precios'!$A$3:$H$2883,5,0),0)</f>
        <v>0</v>
      </c>
      <c r="L41" s="37"/>
      <c r="M41" s="37"/>
      <c r="N41" s="37"/>
      <c r="O41" s="37"/>
      <c r="P41" s="40"/>
      <c r="Q41" s="39"/>
      <c r="R41" s="37"/>
      <c r="S41" s="37"/>
      <c r="T41" s="37"/>
      <c r="U41" s="37"/>
      <c r="V41" s="37"/>
      <c r="W41" s="37"/>
      <c r="X41" s="37"/>
      <c r="Y41" s="37"/>
      <c r="Z41" s="40"/>
      <c r="AA41" s="41"/>
      <c r="AB41" s="37"/>
      <c r="AC41" s="37"/>
      <c r="AD41" s="37"/>
      <c r="AE41" s="37"/>
      <c r="AF41" s="37"/>
      <c r="AG41" s="37"/>
      <c r="AH41" s="36"/>
      <c r="AI41" s="36"/>
      <c r="AJ41" s="36"/>
      <c r="AK41" s="42"/>
      <c r="AL41" s="36"/>
      <c r="AM41" s="73">
        <f t="shared" si="2"/>
        <v>0</v>
      </c>
      <c r="AN41" s="71" t="str">
        <f>+IF($I41&gt;0,VLOOKUP($I41,'Lista de Precios'!$A$3:$H$2883,4,0),"")</f>
        <v/>
      </c>
      <c r="AO41" s="68" t="str">
        <f t="shared" si="8"/>
        <v/>
      </c>
      <c r="AP41" s="7" t="str">
        <f>IF($I41&gt;0,VLOOKUP($I41,'Lista de Precios'!$A$3:$K$2883,10,0),"")</f>
        <v/>
      </c>
      <c r="AQ41" s="7" t="str">
        <f>IF($I41&gt;0,VLOOKUP($I41,'Lista de Precios'!$A$3:$M$4893,13,0),"")</f>
        <v/>
      </c>
      <c r="HQ41" s="134"/>
      <c r="HR41" s="134"/>
      <c r="HS41" s="134"/>
      <c r="HT41" s="134"/>
      <c r="HU41" s="134"/>
      <c r="HV41" s="134"/>
      <c r="HW41" s="134"/>
      <c r="HX41" s="134"/>
      <c r="HY41" s="134"/>
      <c r="HZ41" s="134"/>
      <c r="IA41" s="134"/>
      <c r="IB41" s="134"/>
      <c r="ID41" s="134"/>
      <c r="IE41" s="134"/>
      <c r="IF41" s="134"/>
      <c r="IG41" s="134"/>
      <c r="IH41" s="134"/>
      <c r="II41" s="134"/>
      <c r="IJ41" s="134"/>
      <c r="IK41" s="134"/>
      <c r="IL41" s="134"/>
      <c r="IM41" s="135"/>
      <c r="IN41" s="135"/>
      <c r="IO41" s="135"/>
      <c r="XEO41" s="7" t="str">
        <f t="shared" si="3"/>
        <v/>
      </c>
      <c r="XEP41" s="7" t="str">
        <f t="shared" si="4"/>
        <v/>
      </c>
      <c r="XEQ41" s="7" t="str">
        <f t="shared" si="5"/>
        <v/>
      </c>
      <c r="XER41" s="7" t="str">
        <f t="shared" si="6"/>
        <v/>
      </c>
    </row>
    <row r="42" spans="1:249 16369:16372" ht="23.25" customHeight="1" x14ac:dyDescent="0.25">
      <c r="A42" s="74">
        <f>IF($I42&gt;0,VLOOKUP(I42,'Lista de Precios'!$A$3:$L$2883,9,0),0)</f>
        <v>0</v>
      </c>
      <c r="B42" s="74">
        <f>IF($I42&gt;0,VLOOKUP(I42,'Lista de Precios'!$A$3:$H$2883,7,0),0)</f>
        <v>0</v>
      </c>
      <c r="C42" s="7" t="str">
        <f>IF($I42&gt;0,VLOOKUP(I42,'Lista de Precios'!$A$3:$H$2883,2,0),"")</f>
        <v/>
      </c>
      <c r="D42" s="7" t="str">
        <f>IF($I42&gt;0,VLOOKUP(I42,'Lista de Precios'!$A$3:$H$2883,3,0),"")</f>
        <v/>
      </c>
      <c r="E42" s="76" t="str">
        <f>IF($I42&gt;0,VLOOKUP(I42,'Lista de Precios'!$A$3:$H$2883,6,0),"")</f>
        <v/>
      </c>
      <c r="F42" s="76" t="str">
        <f>IF($I42&gt;0,VLOOKUP(I42,'Lista de Precios'!$A$3:$H$2883,8,0),"")</f>
        <v/>
      </c>
      <c r="G42" s="101" t="str">
        <f t="shared" si="7"/>
        <v/>
      </c>
      <c r="H42" s="20" t="s">
        <v>3</v>
      </c>
      <c r="I42" s="18"/>
      <c r="J42" s="28" t="str">
        <f t="shared" si="9"/>
        <v/>
      </c>
      <c r="K42" s="24">
        <f>+IF($I42&gt;0,VLOOKUP($I42,'Lista de Precios'!$A$3:$H$2883,5,0),0)</f>
        <v>0</v>
      </c>
      <c r="L42" s="37"/>
      <c r="M42" s="37"/>
      <c r="N42" s="37"/>
      <c r="O42" s="37"/>
      <c r="P42" s="40"/>
      <c r="Q42" s="39"/>
      <c r="R42" s="37"/>
      <c r="S42" s="37"/>
      <c r="T42" s="37"/>
      <c r="U42" s="37"/>
      <c r="V42" s="37"/>
      <c r="W42" s="37"/>
      <c r="X42" s="37"/>
      <c r="Y42" s="37"/>
      <c r="Z42" s="40"/>
      <c r="AA42" s="41"/>
      <c r="AB42" s="37"/>
      <c r="AC42" s="37"/>
      <c r="AD42" s="37"/>
      <c r="AE42" s="37"/>
      <c r="AF42" s="37"/>
      <c r="AG42" s="37"/>
      <c r="AH42" s="36"/>
      <c r="AI42" s="36"/>
      <c r="AJ42" s="36"/>
      <c r="AK42" s="42"/>
      <c r="AL42" s="36"/>
      <c r="AM42" s="73">
        <f t="shared" si="2"/>
        <v>0</v>
      </c>
      <c r="AN42" s="71" t="str">
        <f>+IF($I42&gt;0,VLOOKUP($I42,'Lista de Precios'!$A$3:$H$2883,4,0),"")</f>
        <v/>
      </c>
      <c r="AO42" s="68" t="str">
        <f t="shared" si="8"/>
        <v/>
      </c>
      <c r="AP42" s="7" t="str">
        <f>IF($I42&gt;0,VLOOKUP($I42,'Lista de Precios'!$A$3:$K$2883,10,0),"")</f>
        <v/>
      </c>
      <c r="AQ42" s="7" t="str">
        <f>IF($I42&gt;0,VLOOKUP($I42,'Lista de Precios'!$A$3:$M$4893,13,0),"")</f>
        <v/>
      </c>
      <c r="HQ42" s="134"/>
      <c r="HR42" s="134"/>
      <c r="HS42" s="134"/>
      <c r="HT42" s="134"/>
      <c r="HU42" s="134"/>
      <c r="HV42" s="134"/>
      <c r="HW42" s="134"/>
      <c r="HX42" s="134"/>
      <c r="HY42" s="134"/>
      <c r="HZ42" s="134"/>
      <c r="IA42" s="134"/>
      <c r="IB42" s="134"/>
      <c r="ID42" s="134"/>
      <c r="IE42" s="134"/>
      <c r="IF42" s="134"/>
      <c r="IG42" s="134"/>
      <c r="IH42" s="134"/>
      <c r="II42" s="134"/>
      <c r="IJ42" s="134"/>
      <c r="IK42" s="134"/>
      <c r="IL42" s="134"/>
      <c r="IM42" s="135"/>
      <c r="IN42" s="135"/>
      <c r="IO42" s="135"/>
      <c r="XEO42" s="7" t="str">
        <f t="shared" si="3"/>
        <v/>
      </c>
      <c r="XEP42" s="7" t="str">
        <f t="shared" si="4"/>
        <v/>
      </c>
      <c r="XEQ42" s="7" t="str">
        <f t="shared" si="5"/>
        <v/>
      </c>
      <c r="XER42" s="7" t="str">
        <f t="shared" si="6"/>
        <v/>
      </c>
    </row>
    <row r="43" spans="1:249 16369:16372" ht="23.25" customHeight="1" x14ac:dyDescent="0.25">
      <c r="A43" s="74">
        <f>IF($I43&gt;0,VLOOKUP(I43,'Lista de Precios'!$A$3:$L$2883,9,0),0)</f>
        <v>0</v>
      </c>
      <c r="B43" s="74">
        <f>IF($I43&gt;0,VLOOKUP(I43,'Lista de Precios'!$A$3:$H$2883,7,0),0)</f>
        <v>0</v>
      </c>
      <c r="C43" s="7" t="str">
        <f>IF($I43&gt;0,VLOOKUP(I43,'Lista de Precios'!$A$3:$H$2883,2,0),"")</f>
        <v/>
      </c>
      <c r="D43" s="7" t="str">
        <f>IF($I43&gt;0,VLOOKUP(I43,'Lista de Precios'!$A$3:$H$2883,3,0),"")</f>
        <v/>
      </c>
      <c r="E43" s="76" t="str">
        <f>IF($I43&gt;0,VLOOKUP(I43,'Lista de Precios'!$A$3:$H$2883,6,0),"")</f>
        <v/>
      </c>
      <c r="F43" s="76" t="str">
        <f>IF($I43&gt;0,VLOOKUP(I43,'Lista de Precios'!$A$3:$H$2883,8,0),"")</f>
        <v/>
      </c>
      <c r="G43" s="101" t="str">
        <f t="shared" si="7"/>
        <v/>
      </c>
      <c r="H43" s="20" t="s">
        <v>3</v>
      </c>
      <c r="I43" s="18"/>
      <c r="J43" s="28" t="str">
        <f t="shared" si="9"/>
        <v/>
      </c>
      <c r="K43" s="24">
        <f>+IF($I43&gt;0,VLOOKUP($I43,'Lista de Precios'!$A$3:$H$2883,5,0),0)</f>
        <v>0</v>
      </c>
      <c r="L43" s="36"/>
      <c r="M43" s="36"/>
      <c r="N43" s="36"/>
      <c r="O43" s="37"/>
      <c r="P43" s="38"/>
      <c r="Q43" s="39"/>
      <c r="R43" s="37"/>
      <c r="S43" s="37"/>
      <c r="T43" s="37"/>
      <c r="U43" s="37"/>
      <c r="V43" s="37"/>
      <c r="W43" s="37"/>
      <c r="X43" s="37"/>
      <c r="Y43" s="37"/>
      <c r="Z43" s="40"/>
      <c r="AA43" s="41"/>
      <c r="AB43" s="37"/>
      <c r="AC43" s="37"/>
      <c r="AD43" s="37"/>
      <c r="AE43" s="37"/>
      <c r="AF43" s="37"/>
      <c r="AG43" s="37"/>
      <c r="AH43" s="36"/>
      <c r="AI43" s="36"/>
      <c r="AJ43" s="36"/>
      <c r="AK43" s="42"/>
      <c r="AL43" s="42"/>
      <c r="AM43" s="73">
        <f t="shared" si="2"/>
        <v>0</v>
      </c>
      <c r="AN43" s="71" t="str">
        <f>+IF($I43&gt;0,VLOOKUP($I43,'Lista de Precios'!$A$3:$H$2883,4,0),"")</f>
        <v/>
      </c>
      <c r="AO43" s="68" t="str">
        <f t="shared" si="8"/>
        <v/>
      </c>
      <c r="AP43" s="7" t="str">
        <f>IF($I43&gt;0,VLOOKUP($I43,'Lista de Precios'!$A$3:$K$2883,10,0),"")</f>
        <v/>
      </c>
      <c r="AQ43" s="7" t="str">
        <f>IF($I43&gt;0,VLOOKUP($I43,'Lista de Precios'!$A$3:$M$4893,13,0),"")</f>
        <v/>
      </c>
      <c r="HQ43" s="134"/>
      <c r="HR43" s="134"/>
      <c r="HS43" s="134"/>
      <c r="HT43" s="134"/>
      <c r="HU43" s="134"/>
      <c r="HV43" s="134"/>
      <c r="HW43" s="134"/>
      <c r="HX43" s="134"/>
      <c r="HY43" s="134"/>
      <c r="HZ43" s="134"/>
      <c r="IA43" s="134"/>
      <c r="IB43" s="134"/>
      <c r="ID43" s="134"/>
      <c r="IE43" s="134"/>
      <c r="IF43" s="134"/>
      <c r="IG43" s="134"/>
      <c r="IH43" s="134"/>
      <c r="II43" s="134"/>
      <c r="IJ43" s="134"/>
      <c r="IK43" s="134"/>
      <c r="IL43" s="134"/>
      <c r="IM43" s="135"/>
      <c r="IN43" s="135"/>
      <c r="IO43" s="135"/>
      <c r="XEO43" s="7" t="str">
        <f t="shared" si="3"/>
        <v/>
      </c>
      <c r="XEP43" s="7" t="str">
        <f t="shared" si="4"/>
        <v/>
      </c>
      <c r="XEQ43" s="7" t="str">
        <f t="shared" si="5"/>
        <v/>
      </c>
      <c r="XER43" s="7" t="str">
        <f t="shared" si="6"/>
        <v/>
      </c>
    </row>
    <row r="44" spans="1:249 16369:16372" ht="23.25" customHeight="1" x14ac:dyDescent="0.25">
      <c r="A44" s="74">
        <f>IF($I44&gt;0,VLOOKUP(I44,'Lista de Precios'!$A$3:$L$2883,9,0),0)</f>
        <v>0</v>
      </c>
      <c r="B44" s="74">
        <f>IF($I44&gt;0,VLOOKUP(I44,'Lista de Precios'!$A$3:$H$2883,7,0),0)</f>
        <v>0</v>
      </c>
      <c r="C44" s="7" t="str">
        <f>IF($I44&gt;0,VLOOKUP(I44,'Lista de Precios'!$A$3:$H$2883,2,0),"")</f>
        <v/>
      </c>
      <c r="D44" s="7" t="str">
        <f>IF($I44&gt;0,VLOOKUP(I44,'Lista de Precios'!$A$3:$H$2883,3,0),"")</f>
        <v/>
      </c>
      <c r="E44" s="76" t="str">
        <f>IF($I44&gt;0,VLOOKUP(I44,'Lista de Precios'!$A$3:$H$2883,6,0),"")</f>
        <v/>
      </c>
      <c r="F44" s="76" t="str">
        <f>IF($I44&gt;0,VLOOKUP(I44,'Lista de Precios'!$A$3:$H$2883,8,0),"")</f>
        <v/>
      </c>
      <c r="G44" s="101" t="str">
        <f t="shared" si="7"/>
        <v/>
      </c>
      <c r="H44" s="20" t="s">
        <v>3</v>
      </c>
      <c r="I44" s="18"/>
      <c r="J44" s="28" t="str">
        <f t="shared" si="9"/>
        <v/>
      </c>
      <c r="K44" s="24">
        <f>+IF($I44&gt;0,VLOOKUP($I44,'Lista de Precios'!$A$3:$H$2883,5,0),0)</f>
        <v>0</v>
      </c>
      <c r="L44" s="37"/>
      <c r="M44" s="37"/>
      <c r="N44" s="37"/>
      <c r="O44" s="37"/>
      <c r="P44" s="40"/>
      <c r="Q44" s="39"/>
      <c r="R44" s="37"/>
      <c r="S44" s="37"/>
      <c r="T44" s="37"/>
      <c r="U44" s="37"/>
      <c r="V44" s="37"/>
      <c r="W44" s="37"/>
      <c r="X44" s="37"/>
      <c r="Y44" s="37"/>
      <c r="Z44" s="40"/>
      <c r="AA44" s="41"/>
      <c r="AB44" s="37"/>
      <c r="AC44" s="37"/>
      <c r="AD44" s="37"/>
      <c r="AE44" s="37"/>
      <c r="AF44" s="37"/>
      <c r="AG44" s="37"/>
      <c r="AH44" s="36"/>
      <c r="AI44" s="36"/>
      <c r="AJ44" s="36"/>
      <c r="AK44" s="42"/>
      <c r="AL44" s="42"/>
      <c r="AM44" s="73">
        <f t="shared" si="2"/>
        <v>0</v>
      </c>
      <c r="AN44" s="71" t="str">
        <f>+IF($I44&gt;0,VLOOKUP($I44,'Lista de Precios'!$A$3:$H$2883,4,0),"")</f>
        <v/>
      </c>
      <c r="AO44" s="68" t="str">
        <f t="shared" si="8"/>
        <v/>
      </c>
      <c r="AP44" s="7" t="str">
        <f>IF($I44&gt;0,VLOOKUP($I44,'Lista de Precios'!$A$3:$K$2883,10,0),"")</f>
        <v/>
      </c>
      <c r="AQ44" s="7" t="str">
        <f>IF($I44&gt;0,VLOOKUP($I44,'Lista de Precios'!$A$3:$M$4893,13,0),"")</f>
        <v/>
      </c>
      <c r="HQ44" s="134"/>
      <c r="HR44" s="134"/>
      <c r="HS44" s="134"/>
      <c r="HT44" s="134"/>
      <c r="HU44" s="134"/>
      <c r="HV44" s="134"/>
      <c r="HW44" s="134"/>
      <c r="HX44" s="134"/>
      <c r="HY44" s="134"/>
      <c r="HZ44" s="134"/>
      <c r="IA44" s="134"/>
      <c r="IB44" s="134"/>
      <c r="ID44" s="134"/>
      <c r="IE44" s="134"/>
      <c r="IF44" s="134"/>
      <c r="IG44" s="134"/>
      <c r="IH44" s="134"/>
      <c r="II44" s="134"/>
      <c r="IJ44" s="134"/>
      <c r="IK44" s="134"/>
      <c r="IL44" s="134"/>
      <c r="IM44" s="135"/>
      <c r="IN44" s="135"/>
      <c r="IO44" s="135"/>
      <c r="XEO44" s="7" t="str">
        <f t="shared" si="3"/>
        <v/>
      </c>
      <c r="XEP44" s="7" t="str">
        <f t="shared" si="4"/>
        <v/>
      </c>
      <c r="XEQ44" s="7" t="str">
        <f t="shared" si="5"/>
        <v/>
      </c>
      <c r="XER44" s="7" t="str">
        <f t="shared" si="6"/>
        <v/>
      </c>
    </row>
    <row r="45" spans="1:249 16369:16372" ht="23.25" customHeight="1" x14ac:dyDescent="0.25">
      <c r="A45" s="74">
        <f>IF($I45&gt;0,VLOOKUP(I45,'Lista de Precios'!$A$3:$L$2883,9,0),0)</f>
        <v>0</v>
      </c>
      <c r="B45" s="74">
        <f>IF($I45&gt;0,VLOOKUP(I45,'Lista de Precios'!$A$3:$H$2883,7,0),0)</f>
        <v>0</v>
      </c>
      <c r="C45" s="7" t="str">
        <f>IF($I45&gt;0,VLOOKUP(I45,'Lista de Precios'!$A$3:$H$2883,2,0),"")</f>
        <v/>
      </c>
      <c r="D45" s="7" t="str">
        <f>IF($I45&gt;0,VLOOKUP(I45,'Lista de Precios'!$A$3:$H$2883,3,0),"")</f>
        <v/>
      </c>
      <c r="E45" s="76" t="str">
        <f>IF($I45&gt;0,VLOOKUP(I45,'Lista de Precios'!$A$3:$H$2883,6,0),"")</f>
        <v/>
      </c>
      <c r="F45" s="76" t="str">
        <f>IF($I45&gt;0,VLOOKUP(I45,'Lista de Precios'!$A$3:$H$2883,8,0),"")</f>
        <v/>
      </c>
      <c r="G45" s="101" t="str">
        <f t="shared" si="7"/>
        <v/>
      </c>
      <c r="H45" s="20" t="s">
        <v>3</v>
      </c>
      <c r="I45" s="18"/>
      <c r="J45" s="28" t="str">
        <f t="shared" si="9"/>
        <v/>
      </c>
      <c r="K45" s="24">
        <f>+IF($I45&gt;0,VLOOKUP($I45,'Lista de Precios'!$A$3:$H$2883,5,0),0)</f>
        <v>0</v>
      </c>
      <c r="L45" s="37"/>
      <c r="M45" s="37"/>
      <c r="N45" s="37"/>
      <c r="O45" s="37"/>
      <c r="P45" s="40"/>
      <c r="Q45" s="39"/>
      <c r="R45" s="37"/>
      <c r="S45" s="37"/>
      <c r="T45" s="37"/>
      <c r="U45" s="37"/>
      <c r="V45" s="37"/>
      <c r="W45" s="37"/>
      <c r="X45" s="37"/>
      <c r="Y45" s="37"/>
      <c r="Z45" s="40"/>
      <c r="AA45" s="41"/>
      <c r="AB45" s="37"/>
      <c r="AC45" s="37"/>
      <c r="AD45" s="37"/>
      <c r="AE45" s="37"/>
      <c r="AF45" s="37"/>
      <c r="AG45" s="37"/>
      <c r="AH45" s="36"/>
      <c r="AI45" s="36"/>
      <c r="AJ45" s="42"/>
      <c r="AK45" s="42"/>
      <c r="AL45" s="43"/>
      <c r="AM45" s="73">
        <f t="shared" si="2"/>
        <v>0</v>
      </c>
      <c r="AN45" s="71" t="str">
        <f>+IF($I45&gt;0,VLOOKUP($I45,'Lista de Precios'!$A$3:$H$2883,4,0),"")</f>
        <v/>
      </c>
      <c r="AO45" s="68" t="str">
        <f t="shared" si="8"/>
        <v/>
      </c>
      <c r="AP45" s="7" t="str">
        <f>IF($I45&gt;0,VLOOKUP($I45,'Lista de Precios'!$A$3:$K$2883,10,0),"")</f>
        <v/>
      </c>
      <c r="AQ45" s="7" t="str">
        <f>IF($I45&gt;0,VLOOKUP($I45,'Lista de Precios'!$A$3:$M$4893,13,0),"")</f>
        <v/>
      </c>
      <c r="HQ45" s="134"/>
      <c r="HR45" s="134"/>
      <c r="HS45" s="134"/>
      <c r="HT45" s="134"/>
      <c r="HU45" s="134"/>
      <c r="HV45" s="134"/>
      <c r="HW45" s="134"/>
      <c r="HX45" s="134"/>
      <c r="HY45" s="134"/>
      <c r="HZ45" s="134"/>
      <c r="IA45" s="134"/>
      <c r="IB45" s="134"/>
      <c r="ID45" s="134"/>
      <c r="IE45" s="134"/>
      <c r="IF45" s="134"/>
      <c r="IG45" s="134"/>
      <c r="IH45" s="134"/>
      <c r="II45" s="134"/>
      <c r="IJ45" s="134"/>
      <c r="IK45" s="134"/>
      <c r="IL45" s="134"/>
      <c r="IM45" s="135"/>
      <c r="IN45" s="135"/>
      <c r="IO45" s="135"/>
      <c r="XEO45" s="7" t="str">
        <f t="shared" si="3"/>
        <v/>
      </c>
      <c r="XEP45" s="7" t="str">
        <f t="shared" si="4"/>
        <v/>
      </c>
      <c r="XEQ45" s="7" t="str">
        <f t="shared" si="5"/>
        <v/>
      </c>
      <c r="XER45" s="7" t="str">
        <f t="shared" si="6"/>
        <v/>
      </c>
    </row>
    <row r="46" spans="1:249 16369:16372" ht="23.25" customHeight="1" x14ac:dyDescent="0.25">
      <c r="A46" s="74">
        <f>IF($I46&gt;0,VLOOKUP(I46,'Lista de Precios'!$A$3:$L$2883,9,0),0)</f>
        <v>0</v>
      </c>
      <c r="B46" s="74">
        <f>IF($I46&gt;0,VLOOKUP(I46,'Lista de Precios'!$A$3:$H$2883,7,0),0)</f>
        <v>0</v>
      </c>
      <c r="C46" s="7" t="str">
        <f>IF($I46&gt;0,VLOOKUP(I46,'Lista de Precios'!$A$3:$H$2883,2,0),"")</f>
        <v/>
      </c>
      <c r="D46" s="7" t="str">
        <f>IF($I46&gt;0,VLOOKUP(I46,'Lista de Precios'!$A$3:$H$2883,3,0),"")</f>
        <v/>
      </c>
      <c r="E46" s="76" t="str">
        <f>IF($I46&gt;0,VLOOKUP(I46,'Lista de Precios'!$A$3:$H$2883,6,0),"")</f>
        <v/>
      </c>
      <c r="F46" s="76" t="str">
        <f>IF($I46&gt;0,VLOOKUP(I46,'Lista de Precios'!$A$3:$H$2883,8,0),"")</f>
        <v/>
      </c>
      <c r="G46" s="101" t="str">
        <f t="shared" si="7"/>
        <v/>
      </c>
      <c r="H46" s="20" t="s">
        <v>3</v>
      </c>
      <c r="I46" s="18"/>
      <c r="J46" s="28" t="str">
        <f t="shared" si="9"/>
        <v/>
      </c>
      <c r="K46" s="24">
        <f>+IF($I46&gt;0,VLOOKUP($I46,'Lista de Precios'!$A$3:$H$2883,5,0),0)</f>
        <v>0</v>
      </c>
      <c r="L46" s="37"/>
      <c r="M46" s="37"/>
      <c r="N46" s="37"/>
      <c r="O46" s="37"/>
      <c r="P46" s="40"/>
      <c r="Q46" s="39"/>
      <c r="R46" s="37"/>
      <c r="S46" s="37"/>
      <c r="T46" s="37"/>
      <c r="U46" s="37"/>
      <c r="V46" s="37"/>
      <c r="W46" s="37"/>
      <c r="X46" s="37"/>
      <c r="Y46" s="37"/>
      <c r="Z46" s="37"/>
      <c r="AA46" s="41"/>
      <c r="AB46" s="37"/>
      <c r="AC46" s="37"/>
      <c r="AD46" s="37"/>
      <c r="AE46" s="37"/>
      <c r="AF46" s="37"/>
      <c r="AG46" s="37"/>
      <c r="AH46" s="36"/>
      <c r="AI46" s="36"/>
      <c r="AJ46" s="42"/>
      <c r="AK46" s="42"/>
      <c r="AL46" s="42"/>
      <c r="AM46" s="73">
        <f t="shared" si="2"/>
        <v>0</v>
      </c>
      <c r="AN46" s="71" t="str">
        <f>+IF($I46&gt;0,VLOOKUP($I46,'Lista de Precios'!$A$3:$H$2883,4,0),"")</f>
        <v/>
      </c>
      <c r="AO46" s="68" t="str">
        <f t="shared" si="8"/>
        <v/>
      </c>
      <c r="AP46" s="7" t="str">
        <f>IF($I46&gt;0,VLOOKUP($I46,'Lista de Precios'!$A$3:$K$2883,10,0),"")</f>
        <v/>
      </c>
      <c r="AQ46" s="7" t="str">
        <f>IF($I46&gt;0,VLOOKUP($I46,'Lista de Precios'!$A$3:$M$4893,13,0),"")</f>
        <v/>
      </c>
      <c r="HQ46" s="134"/>
      <c r="HR46" s="134"/>
      <c r="HS46" s="134"/>
      <c r="HT46" s="134"/>
      <c r="HU46" s="134"/>
      <c r="HV46" s="134"/>
      <c r="HW46" s="134"/>
      <c r="HX46" s="134"/>
      <c r="HY46" s="134"/>
      <c r="HZ46" s="134"/>
      <c r="IA46" s="134"/>
      <c r="IB46" s="134"/>
      <c r="ID46" s="134"/>
      <c r="IE46" s="134"/>
      <c r="IF46" s="134"/>
      <c r="IG46" s="134"/>
      <c r="IH46" s="134"/>
      <c r="II46" s="134"/>
      <c r="IJ46" s="134"/>
      <c r="IK46" s="134"/>
      <c r="IL46" s="134"/>
      <c r="IM46" s="135"/>
      <c r="IN46" s="135"/>
      <c r="IO46" s="135"/>
      <c r="XEO46" s="7" t="str">
        <f t="shared" si="3"/>
        <v/>
      </c>
      <c r="XEP46" s="7" t="str">
        <f t="shared" si="4"/>
        <v/>
      </c>
      <c r="XEQ46" s="7" t="str">
        <f t="shared" si="5"/>
        <v/>
      </c>
      <c r="XER46" s="7" t="str">
        <f t="shared" si="6"/>
        <v/>
      </c>
    </row>
    <row r="47" spans="1:249 16369:16372" ht="23.25" customHeight="1" x14ac:dyDescent="0.25">
      <c r="A47" s="74">
        <f>IF($I47&gt;0,VLOOKUP(I47,'Lista de Precios'!$A$3:$L$2883,9,0),0)</f>
        <v>0</v>
      </c>
      <c r="B47" s="74">
        <f>IF($I47&gt;0,VLOOKUP(I47,'Lista de Precios'!$A$3:$H$2883,7,0),0)</f>
        <v>0</v>
      </c>
      <c r="C47" s="7" t="str">
        <f>IF($I47&gt;0,VLOOKUP(I47,'Lista de Precios'!$A$3:$H$2883,2,0),"")</f>
        <v/>
      </c>
      <c r="D47" s="7" t="str">
        <f>IF($I47&gt;0,VLOOKUP(I47,'Lista de Precios'!$A$3:$H$2883,3,0),"")</f>
        <v/>
      </c>
      <c r="E47" s="76" t="str">
        <f>IF($I47&gt;0,VLOOKUP(I47,'Lista de Precios'!$A$3:$H$2883,6,0),"")</f>
        <v/>
      </c>
      <c r="F47" s="76" t="str">
        <f>IF($I47&gt;0,VLOOKUP(I47,'Lista de Precios'!$A$3:$H$2883,8,0),"")</f>
        <v/>
      </c>
      <c r="G47" s="101" t="str">
        <f t="shared" si="7"/>
        <v/>
      </c>
      <c r="H47" s="20" t="s">
        <v>3</v>
      </c>
      <c r="I47" s="18"/>
      <c r="J47" s="28" t="str">
        <f t="shared" si="9"/>
        <v/>
      </c>
      <c r="K47" s="24">
        <f>+IF($I47&gt;0,VLOOKUP($I47,'Lista de Precios'!$A$3:$H$2883,5,0),0)</f>
        <v>0</v>
      </c>
      <c r="L47" s="37"/>
      <c r="M47" s="37"/>
      <c r="N47" s="37"/>
      <c r="O47" s="37"/>
      <c r="P47" s="40"/>
      <c r="Q47" s="39"/>
      <c r="R47" s="37"/>
      <c r="S47" s="37"/>
      <c r="T47" s="37"/>
      <c r="U47" s="37"/>
      <c r="V47" s="37"/>
      <c r="W47" s="37"/>
      <c r="X47" s="37"/>
      <c r="Y47" s="37"/>
      <c r="Z47" s="40"/>
      <c r="AA47" s="41"/>
      <c r="AB47" s="37"/>
      <c r="AC47" s="37"/>
      <c r="AD47" s="37"/>
      <c r="AE47" s="37"/>
      <c r="AF47" s="37"/>
      <c r="AG47" s="37"/>
      <c r="AH47" s="36"/>
      <c r="AI47" s="36"/>
      <c r="AJ47" s="42"/>
      <c r="AK47" s="42"/>
      <c r="AL47" s="42"/>
      <c r="AM47" s="73">
        <f t="shared" ref="AM47:AM78" si="10">+IF(I47&gt;0,SUM(L47:AL47),0)</f>
        <v>0</v>
      </c>
      <c r="AN47" s="71" t="str">
        <f>+IF($I47&gt;0,VLOOKUP($I47,'Lista de Precios'!$A$3:$H$2883,4,0),"")</f>
        <v/>
      </c>
      <c r="AO47" s="68" t="str">
        <f t="shared" si="8"/>
        <v/>
      </c>
      <c r="AP47" s="7" t="str">
        <f>IF($I47&gt;0,VLOOKUP($I47,'Lista de Precios'!$A$3:$K$2883,10,0),"")</f>
        <v/>
      </c>
      <c r="AQ47" s="7" t="str">
        <f>IF($I47&gt;0,VLOOKUP($I47,'Lista de Precios'!$A$3:$M$4893,13,0),"")</f>
        <v/>
      </c>
      <c r="HQ47" s="134"/>
      <c r="HR47" s="134"/>
      <c r="HS47" s="134"/>
      <c r="HT47" s="134"/>
      <c r="HU47" s="134"/>
      <c r="HV47" s="134"/>
      <c r="HW47" s="134"/>
      <c r="HX47" s="134"/>
      <c r="HY47" s="134"/>
      <c r="HZ47" s="134"/>
      <c r="IA47" s="134"/>
      <c r="IB47" s="134"/>
      <c r="ID47" s="134"/>
      <c r="IE47" s="134"/>
      <c r="IF47" s="134"/>
      <c r="IG47" s="134"/>
      <c r="IH47" s="134"/>
      <c r="II47" s="134"/>
      <c r="IJ47" s="134"/>
      <c r="IK47" s="134"/>
      <c r="IL47" s="134"/>
      <c r="IM47" s="135"/>
      <c r="IN47" s="135"/>
      <c r="IO47" s="135"/>
      <c r="XEO47" s="7" t="str">
        <f t="shared" ref="XEO47:XEO78" si="11">+IF($AQ47=$XEO$13,$AM47,"")</f>
        <v/>
      </c>
      <c r="XEP47" s="7" t="str">
        <f t="shared" ref="XEP47:XEP78" si="12">+IF($AQ47=$XEP$13,$AM47,"")</f>
        <v/>
      </c>
      <c r="XEQ47" s="7" t="str">
        <f t="shared" ref="XEQ47:XEQ78" si="13">+IF($AQ47=$XEQ$13,$AM47,"")</f>
        <v/>
      </c>
      <c r="XER47" s="7" t="str">
        <f t="shared" ref="XER47:XER78" si="14">+IF($AQ47=$XER$13,$AM47,"")</f>
        <v/>
      </c>
    </row>
    <row r="48" spans="1:249 16369:16372" ht="23.25" customHeight="1" x14ac:dyDescent="0.25">
      <c r="A48" s="74">
        <f>IF($I48&gt;0,VLOOKUP(I48,'Lista de Precios'!$A$3:$L$2883,9,0),0)</f>
        <v>0</v>
      </c>
      <c r="B48" s="74">
        <f>IF($I48&gt;0,VLOOKUP(I48,'Lista de Precios'!$A$3:$H$2883,7,0),0)</f>
        <v>0</v>
      </c>
      <c r="C48" s="7" t="str">
        <f>IF($I48&gt;0,VLOOKUP(I48,'Lista de Precios'!$A$3:$H$2883,2,0),"")</f>
        <v/>
      </c>
      <c r="D48" s="7" t="str">
        <f>IF($I48&gt;0,VLOOKUP(I48,'Lista de Precios'!$A$3:$H$2883,3,0),"")</f>
        <v/>
      </c>
      <c r="E48" s="76" t="str">
        <f>IF($I48&gt;0,VLOOKUP(I48,'Lista de Precios'!$A$3:$H$2883,6,0),"")</f>
        <v/>
      </c>
      <c r="F48" s="76" t="str">
        <f>IF($I48&gt;0,VLOOKUP(I48,'Lista de Precios'!$A$3:$H$2883,8,0),"")</f>
        <v/>
      </c>
      <c r="G48" s="101" t="str">
        <f t="shared" si="7"/>
        <v/>
      </c>
      <c r="H48" s="20" t="s">
        <v>3</v>
      </c>
      <c r="I48" s="18"/>
      <c r="J48" s="28" t="str">
        <f t="shared" si="9"/>
        <v/>
      </c>
      <c r="K48" s="24">
        <f>+IF($I48&gt;0,VLOOKUP($I48,'Lista de Precios'!$A$3:$H$2883,5,0),0)</f>
        <v>0</v>
      </c>
      <c r="L48" s="37"/>
      <c r="M48" s="37"/>
      <c r="N48" s="37"/>
      <c r="O48" s="37"/>
      <c r="P48" s="40"/>
      <c r="Q48" s="39"/>
      <c r="R48" s="37"/>
      <c r="S48" s="37"/>
      <c r="T48" s="37"/>
      <c r="U48" s="37"/>
      <c r="V48" s="37"/>
      <c r="W48" s="37"/>
      <c r="X48" s="37"/>
      <c r="Y48" s="37"/>
      <c r="Z48" s="40"/>
      <c r="AA48" s="41"/>
      <c r="AB48" s="37"/>
      <c r="AC48" s="37"/>
      <c r="AD48" s="37"/>
      <c r="AE48" s="36"/>
      <c r="AF48" s="37"/>
      <c r="AG48" s="37"/>
      <c r="AH48" s="36"/>
      <c r="AI48" s="36"/>
      <c r="AJ48" s="42"/>
      <c r="AK48" s="42"/>
      <c r="AL48" s="42"/>
      <c r="AM48" s="73">
        <f t="shared" si="10"/>
        <v>0</v>
      </c>
      <c r="AN48" s="71" t="str">
        <f>+IF($I48&gt;0,VLOOKUP($I48,'Lista de Precios'!$A$3:$H$2883,4,0),"")</f>
        <v/>
      </c>
      <c r="AO48" s="68" t="str">
        <f t="shared" si="8"/>
        <v/>
      </c>
      <c r="AP48" s="7" t="str">
        <f>IF($I48&gt;0,VLOOKUP($I48,'Lista de Precios'!$A$3:$K$2883,10,0),"")</f>
        <v/>
      </c>
      <c r="AQ48" s="7" t="str">
        <f>IF($I48&gt;0,VLOOKUP($I48,'Lista de Precios'!$A$3:$M$4893,13,0),"")</f>
        <v/>
      </c>
      <c r="HQ48" s="134"/>
      <c r="HR48" s="134"/>
      <c r="HS48" s="134"/>
      <c r="HT48" s="134"/>
      <c r="HU48" s="134"/>
      <c r="HV48" s="134"/>
      <c r="HW48" s="134"/>
      <c r="HX48" s="134"/>
      <c r="HY48" s="134"/>
      <c r="HZ48" s="134"/>
      <c r="IA48" s="134"/>
      <c r="IB48" s="134"/>
      <c r="ID48" s="134"/>
      <c r="IE48" s="134"/>
      <c r="IF48" s="134"/>
      <c r="IG48" s="134"/>
      <c r="IH48" s="134"/>
      <c r="II48" s="134"/>
      <c r="IJ48" s="134"/>
      <c r="IK48" s="134"/>
      <c r="IL48" s="134"/>
      <c r="IM48" s="135"/>
      <c r="IN48" s="135"/>
      <c r="IO48" s="135"/>
      <c r="XEO48" s="7" t="str">
        <f t="shared" si="11"/>
        <v/>
      </c>
      <c r="XEP48" s="7" t="str">
        <f t="shared" si="12"/>
        <v/>
      </c>
      <c r="XEQ48" s="7" t="str">
        <f t="shared" si="13"/>
        <v/>
      </c>
      <c r="XER48" s="7" t="str">
        <f t="shared" si="14"/>
        <v/>
      </c>
    </row>
    <row r="49" spans="1:249 16369:16372" ht="23.25" customHeight="1" x14ac:dyDescent="0.25">
      <c r="A49" s="74">
        <f>IF($I49&gt;0,VLOOKUP(I49,'Lista de Precios'!$A$3:$L$2883,9,0),0)</f>
        <v>0</v>
      </c>
      <c r="B49" s="74">
        <f>IF($I49&gt;0,VLOOKUP(I49,'Lista de Precios'!$A$3:$H$2883,7,0),0)</f>
        <v>0</v>
      </c>
      <c r="C49" s="7" t="str">
        <f>IF($I49&gt;0,VLOOKUP(I49,'Lista de Precios'!$A$3:$H$2883,2,0),"")</f>
        <v/>
      </c>
      <c r="D49" s="7" t="str">
        <f>IF($I49&gt;0,VLOOKUP(I49,'Lista de Precios'!$A$3:$H$2883,3,0),"")</f>
        <v/>
      </c>
      <c r="E49" s="76" t="str">
        <f>IF($I49&gt;0,VLOOKUP(I49,'Lista de Precios'!$A$3:$H$2883,6,0),"")</f>
        <v/>
      </c>
      <c r="F49" s="76" t="str">
        <f>IF($I49&gt;0,VLOOKUP(I49,'Lista de Precios'!$A$3:$H$2883,8,0),"")</f>
        <v/>
      </c>
      <c r="G49" s="101" t="str">
        <f t="shared" si="7"/>
        <v/>
      </c>
      <c r="H49" s="20" t="s">
        <v>3</v>
      </c>
      <c r="I49" s="18"/>
      <c r="J49" s="28" t="str">
        <f t="shared" si="9"/>
        <v/>
      </c>
      <c r="K49" s="24">
        <f>+IF($I49&gt;0,VLOOKUP($I49,'Lista de Precios'!$A$3:$H$2883,5,0),0)</f>
        <v>0</v>
      </c>
      <c r="L49" s="37"/>
      <c r="M49" s="37"/>
      <c r="N49" s="37"/>
      <c r="O49" s="37"/>
      <c r="P49" s="40"/>
      <c r="Q49" s="39"/>
      <c r="R49" s="37"/>
      <c r="S49" s="37"/>
      <c r="T49" s="37"/>
      <c r="U49" s="37"/>
      <c r="V49" s="37"/>
      <c r="W49" s="37"/>
      <c r="X49" s="37"/>
      <c r="Y49" s="37"/>
      <c r="Z49" s="40"/>
      <c r="AA49" s="41"/>
      <c r="AB49" s="37"/>
      <c r="AC49" s="37"/>
      <c r="AD49" s="37"/>
      <c r="AE49" s="37"/>
      <c r="AF49" s="37"/>
      <c r="AG49" s="57"/>
      <c r="AH49" s="54"/>
      <c r="AI49" s="54"/>
      <c r="AJ49" s="54"/>
      <c r="AK49" s="54"/>
      <c r="AL49" s="54"/>
      <c r="AM49" s="73">
        <f t="shared" si="10"/>
        <v>0</v>
      </c>
      <c r="AN49" s="71" t="str">
        <f>+IF($I49&gt;0,VLOOKUP($I49,'Lista de Precios'!$A$3:$H$2883,4,0),"")</f>
        <v/>
      </c>
      <c r="AO49" s="68" t="str">
        <f t="shared" si="8"/>
        <v/>
      </c>
      <c r="AP49" s="7" t="str">
        <f>IF($I49&gt;0,VLOOKUP($I49,'Lista de Precios'!$A$3:$K$2883,10,0),"")</f>
        <v/>
      </c>
      <c r="AQ49" s="7" t="str">
        <f>IF($I49&gt;0,VLOOKUP($I49,'Lista de Precios'!$A$3:$M$4893,13,0),"")</f>
        <v/>
      </c>
      <c r="HQ49" s="134"/>
      <c r="HR49" s="134"/>
      <c r="HS49" s="134"/>
      <c r="HT49" s="134"/>
      <c r="HU49" s="134"/>
      <c r="HV49" s="134"/>
      <c r="HW49" s="134"/>
      <c r="HX49" s="134"/>
      <c r="HY49" s="134"/>
      <c r="HZ49" s="134"/>
      <c r="IA49" s="134"/>
      <c r="IB49" s="134"/>
      <c r="ID49" s="134"/>
      <c r="IE49" s="134"/>
      <c r="IF49" s="134"/>
      <c r="IG49" s="134"/>
      <c r="IH49" s="134"/>
      <c r="II49" s="134"/>
      <c r="IJ49" s="134"/>
      <c r="IK49" s="134"/>
      <c r="IL49" s="134"/>
      <c r="IM49" s="135"/>
      <c r="IN49" s="135"/>
      <c r="IO49" s="135"/>
      <c r="XEO49" s="7" t="str">
        <f t="shared" si="11"/>
        <v/>
      </c>
      <c r="XEP49" s="7" t="str">
        <f t="shared" si="12"/>
        <v/>
      </c>
      <c r="XEQ49" s="7" t="str">
        <f t="shared" si="13"/>
        <v/>
      </c>
      <c r="XER49" s="7" t="str">
        <f t="shared" si="14"/>
        <v/>
      </c>
    </row>
    <row r="50" spans="1:249 16369:16372" ht="23.25" customHeight="1" x14ac:dyDescent="0.25">
      <c r="A50" s="74">
        <f>IF($I50&gt;0,VLOOKUP(I50,'Lista de Precios'!$A$3:$L$2883,9,0),0)</f>
        <v>0</v>
      </c>
      <c r="B50" s="74">
        <f>IF($I50&gt;0,VLOOKUP(I50,'Lista de Precios'!$A$3:$H$2883,7,0),0)</f>
        <v>0</v>
      </c>
      <c r="C50" s="7" t="str">
        <f>IF($I50&gt;0,VLOOKUP(I50,'Lista de Precios'!$A$3:$H$2883,2,0),"")</f>
        <v/>
      </c>
      <c r="D50" s="7" t="str">
        <f>IF($I50&gt;0,VLOOKUP(I50,'Lista de Precios'!$A$3:$H$2883,3,0),"")</f>
        <v/>
      </c>
      <c r="E50" s="76" t="str">
        <f>IF($I50&gt;0,VLOOKUP(I50,'Lista de Precios'!$A$3:$H$2883,6,0),"")</f>
        <v/>
      </c>
      <c r="F50" s="76" t="str">
        <f>IF($I50&gt;0,VLOOKUP(I50,'Lista de Precios'!$A$3:$H$2883,8,0),"")</f>
        <v/>
      </c>
      <c r="G50" s="101" t="str">
        <f t="shared" si="7"/>
        <v/>
      </c>
      <c r="H50" s="20" t="s">
        <v>3</v>
      </c>
      <c r="I50" s="18"/>
      <c r="J50" s="28" t="str">
        <f t="shared" si="9"/>
        <v/>
      </c>
      <c r="K50" s="24">
        <f>+IF($I50&gt;0,VLOOKUP($I50,'Lista de Precios'!$A$3:$H$2883,5,0),0)</f>
        <v>0</v>
      </c>
      <c r="L50" s="37"/>
      <c r="M50" s="37"/>
      <c r="N50" s="37"/>
      <c r="O50" s="37"/>
      <c r="P50" s="40"/>
      <c r="Q50" s="39"/>
      <c r="R50" s="37"/>
      <c r="S50" s="37"/>
      <c r="T50" s="37"/>
      <c r="U50" s="37"/>
      <c r="V50" s="37"/>
      <c r="W50" s="37"/>
      <c r="X50" s="37"/>
      <c r="Y50" s="37"/>
      <c r="Z50" s="40"/>
      <c r="AA50" s="41"/>
      <c r="AB50" s="37"/>
      <c r="AC50" s="37"/>
      <c r="AD50" s="37"/>
      <c r="AE50" s="37"/>
      <c r="AF50" s="37"/>
      <c r="AG50" s="57"/>
      <c r="AH50" s="54"/>
      <c r="AI50" s="54"/>
      <c r="AJ50" s="42"/>
      <c r="AK50" s="42"/>
      <c r="AL50" s="42"/>
      <c r="AM50" s="73">
        <f t="shared" si="10"/>
        <v>0</v>
      </c>
      <c r="AN50" s="71" t="str">
        <f>+IF($I50&gt;0,VLOOKUP($I50,'Lista de Precios'!$A$3:$H$2883,4,0),"")</f>
        <v/>
      </c>
      <c r="AO50" s="68" t="str">
        <f t="shared" si="8"/>
        <v/>
      </c>
      <c r="AP50" s="7" t="str">
        <f>IF($I50&gt;0,VLOOKUP($I50,'Lista de Precios'!$A$3:$K$2883,10,0),"")</f>
        <v/>
      </c>
      <c r="AQ50" s="7" t="str">
        <f>IF($I50&gt;0,VLOOKUP($I50,'Lista de Precios'!$A$3:$M$4893,13,0),"")</f>
        <v/>
      </c>
      <c r="HQ50" s="134"/>
      <c r="HR50" s="134"/>
      <c r="HS50" s="134"/>
      <c r="HT50" s="134"/>
      <c r="HU50" s="134"/>
      <c r="HV50" s="134"/>
      <c r="HW50" s="134"/>
      <c r="HX50" s="134"/>
      <c r="HY50" s="134"/>
      <c r="HZ50" s="134"/>
      <c r="IA50" s="134"/>
      <c r="IB50" s="134"/>
      <c r="ID50" s="134"/>
      <c r="IE50" s="134"/>
      <c r="IF50" s="134"/>
      <c r="IG50" s="134"/>
      <c r="IH50" s="134"/>
      <c r="II50" s="134"/>
      <c r="IJ50" s="134"/>
      <c r="IK50" s="134"/>
      <c r="IL50" s="134"/>
      <c r="IM50" s="135"/>
      <c r="IN50" s="135"/>
      <c r="IO50" s="135"/>
      <c r="XEO50" s="7" t="str">
        <f t="shared" si="11"/>
        <v/>
      </c>
      <c r="XEP50" s="7" t="str">
        <f t="shared" si="12"/>
        <v/>
      </c>
      <c r="XEQ50" s="7" t="str">
        <f t="shared" si="13"/>
        <v/>
      </c>
      <c r="XER50" s="7" t="str">
        <f t="shared" si="14"/>
        <v/>
      </c>
    </row>
    <row r="51" spans="1:249 16369:16372" ht="23.25" customHeight="1" x14ac:dyDescent="0.25">
      <c r="A51" s="74">
        <f>IF($I51&gt;0,VLOOKUP(I51,'Lista de Precios'!$A$3:$L$2883,9,0),0)</f>
        <v>0</v>
      </c>
      <c r="B51" s="74">
        <f>IF($I51&gt;0,VLOOKUP(I51,'Lista de Precios'!$A$3:$H$2883,7,0),0)</f>
        <v>0</v>
      </c>
      <c r="C51" s="7" t="str">
        <f>IF($I51&gt;0,VLOOKUP(I51,'Lista de Precios'!$A$3:$H$2883,2,0),"")</f>
        <v/>
      </c>
      <c r="D51" s="7" t="str">
        <f>IF($I51&gt;0,VLOOKUP(I51,'Lista de Precios'!$A$3:$H$2883,3,0),"")</f>
        <v/>
      </c>
      <c r="E51" s="76" t="str">
        <f>IF($I51&gt;0,VLOOKUP(I51,'Lista de Precios'!$A$3:$H$2883,6,0),"")</f>
        <v/>
      </c>
      <c r="F51" s="76" t="str">
        <f>IF($I51&gt;0,VLOOKUP(I51,'Lista de Precios'!$A$3:$H$2883,8,0),"")</f>
        <v/>
      </c>
      <c r="G51" s="101" t="str">
        <f t="shared" si="7"/>
        <v/>
      </c>
      <c r="H51" s="20" t="s">
        <v>3</v>
      </c>
      <c r="I51" s="18"/>
      <c r="J51" s="28" t="str">
        <f t="shared" si="9"/>
        <v/>
      </c>
      <c r="K51" s="24">
        <f>+IF($I51&gt;0,VLOOKUP($I51,'Lista de Precios'!$A$3:$H$2883,5,0),0)</f>
        <v>0</v>
      </c>
      <c r="L51" s="37"/>
      <c r="M51" s="37"/>
      <c r="N51" s="37"/>
      <c r="O51" s="37"/>
      <c r="P51" s="40"/>
      <c r="Q51" s="39"/>
      <c r="R51" s="37"/>
      <c r="S51" s="37"/>
      <c r="T51" s="37"/>
      <c r="U51" s="37"/>
      <c r="V51" s="37"/>
      <c r="W51" s="37"/>
      <c r="X51" s="37"/>
      <c r="Y51" s="37"/>
      <c r="Z51" s="40"/>
      <c r="AA51" s="41"/>
      <c r="AB51" s="37"/>
      <c r="AC51" s="37"/>
      <c r="AD51" s="37"/>
      <c r="AE51" s="37"/>
      <c r="AF51" s="37"/>
      <c r="AG51" s="37"/>
      <c r="AH51" s="42"/>
      <c r="AI51" s="42"/>
      <c r="AJ51" s="43"/>
      <c r="AK51" s="43"/>
      <c r="AL51" s="43"/>
      <c r="AM51" s="73">
        <f t="shared" si="10"/>
        <v>0</v>
      </c>
      <c r="AN51" s="71" t="str">
        <f>+IF($I51&gt;0,VLOOKUP($I51,'Lista de Precios'!$A$3:$H$2883,4,0),"")</f>
        <v/>
      </c>
      <c r="AO51" s="68" t="str">
        <f t="shared" si="8"/>
        <v/>
      </c>
      <c r="AP51" s="7" t="str">
        <f>IF($I51&gt;0,VLOOKUP($I51,'Lista de Precios'!$A$3:$K$2883,10,0),"")</f>
        <v/>
      </c>
      <c r="AQ51" s="7" t="str">
        <f>IF($I51&gt;0,VLOOKUP($I51,'Lista de Precios'!$A$3:$M$4893,13,0),"")</f>
        <v/>
      </c>
      <c r="HQ51" s="134"/>
      <c r="HR51" s="134"/>
      <c r="HS51" s="134"/>
      <c r="HT51" s="134"/>
      <c r="HU51" s="134"/>
      <c r="HV51" s="134"/>
      <c r="HW51" s="134"/>
      <c r="HX51" s="134"/>
      <c r="HY51" s="134"/>
      <c r="HZ51" s="134"/>
      <c r="IA51" s="134"/>
      <c r="IB51" s="134"/>
      <c r="ID51" s="134"/>
      <c r="IE51" s="134"/>
      <c r="IF51" s="134"/>
      <c r="IG51" s="134"/>
      <c r="IH51" s="134"/>
      <c r="II51" s="134"/>
      <c r="IJ51" s="134"/>
      <c r="IK51" s="134"/>
      <c r="IL51" s="134"/>
      <c r="IM51" s="135"/>
      <c r="IN51" s="135"/>
      <c r="IO51" s="135"/>
      <c r="XEO51" s="7" t="str">
        <f t="shared" si="11"/>
        <v/>
      </c>
      <c r="XEP51" s="7" t="str">
        <f t="shared" si="12"/>
        <v/>
      </c>
      <c r="XEQ51" s="7" t="str">
        <f t="shared" si="13"/>
        <v/>
      </c>
      <c r="XER51" s="7" t="str">
        <f t="shared" si="14"/>
        <v/>
      </c>
    </row>
    <row r="52" spans="1:249 16369:16372" ht="23.25" customHeight="1" x14ac:dyDescent="0.25">
      <c r="A52" s="74">
        <f>IF($I52&gt;0,VLOOKUP(I52,'Lista de Precios'!$A$3:$L$2883,9,0),0)</f>
        <v>0</v>
      </c>
      <c r="B52" s="74">
        <f>IF($I52&gt;0,VLOOKUP(I52,'Lista de Precios'!$A$3:$H$2883,7,0),0)</f>
        <v>0</v>
      </c>
      <c r="C52" s="7" t="str">
        <f>IF($I52&gt;0,VLOOKUP(I52,'Lista de Precios'!$A$3:$H$2883,2,0),"")</f>
        <v/>
      </c>
      <c r="D52" s="7" t="str">
        <f>IF($I52&gt;0,VLOOKUP(I52,'Lista de Precios'!$A$3:$H$2883,3,0),"")</f>
        <v/>
      </c>
      <c r="E52" s="76" t="str">
        <f>IF($I52&gt;0,VLOOKUP(I52,'Lista de Precios'!$A$3:$H$2883,6,0),"")</f>
        <v/>
      </c>
      <c r="F52" s="76" t="str">
        <f>IF($I52&gt;0,VLOOKUP(I52,'Lista de Precios'!$A$3:$H$2883,8,0),"")</f>
        <v/>
      </c>
      <c r="G52" s="101" t="str">
        <f t="shared" si="7"/>
        <v/>
      </c>
      <c r="H52" s="20" t="s">
        <v>3</v>
      </c>
      <c r="I52" s="18"/>
      <c r="J52" s="28" t="str">
        <f t="shared" si="9"/>
        <v/>
      </c>
      <c r="K52" s="24">
        <f>+IF($I52&gt;0,VLOOKUP($I52,'Lista de Precios'!$A$3:$H$2883,5,0),0)</f>
        <v>0</v>
      </c>
      <c r="L52" s="36"/>
      <c r="M52" s="36"/>
      <c r="N52" s="36"/>
      <c r="O52" s="37"/>
      <c r="P52" s="38"/>
      <c r="Q52" s="39"/>
      <c r="R52" s="37"/>
      <c r="S52" s="37"/>
      <c r="T52" s="37"/>
      <c r="U52" s="37"/>
      <c r="V52" s="37"/>
      <c r="W52" s="37"/>
      <c r="X52" s="37"/>
      <c r="Y52" s="37"/>
      <c r="Z52" s="40"/>
      <c r="AA52" s="41"/>
      <c r="AB52" s="37"/>
      <c r="AC52" s="37"/>
      <c r="AD52" s="37"/>
      <c r="AE52" s="37"/>
      <c r="AF52" s="37"/>
      <c r="AG52" s="37"/>
      <c r="AH52" s="42"/>
      <c r="AI52" s="42"/>
      <c r="AJ52" s="43"/>
      <c r="AK52" s="43"/>
      <c r="AL52" s="43"/>
      <c r="AM52" s="73">
        <f t="shared" si="10"/>
        <v>0</v>
      </c>
      <c r="AN52" s="71" t="str">
        <f>+IF($I52&gt;0,VLOOKUP($I52,'Lista de Precios'!$A$3:$H$2883,4,0),"")</f>
        <v/>
      </c>
      <c r="AO52" s="68" t="str">
        <f t="shared" si="8"/>
        <v/>
      </c>
      <c r="AP52" s="7" t="str">
        <f>IF($I52&gt;0,VLOOKUP($I52,'Lista de Precios'!$A$3:$K$2883,10,0),"")</f>
        <v/>
      </c>
      <c r="AQ52" s="7" t="str">
        <f>IF($I52&gt;0,VLOOKUP($I52,'Lista de Precios'!$A$3:$M$4893,13,0),"")</f>
        <v/>
      </c>
      <c r="HQ52" s="134"/>
      <c r="HR52" s="134"/>
      <c r="HS52" s="134"/>
      <c r="HT52" s="134"/>
      <c r="HU52" s="134"/>
      <c r="HV52" s="134"/>
      <c r="HW52" s="134"/>
      <c r="HX52" s="134"/>
      <c r="HY52" s="134"/>
      <c r="HZ52" s="134"/>
      <c r="IA52" s="134"/>
      <c r="IB52" s="134"/>
      <c r="ID52" s="134"/>
      <c r="IE52" s="134"/>
      <c r="IF52" s="134"/>
      <c r="IG52" s="134"/>
      <c r="IH52" s="134"/>
      <c r="II52" s="134"/>
      <c r="IJ52" s="134"/>
      <c r="IK52" s="134"/>
      <c r="IL52" s="134"/>
      <c r="IM52" s="135"/>
      <c r="IN52" s="135"/>
      <c r="IO52" s="135"/>
      <c r="XEO52" s="7" t="str">
        <f t="shared" si="11"/>
        <v/>
      </c>
      <c r="XEP52" s="7" t="str">
        <f t="shared" si="12"/>
        <v/>
      </c>
      <c r="XEQ52" s="7" t="str">
        <f t="shared" si="13"/>
        <v/>
      </c>
      <c r="XER52" s="7" t="str">
        <f t="shared" si="14"/>
        <v/>
      </c>
    </row>
    <row r="53" spans="1:249 16369:16372" ht="23.25" customHeight="1" x14ac:dyDescent="0.25">
      <c r="A53" s="74">
        <f>IF($I53&gt;0,VLOOKUP(I53,'Lista de Precios'!$A$3:$L$2883,9,0),0)</f>
        <v>0</v>
      </c>
      <c r="B53" s="74">
        <f>IF($I53&gt;0,VLOOKUP(I53,'Lista de Precios'!$A$3:$H$2883,7,0),0)</f>
        <v>0</v>
      </c>
      <c r="C53" s="7" t="str">
        <f>IF($I53&gt;0,VLOOKUP(I53,'Lista de Precios'!$A$3:$H$2883,2,0),"")</f>
        <v/>
      </c>
      <c r="D53" s="7" t="str">
        <f>IF($I53&gt;0,VLOOKUP(I53,'Lista de Precios'!$A$3:$H$2883,3,0),"")</f>
        <v/>
      </c>
      <c r="E53" s="76" t="str">
        <f>IF($I53&gt;0,VLOOKUP(I53,'Lista de Precios'!$A$3:$H$2883,6,0),"")</f>
        <v/>
      </c>
      <c r="F53" s="76" t="str">
        <f>IF($I53&gt;0,VLOOKUP(I53,'Lista de Precios'!$A$3:$H$2883,8,0),"")</f>
        <v/>
      </c>
      <c r="G53" s="101" t="str">
        <f t="shared" si="7"/>
        <v/>
      </c>
      <c r="H53" s="20" t="s">
        <v>3</v>
      </c>
      <c r="I53" s="18"/>
      <c r="J53" s="28" t="str">
        <f t="shared" si="9"/>
        <v/>
      </c>
      <c r="K53" s="24">
        <f>+IF($I53&gt;0,VLOOKUP($I53,'Lista de Precios'!$A$3:$H$2883,5,0),0)</f>
        <v>0</v>
      </c>
      <c r="L53" s="37"/>
      <c r="M53" s="37"/>
      <c r="N53" s="37"/>
      <c r="O53" s="37"/>
      <c r="P53" s="40"/>
      <c r="Q53" s="39"/>
      <c r="R53" s="37"/>
      <c r="S53" s="37"/>
      <c r="T53" s="37"/>
      <c r="U53" s="37"/>
      <c r="V53" s="37"/>
      <c r="W53" s="37"/>
      <c r="X53" s="37"/>
      <c r="Y53" s="37"/>
      <c r="Z53" s="40"/>
      <c r="AA53" s="41"/>
      <c r="AB53" s="37"/>
      <c r="AC53" s="43"/>
      <c r="AD53" s="43"/>
      <c r="AE53" s="43"/>
      <c r="AF53" s="43"/>
      <c r="AG53" s="43"/>
      <c r="AH53" s="42"/>
      <c r="AI53" s="42"/>
      <c r="AJ53" s="42"/>
      <c r="AK53" s="42"/>
      <c r="AL53" s="43"/>
      <c r="AM53" s="73">
        <f t="shared" si="10"/>
        <v>0</v>
      </c>
      <c r="AN53" s="71" t="str">
        <f>+IF($I53&gt;0,VLOOKUP($I53,'Lista de Precios'!$A$3:$H$2883,4,0),"")</f>
        <v/>
      </c>
      <c r="AO53" s="68" t="str">
        <f t="shared" si="8"/>
        <v/>
      </c>
      <c r="AP53" s="7" t="str">
        <f>IF($I53&gt;0,VLOOKUP($I53,'Lista de Precios'!$A$3:$K$2883,10,0),"")</f>
        <v/>
      </c>
      <c r="AQ53" s="7" t="str">
        <f>IF($I53&gt;0,VLOOKUP($I53,'Lista de Precios'!$A$3:$M$4893,13,0),"")</f>
        <v/>
      </c>
      <c r="HQ53" s="134"/>
      <c r="HR53" s="134"/>
      <c r="HS53" s="134"/>
      <c r="HT53" s="134"/>
      <c r="HU53" s="134"/>
      <c r="HV53" s="134"/>
      <c r="HW53" s="134"/>
      <c r="HX53" s="134"/>
      <c r="HY53" s="134"/>
      <c r="HZ53" s="134"/>
      <c r="IA53" s="134"/>
      <c r="IB53" s="134"/>
      <c r="ID53" s="134"/>
      <c r="IE53" s="134"/>
      <c r="IF53" s="134"/>
      <c r="IG53" s="134"/>
      <c r="IH53" s="134"/>
      <c r="II53" s="134"/>
      <c r="IJ53" s="134"/>
      <c r="IK53" s="134"/>
      <c r="IL53" s="134"/>
      <c r="IM53" s="135"/>
      <c r="IN53" s="135"/>
      <c r="IO53" s="135"/>
      <c r="XEO53" s="7" t="str">
        <f t="shared" si="11"/>
        <v/>
      </c>
      <c r="XEP53" s="7" t="str">
        <f t="shared" si="12"/>
        <v/>
      </c>
      <c r="XEQ53" s="7" t="str">
        <f t="shared" si="13"/>
        <v/>
      </c>
      <c r="XER53" s="7" t="str">
        <f t="shared" si="14"/>
        <v/>
      </c>
    </row>
    <row r="54" spans="1:249 16369:16372" ht="23.25" customHeight="1" x14ac:dyDescent="0.25">
      <c r="A54" s="74">
        <f>IF($I54&gt;0,VLOOKUP(I54,'Lista de Precios'!$A$3:$L$2883,9,0),0)</f>
        <v>0</v>
      </c>
      <c r="B54" s="74">
        <f>IF($I54&gt;0,VLOOKUP(I54,'Lista de Precios'!$A$3:$H$2883,7,0),0)</f>
        <v>0</v>
      </c>
      <c r="C54" s="7" t="str">
        <f>IF($I54&gt;0,VLOOKUP(I54,'Lista de Precios'!$A$3:$H$2883,2,0),"")</f>
        <v/>
      </c>
      <c r="D54" s="7" t="str">
        <f>IF($I54&gt;0,VLOOKUP(I54,'Lista de Precios'!$A$3:$H$2883,3,0),"")</f>
        <v/>
      </c>
      <c r="E54" s="76" t="str">
        <f>IF($I54&gt;0,VLOOKUP(I54,'Lista de Precios'!$A$3:$H$2883,6,0),"")</f>
        <v/>
      </c>
      <c r="F54" s="76" t="str">
        <f>IF($I54&gt;0,VLOOKUP(I54,'Lista de Precios'!$A$3:$H$2883,8,0),"")</f>
        <v/>
      </c>
      <c r="G54" s="101" t="str">
        <f t="shared" si="7"/>
        <v/>
      </c>
      <c r="H54" s="20" t="s">
        <v>3</v>
      </c>
      <c r="I54" s="18"/>
      <c r="J54" s="28" t="str">
        <f t="shared" si="9"/>
        <v/>
      </c>
      <c r="K54" s="24">
        <f>+IF($I54&gt;0,VLOOKUP($I54,'Lista de Precios'!$A$3:$H$2883,5,0),0)</f>
        <v>0</v>
      </c>
      <c r="L54" s="36"/>
      <c r="M54" s="36"/>
      <c r="N54" s="36"/>
      <c r="O54" s="37"/>
      <c r="P54" s="38"/>
      <c r="Q54" s="45"/>
      <c r="R54" s="43"/>
      <c r="S54" s="43"/>
      <c r="T54" s="43"/>
      <c r="U54" s="43"/>
      <c r="V54" s="43"/>
      <c r="W54" s="43"/>
      <c r="X54" s="43"/>
      <c r="Y54" s="37"/>
      <c r="Z54" s="40"/>
      <c r="AA54" s="41"/>
      <c r="AB54" s="37"/>
      <c r="AC54" s="43"/>
      <c r="AD54" s="43"/>
      <c r="AE54" s="43"/>
      <c r="AF54" s="43"/>
      <c r="AG54" s="43"/>
      <c r="AH54" s="42"/>
      <c r="AI54" s="42"/>
      <c r="AJ54" s="42"/>
      <c r="AK54" s="42"/>
      <c r="AL54" s="43"/>
      <c r="AM54" s="73">
        <f t="shared" si="10"/>
        <v>0</v>
      </c>
      <c r="AN54" s="71" t="str">
        <f>+IF($I54&gt;0,VLOOKUP($I54,'Lista de Precios'!$A$3:$H$2883,4,0),"")</f>
        <v/>
      </c>
      <c r="AO54" s="68" t="str">
        <f t="shared" si="8"/>
        <v/>
      </c>
      <c r="AP54" s="7" t="str">
        <f>IF($I54&gt;0,VLOOKUP($I54,'Lista de Precios'!$A$3:$K$2883,10,0),"")</f>
        <v/>
      </c>
      <c r="AQ54" s="7" t="str">
        <f>IF($I54&gt;0,VLOOKUP($I54,'Lista de Precios'!$A$3:$M$4893,13,0),"")</f>
        <v/>
      </c>
      <c r="HQ54" s="134"/>
      <c r="HR54" s="134"/>
      <c r="HS54" s="134"/>
      <c r="HT54" s="134"/>
      <c r="HU54" s="134"/>
      <c r="HV54" s="134"/>
      <c r="HW54" s="134"/>
      <c r="HX54" s="134"/>
      <c r="HY54" s="134"/>
      <c r="HZ54" s="134"/>
      <c r="IA54" s="134"/>
      <c r="IB54" s="134"/>
      <c r="ID54" s="134"/>
      <c r="IE54" s="134"/>
      <c r="IF54" s="134"/>
      <c r="IG54" s="134"/>
      <c r="IH54" s="134"/>
      <c r="II54" s="134"/>
      <c r="IJ54" s="134"/>
      <c r="IK54" s="134"/>
      <c r="IL54" s="134"/>
      <c r="IM54" s="135"/>
      <c r="IN54" s="135"/>
      <c r="IO54" s="135"/>
      <c r="XEO54" s="7" t="str">
        <f t="shared" si="11"/>
        <v/>
      </c>
      <c r="XEP54" s="7" t="str">
        <f t="shared" si="12"/>
        <v/>
      </c>
      <c r="XEQ54" s="7" t="str">
        <f t="shared" si="13"/>
        <v/>
      </c>
      <c r="XER54" s="7" t="str">
        <f t="shared" si="14"/>
        <v/>
      </c>
    </row>
    <row r="55" spans="1:249 16369:16372" ht="23.25" customHeight="1" x14ac:dyDescent="0.25">
      <c r="A55" s="74">
        <f>IF($I55&gt;0,VLOOKUP(I55,'Lista de Precios'!$A$3:$L$2883,9,0),0)</f>
        <v>0</v>
      </c>
      <c r="B55" s="74">
        <f>IF($I55&gt;0,VLOOKUP(I55,'Lista de Precios'!$A$3:$H$2883,7,0),0)</f>
        <v>0</v>
      </c>
      <c r="C55" s="7" t="str">
        <f>IF($I55&gt;0,VLOOKUP(I55,'Lista de Precios'!$A$3:$H$2883,2,0),"")</f>
        <v/>
      </c>
      <c r="D55" s="7" t="str">
        <f>IF($I55&gt;0,VLOOKUP(I55,'Lista de Precios'!$A$3:$H$2883,3,0),"")</f>
        <v/>
      </c>
      <c r="E55" s="76" t="str">
        <f>IF($I55&gt;0,VLOOKUP(I55,'Lista de Precios'!$A$3:$H$2883,6,0),"")</f>
        <v/>
      </c>
      <c r="F55" s="76" t="str">
        <f>IF($I55&gt;0,VLOOKUP(I55,'Lista de Precios'!$A$3:$H$2883,8,0),"")</f>
        <v/>
      </c>
      <c r="G55" s="101" t="str">
        <f t="shared" si="7"/>
        <v/>
      </c>
      <c r="H55" s="20" t="s">
        <v>3</v>
      </c>
      <c r="I55" s="18"/>
      <c r="J55" s="28" t="str">
        <f t="shared" si="9"/>
        <v/>
      </c>
      <c r="K55" s="24">
        <f>+IF($I55&gt;0,VLOOKUP($I55,'Lista de Precios'!$A$3:$H$2883,5,0),0)</f>
        <v>0</v>
      </c>
      <c r="L55" s="42"/>
      <c r="M55" s="42"/>
      <c r="N55" s="42"/>
      <c r="O55" s="43"/>
      <c r="P55" s="46"/>
      <c r="Q55" s="45"/>
      <c r="R55" s="43"/>
      <c r="S55" s="43"/>
      <c r="T55" s="43"/>
      <c r="U55" s="43"/>
      <c r="V55" s="43"/>
      <c r="W55" s="43"/>
      <c r="X55" s="43"/>
      <c r="Y55" s="37"/>
      <c r="Z55" s="40"/>
      <c r="AA55" s="41"/>
      <c r="AB55" s="37"/>
      <c r="AC55" s="43"/>
      <c r="AD55" s="43"/>
      <c r="AE55" s="43"/>
      <c r="AF55" s="43"/>
      <c r="AG55" s="43"/>
      <c r="AH55" s="42"/>
      <c r="AI55" s="42"/>
      <c r="AJ55" s="42"/>
      <c r="AK55" s="42"/>
      <c r="AL55" s="43"/>
      <c r="AM55" s="73">
        <f t="shared" si="10"/>
        <v>0</v>
      </c>
      <c r="AN55" s="71" t="str">
        <f>+IF($I55&gt;0,VLOOKUP($I55,'Lista de Precios'!$A$3:$H$2883,4,0),"")</f>
        <v/>
      </c>
      <c r="AO55" s="68" t="str">
        <f t="shared" si="8"/>
        <v/>
      </c>
      <c r="AP55" s="7" t="str">
        <f>IF($I55&gt;0,VLOOKUP($I55,'Lista de Precios'!$A$3:$K$2883,10,0),"")</f>
        <v/>
      </c>
      <c r="AQ55" s="7" t="str">
        <f>IF($I55&gt;0,VLOOKUP($I55,'Lista de Precios'!$A$3:$M$4893,13,0),"")</f>
        <v/>
      </c>
      <c r="HQ55" s="134"/>
      <c r="HR55" s="134"/>
      <c r="HS55" s="134"/>
      <c r="HT55" s="134"/>
      <c r="HU55" s="134"/>
      <c r="HV55" s="134"/>
      <c r="HW55" s="134"/>
      <c r="HX55" s="134"/>
      <c r="HY55" s="134"/>
      <c r="HZ55" s="134"/>
      <c r="IA55" s="134"/>
      <c r="IB55" s="134"/>
      <c r="ID55" s="134"/>
      <c r="IE55" s="134"/>
      <c r="IF55" s="134"/>
      <c r="IG55" s="134"/>
      <c r="IH55" s="134"/>
      <c r="II55" s="134"/>
      <c r="IJ55" s="134"/>
      <c r="IK55" s="134"/>
      <c r="IL55" s="134"/>
      <c r="IM55" s="135"/>
      <c r="IN55" s="135"/>
      <c r="IO55" s="135"/>
      <c r="XEO55" s="7" t="str">
        <f t="shared" si="11"/>
        <v/>
      </c>
      <c r="XEP55" s="7" t="str">
        <f t="shared" si="12"/>
        <v/>
      </c>
      <c r="XEQ55" s="7" t="str">
        <f t="shared" si="13"/>
        <v/>
      </c>
      <c r="XER55" s="7" t="str">
        <f t="shared" si="14"/>
        <v/>
      </c>
    </row>
    <row r="56" spans="1:249 16369:16372" ht="23.25" customHeight="1" x14ac:dyDescent="0.25">
      <c r="A56" s="74">
        <f>IF($I56&gt;0,VLOOKUP(I56,'Lista de Precios'!$A$3:$L$2883,9,0),0)</f>
        <v>0</v>
      </c>
      <c r="B56" s="74">
        <f>IF($I56&gt;0,VLOOKUP(I56,'Lista de Precios'!$A$3:$H$2883,7,0),0)</f>
        <v>0</v>
      </c>
      <c r="C56" s="7" t="str">
        <f>IF($I56&gt;0,VLOOKUP(I56,'Lista de Precios'!$A$3:$H$2883,2,0),"")</f>
        <v/>
      </c>
      <c r="D56" s="7" t="str">
        <f>IF($I56&gt;0,VLOOKUP(I56,'Lista de Precios'!$A$3:$H$2883,3,0),"")</f>
        <v/>
      </c>
      <c r="E56" s="76" t="str">
        <f>IF($I56&gt;0,VLOOKUP(I56,'Lista de Precios'!$A$3:$H$2883,6,0),"")</f>
        <v/>
      </c>
      <c r="F56" s="76" t="str">
        <f>IF($I56&gt;0,VLOOKUP(I56,'Lista de Precios'!$A$3:$H$2883,8,0),"")</f>
        <v/>
      </c>
      <c r="G56" s="101" t="str">
        <f t="shared" si="7"/>
        <v/>
      </c>
      <c r="H56" s="20" t="s">
        <v>3</v>
      </c>
      <c r="I56" s="18"/>
      <c r="J56" s="28" t="str">
        <f t="shared" si="9"/>
        <v/>
      </c>
      <c r="K56" s="24">
        <f>+IF($I56&gt;0,VLOOKUP($I56,'Lista de Precios'!$A$3:$H$2883,5,0),0)</f>
        <v>0</v>
      </c>
      <c r="L56" s="43"/>
      <c r="M56" s="43"/>
      <c r="N56" s="43"/>
      <c r="O56" s="43"/>
      <c r="P56" s="44"/>
      <c r="Q56" s="45"/>
      <c r="R56" s="43"/>
      <c r="S56" s="43"/>
      <c r="T56" s="43"/>
      <c r="U56" s="43"/>
      <c r="V56" s="43"/>
      <c r="W56" s="43"/>
      <c r="X56" s="43"/>
      <c r="Y56" s="37"/>
      <c r="Z56" s="40"/>
      <c r="AA56" s="41"/>
      <c r="AB56" s="37"/>
      <c r="AC56" s="43"/>
      <c r="AD56" s="43"/>
      <c r="AE56" s="43"/>
      <c r="AF56" s="43"/>
      <c r="AG56" s="43"/>
      <c r="AH56" s="42"/>
      <c r="AI56" s="42"/>
      <c r="AJ56" s="42"/>
      <c r="AK56" s="42"/>
      <c r="AL56" s="43"/>
      <c r="AM56" s="73">
        <f t="shared" si="10"/>
        <v>0</v>
      </c>
      <c r="AN56" s="71" t="str">
        <f>+IF($I56&gt;0,VLOOKUP($I56,'Lista de Precios'!$A$3:$H$2883,4,0),"")</f>
        <v/>
      </c>
      <c r="AO56" s="68" t="str">
        <f t="shared" si="8"/>
        <v/>
      </c>
      <c r="AP56" s="7" t="str">
        <f>IF($I56&gt;0,VLOOKUP($I56,'Lista de Precios'!$A$3:$K$2883,10,0),"")</f>
        <v/>
      </c>
      <c r="AQ56" s="7" t="str">
        <f>IF($I56&gt;0,VLOOKUP($I56,'Lista de Precios'!$A$3:$M$4893,13,0),"")</f>
        <v/>
      </c>
      <c r="HQ56" s="134"/>
      <c r="HR56" s="134"/>
      <c r="HS56" s="134"/>
      <c r="HT56" s="134"/>
      <c r="HU56" s="134"/>
      <c r="HV56" s="134"/>
      <c r="HW56" s="134"/>
      <c r="HX56" s="134"/>
      <c r="HY56" s="134"/>
      <c r="HZ56" s="134"/>
      <c r="IA56" s="134"/>
      <c r="IB56" s="134"/>
      <c r="ID56" s="134"/>
      <c r="IE56" s="134"/>
      <c r="IF56" s="134"/>
      <c r="IG56" s="134"/>
      <c r="IH56" s="134"/>
      <c r="II56" s="134"/>
      <c r="IJ56" s="134"/>
      <c r="IK56" s="134"/>
      <c r="IL56" s="134"/>
      <c r="IM56" s="135"/>
      <c r="IN56" s="135"/>
      <c r="IO56" s="135"/>
      <c r="XEO56" s="7" t="str">
        <f t="shared" si="11"/>
        <v/>
      </c>
      <c r="XEP56" s="7" t="str">
        <f t="shared" si="12"/>
        <v/>
      </c>
      <c r="XEQ56" s="7" t="str">
        <f t="shared" si="13"/>
        <v/>
      </c>
      <c r="XER56" s="7" t="str">
        <f t="shared" si="14"/>
        <v/>
      </c>
    </row>
    <row r="57" spans="1:249 16369:16372" ht="23.25" customHeight="1" x14ac:dyDescent="0.25">
      <c r="A57" s="74">
        <f>IF($I57&gt;0,VLOOKUP(I57,'Lista de Precios'!$A$3:$L$2883,9,0),0)</f>
        <v>0</v>
      </c>
      <c r="B57" s="74">
        <f>IF($I57&gt;0,VLOOKUP(I57,'Lista de Precios'!$A$3:$H$2883,7,0),0)</f>
        <v>0</v>
      </c>
      <c r="C57" s="7" t="str">
        <f>IF($I57&gt;0,VLOOKUP(I57,'Lista de Precios'!$A$3:$H$2883,2,0),"")</f>
        <v/>
      </c>
      <c r="D57" s="7" t="str">
        <f>IF($I57&gt;0,VLOOKUP(I57,'Lista de Precios'!$A$3:$H$2883,3,0),"")</f>
        <v/>
      </c>
      <c r="E57" s="76" t="str">
        <f>IF($I57&gt;0,VLOOKUP(I57,'Lista de Precios'!$A$3:$H$2883,6,0),"")</f>
        <v/>
      </c>
      <c r="F57" s="76" t="str">
        <f>IF($I57&gt;0,VLOOKUP(I57,'Lista de Precios'!$A$3:$H$2883,8,0),"")</f>
        <v/>
      </c>
      <c r="G57" s="101" t="str">
        <f t="shared" si="7"/>
        <v/>
      </c>
      <c r="H57" s="20" t="s">
        <v>3</v>
      </c>
      <c r="I57" s="18"/>
      <c r="J57" s="28" t="str">
        <f t="shared" si="9"/>
        <v/>
      </c>
      <c r="K57" s="24">
        <f>+IF($I57&gt;0,VLOOKUP($I57,'Lista de Precios'!$A$3:$H$2883,5,0),0)</f>
        <v>0</v>
      </c>
      <c r="L57" s="43"/>
      <c r="M57" s="43"/>
      <c r="N57" s="43"/>
      <c r="O57" s="37"/>
      <c r="P57" s="44"/>
      <c r="Q57" s="39"/>
      <c r="R57" s="37"/>
      <c r="S57" s="37"/>
      <c r="T57" s="37"/>
      <c r="U57" s="37"/>
      <c r="V57" s="37"/>
      <c r="W57" s="37"/>
      <c r="X57" s="37"/>
      <c r="Y57" s="37"/>
      <c r="Z57" s="40"/>
      <c r="AA57" s="41"/>
      <c r="AB57" s="37"/>
      <c r="AC57" s="43"/>
      <c r="AD57" s="43"/>
      <c r="AE57" s="43"/>
      <c r="AF57" s="43"/>
      <c r="AG57" s="43"/>
      <c r="AH57" s="42"/>
      <c r="AI57" s="42"/>
      <c r="AJ57" s="42"/>
      <c r="AK57" s="42"/>
      <c r="AL57" s="43"/>
      <c r="AM57" s="73">
        <f t="shared" si="10"/>
        <v>0</v>
      </c>
      <c r="AN57" s="71" t="str">
        <f>+IF($I57&gt;0,VLOOKUP($I57,'Lista de Precios'!$A$3:$H$2883,4,0),"")</f>
        <v/>
      </c>
      <c r="AO57" s="68" t="str">
        <f t="shared" si="8"/>
        <v/>
      </c>
      <c r="AP57" s="7" t="str">
        <f>IF($I57&gt;0,VLOOKUP($I57,'Lista de Precios'!$A$3:$K$2883,10,0),"")</f>
        <v/>
      </c>
      <c r="AQ57" s="7" t="str">
        <f>IF($I57&gt;0,VLOOKUP($I57,'Lista de Precios'!$A$3:$M$4893,13,0),"")</f>
        <v/>
      </c>
      <c r="HQ57" s="134"/>
      <c r="HR57" s="134"/>
      <c r="HS57" s="134"/>
      <c r="HT57" s="134"/>
      <c r="HU57" s="134"/>
      <c r="HV57" s="134"/>
      <c r="HW57" s="134"/>
      <c r="HX57" s="134"/>
      <c r="HY57" s="134"/>
      <c r="HZ57" s="134"/>
      <c r="IA57" s="134"/>
      <c r="IB57" s="134"/>
      <c r="ID57" s="134"/>
      <c r="IE57" s="134"/>
      <c r="IF57" s="134"/>
      <c r="IG57" s="134"/>
      <c r="IH57" s="134"/>
      <c r="II57" s="134"/>
      <c r="IJ57" s="134"/>
      <c r="IK57" s="134"/>
      <c r="IL57" s="134"/>
      <c r="IM57" s="135"/>
      <c r="IN57" s="135"/>
      <c r="IO57" s="135"/>
      <c r="XEO57" s="7" t="str">
        <f t="shared" si="11"/>
        <v/>
      </c>
      <c r="XEP57" s="7" t="str">
        <f t="shared" si="12"/>
        <v/>
      </c>
      <c r="XEQ57" s="7" t="str">
        <f t="shared" si="13"/>
        <v/>
      </c>
      <c r="XER57" s="7" t="str">
        <f t="shared" si="14"/>
        <v/>
      </c>
    </row>
    <row r="58" spans="1:249 16369:16372" ht="23.25" customHeight="1" x14ac:dyDescent="0.25">
      <c r="A58" s="74">
        <f>IF($I58&gt;0,VLOOKUP(I58,'Lista de Precios'!$A$3:$L$2883,9,0),0)</f>
        <v>0</v>
      </c>
      <c r="B58" s="74">
        <f>IF($I58&gt;0,VLOOKUP(I58,'Lista de Precios'!$A$3:$H$2883,7,0),0)</f>
        <v>0</v>
      </c>
      <c r="C58" s="7" t="str">
        <f>IF($I58&gt;0,VLOOKUP(I58,'Lista de Precios'!$A$3:$H$2883,2,0),"")</f>
        <v/>
      </c>
      <c r="D58" s="7" t="str">
        <f>IF($I58&gt;0,VLOOKUP(I58,'Lista de Precios'!$A$3:$H$2883,3,0),"")</f>
        <v/>
      </c>
      <c r="E58" s="76" t="str">
        <f>IF($I58&gt;0,VLOOKUP(I58,'Lista de Precios'!$A$3:$H$2883,6,0),"")</f>
        <v/>
      </c>
      <c r="F58" s="76" t="str">
        <f>IF($I58&gt;0,VLOOKUP(I58,'Lista de Precios'!$A$3:$H$2883,8,0),"")</f>
        <v/>
      </c>
      <c r="G58" s="101" t="str">
        <f t="shared" si="7"/>
        <v/>
      </c>
      <c r="H58" s="20" t="s">
        <v>3</v>
      </c>
      <c r="I58" s="18"/>
      <c r="J58" s="28" t="str">
        <f t="shared" si="9"/>
        <v/>
      </c>
      <c r="K58" s="24">
        <f>+IF($I58&gt;0,VLOOKUP($I58,'Lista de Precios'!$A$3:$H$2883,5,0),0)</f>
        <v>0</v>
      </c>
      <c r="L58" s="43"/>
      <c r="M58" s="43"/>
      <c r="N58" s="43"/>
      <c r="O58" s="43"/>
      <c r="P58" s="44"/>
      <c r="Q58" s="45"/>
      <c r="R58" s="43"/>
      <c r="S58" s="43"/>
      <c r="T58" s="43"/>
      <c r="U58" s="43"/>
      <c r="V58" s="43"/>
      <c r="W58" s="43"/>
      <c r="X58" s="43"/>
      <c r="Y58" s="37"/>
      <c r="Z58" s="40"/>
      <c r="AA58" s="41"/>
      <c r="AB58" s="37"/>
      <c r="AC58" s="37"/>
      <c r="AD58" s="37"/>
      <c r="AE58" s="37"/>
      <c r="AF58" s="37"/>
      <c r="AG58" s="43"/>
      <c r="AH58" s="42"/>
      <c r="AI58" s="42"/>
      <c r="AJ58" s="49"/>
      <c r="AK58" s="49"/>
      <c r="AL58" s="49"/>
      <c r="AM58" s="73">
        <f t="shared" si="10"/>
        <v>0</v>
      </c>
      <c r="AN58" s="71" t="str">
        <f>+IF($I58&gt;0,VLOOKUP($I58,'Lista de Precios'!$A$3:$H$2883,4,0),"")</f>
        <v/>
      </c>
      <c r="AO58" s="68" t="str">
        <f t="shared" si="8"/>
        <v/>
      </c>
      <c r="AP58" s="7" t="str">
        <f>IF($I58&gt;0,VLOOKUP($I58,'Lista de Precios'!$A$3:$K$2883,10,0),"")</f>
        <v/>
      </c>
      <c r="AQ58" s="7" t="str">
        <f>IF($I58&gt;0,VLOOKUP($I58,'Lista de Precios'!$A$3:$M$4893,13,0),"")</f>
        <v/>
      </c>
      <c r="HQ58" s="134"/>
      <c r="HR58" s="134"/>
      <c r="HS58" s="134"/>
      <c r="HT58" s="134"/>
      <c r="HU58" s="134"/>
      <c r="HV58" s="134"/>
      <c r="HW58" s="134"/>
      <c r="HX58" s="134"/>
      <c r="HY58" s="134"/>
      <c r="HZ58" s="134"/>
      <c r="IA58" s="134"/>
      <c r="IB58" s="134"/>
      <c r="ID58" s="134"/>
      <c r="IE58" s="134"/>
      <c r="IF58" s="134"/>
      <c r="IG58" s="134"/>
      <c r="IH58" s="134"/>
      <c r="II58" s="134"/>
      <c r="IJ58" s="134"/>
      <c r="IK58" s="134"/>
      <c r="IL58" s="134"/>
      <c r="IM58" s="135"/>
      <c r="IN58" s="135"/>
      <c r="IO58" s="135"/>
      <c r="XEO58" s="7" t="str">
        <f t="shared" si="11"/>
        <v/>
      </c>
      <c r="XEP58" s="7" t="str">
        <f t="shared" si="12"/>
        <v/>
      </c>
      <c r="XEQ58" s="7" t="str">
        <f t="shared" si="13"/>
        <v/>
      </c>
      <c r="XER58" s="7" t="str">
        <f t="shared" si="14"/>
        <v/>
      </c>
    </row>
    <row r="59" spans="1:249 16369:16372" ht="23.25" customHeight="1" x14ac:dyDescent="0.25">
      <c r="A59" s="74">
        <f>IF($I59&gt;0,VLOOKUP(I59,'Lista de Precios'!$A$3:$L$2883,9,0),0)</f>
        <v>0</v>
      </c>
      <c r="B59" s="74">
        <f>IF($I59&gt;0,VLOOKUP(I59,'Lista de Precios'!$A$3:$H$2883,7,0),0)</f>
        <v>0</v>
      </c>
      <c r="C59" s="7" t="str">
        <f>IF($I59&gt;0,VLOOKUP(I59,'Lista de Precios'!$A$3:$H$2883,2,0),"")</f>
        <v/>
      </c>
      <c r="D59" s="7" t="str">
        <f>IF($I59&gt;0,VLOOKUP(I59,'Lista de Precios'!$A$3:$H$2883,3,0),"")</f>
        <v/>
      </c>
      <c r="E59" s="76" t="str">
        <f>IF($I59&gt;0,VLOOKUP(I59,'Lista de Precios'!$A$3:$H$2883,6,0),"")</f>
        <v/>
      </c>
      <c r="F59" s="76" t="str">
        <f>IF($I59&gt;0,VLOOKUP(I59,'Lista de Precios'!$A$3:$H$2883,8,0),"")</f>
        <v/>
      </c>
      <c r="G59" s="101" t="str">
        <f t="shared" si="7"/>
        <v/>
      </c>
      <c r="H59" s="20" t="s">
        <v>3</v>
      </c>
      <c r="I59" s="18"/>
      <c r="J59" s="28" t="str">
        <f t="shared" si="9"/>
        <v/>
      </c>
      <c r="K59" s="24">
        <f>+IF($I59&gt;0,VLOOKUP($I59,'Lista de Precios'!$A$3:$H$2883,5,0),0)</f>
        <v>0</v>
      </c>
      <c r="L59" s="48"/>
      <c r="M59" s="48"/>
      <c r="N59" s="48"/>
      <c r="O59" s="48"/>
      <c r="P59" s="47"/>
      <c r="Q59" s="50"/>
      <c r="R59" s="43"/>
      <c r="S59" s="43"/>
      <c r="T59" s="43"/>
      <c r="U59" s="43"/>
      <c r="V59" s="43"/>
      <c r="W59" s="43"/>
      <c r="X59" s="43"/>
      <c r="Y59" s="37"/>
      <c r="Z59" s="40"/>
      <c r="AA59" s="41"/>
      <c r="AB59" s="37"/>
      <c r="AC59" s="37"/>
      <c r="AD59" s="37"/>
      <c r="AE59" s="37"/>
      <c r="AF59" s="37"/>
      <c r="AG59" s="43"/>
      <c r="AH59" s="42"/>
      <c r="AI59" s="42"/>
      <c r="AJ59" s="49"/>
      <c r="AK59" s="49"/>
      <c r="AL59" s="48"/>
      <c r="AM59" s="73">
        <f t="shared" si="10"/>
        <v>0</v>
      </c>
      <c r="AN59" s="71" t="str">
        <f>+IF($I59&gt;0,VLOOKUP($I59,'Lista de Precios'!$A$3:$H$2883,4,0),"")</f>
        <v/>
      </c>
      <c r="AO59" s="68" t="str">
        <f t="shared" si="8"/>
        <v/>
      </c>
      <c r="AP59" s="7" t="str">
        <f>IF($I59&gt;0,VLOOKUP($I59,'Lista de Precios'!$A$3:$K$2883,10,0),"")</f>
        <v/>
      </c>
      <c r="AQ59" s="7" t="str">
        <f>IF($I59&gt;0,VLOOKUP($I59,'Lista de Precios'!$A$3:$M$4893,13,0),"")</f>
        <v/>
      </c>
      <c r="HQ59" s="134"/>
      <c r="HR59" s="134"/>
      <c r="HS59" s="134"/>
      <c r="HT59" s="134"/>
      <c r="HU59" s="134"/>
      <c r="HV59" s="134"/>
      <c r="HW59" s="134"/>
      <c r="HX59" s="134"/>
      <c r="HY59" s="134"/>
      <c r="HZ59" s="134"/>
      <c r="IA59" s="134"/>
      <c r="IB59" s="134"/>
      <c r="ID59" s="134"/>
      <c r="IE59" s="134"/>
      <c r="IF59" s="134"/>
      <c r="IG59" s="134"/>
      <c r="IH59" s="134"/>
      <c r="II59" s="134"/>
      <c r="IJ59" s="134"/>
      <c r="IK59" s="134"/>
      <c r="IL59" s="134"/>
      <c r="IM59" s="135"/>
      <c r="IN59" s="135"/>
      <c r="IO59" s="135"/>
      <c r="XEO59" s="7" t="str">
        <f t="shared" si="11"/>
        <v/>
      </c>
      <c r="XEP59" s="7" t="str">
        <f t="shared" si="12"/>
        <v/>
      </c>
      <c r="XEQ59" s="7" t="str">
        <f t="shared" si="13"/>
        <v/>
      </c>
      <c r="XER59" s="7" t="str">
        <f t="shared" si="14"/>
        <v/>
      </c>
    </row>
    <row r="60" spans="1:249 16369:16372" ht="23.25" customHeight="1" x14ac:dyDescent="0.25">
      <c r="A60" s="74">
        <f>IF($I60&gt;0,VLOOKUP(I60,'Lista de Precios'!$A$3:$L$2883,9,0),0)</f>
        <v>0</v>
      </c>
      <c r="B60" s="74">
        <f>IF($I60&gt;0,VLOOKUP(I60,'Lista de Precios'!$A$3:$H$2883,7,0),0)</f>
        <v>0</v>
      </c>
      <c r="C60" s="7" t="str">
        <f>IF($I60&gt;0,VLOOKUP(I60,'Lista de Precios'!$A$3:$H$2883,2,0),"")</f>
        <v/>
      </c>
      <c r="D60" s="7" t="str">
        <f>IF($I60&gt;0,VLOOKUP(I60,'Lista de Precios'!$A$3:$H$2883,3,0),"")</f>
        <v/>
      </c>
      <c r="E60" s="76" t="str">
        <f>IF($I60&gt;0,VLOOKUP(I60,'Lista de Precios'!$A$3:$H$2883,6,0),"")</f>
        <v/>
      </c>
      <c r="F60" s="76" t="str">
        <f>IF($I60&gt;0,VLOOKUP(I60,'Lista de Precios'!$A$3:$H$2883,8,0),"")</f>
        <v/>
      </c>
      <c r="G60" s="101" t="str">
        <f t="shared" si="7"/>
        <v/>
      </c>
      <c r="H60" s="20" t="s">
        <v>3</v>
      </c>
      <c r="I60" s="18"/>
      <c r="J60" s="28" t="str">
        <f t="shared" si="9"/>
        <v/>
      </c>
      <c r="K60" s="24">
        <f>+IF($I60&gt;0,VLOOKUP($I60,'Lista de Precios'!$A$3:$H$2883,5,0),0)</f>
        <v>0</v>
      </c>
      <c r="L60" s="51"/>
      <c r="M60" s="51"/>
      <c r="N60" s="51"/>
      <c r="O60" s="48"/>
      <c r="P60" s="52"/>
      <c r="Q60" s="50"/>
      <c r="R60" s="43"/>
      <c r="S60" s="43"/>
      <c r="T60" s="43"/>
      <c r="U60" s="43"/>
      <c r="V60" s="43"/>
      <c r="W60" s="43"/>
      <c r="X60" s="43"/>
      <c r="Y60" s="43"/>
      <c r="Z60" s="44"/>
      <c r="AA60" s="53"/>
      <c r="AB60" s="48"/>
      <c r="AC60" s="48"/>
      <c r="AD60" s="48"/>
      <c r="AE60" s="48"/>
      <c r="AF60" s="48"/>
      <c r="AG60" s="54"/>
      <c r="AH60" s="54"/>
      <c r="AI60" s="54"/>
      <c r="AJ60" s="54"/>
      <c r="AK60" s="54"/>
      <c r="AL60" s="54"/>
      <c r="AM60" s="73">
        <f t="shared" si="10"/>
        <v>0</v>
      </c>
      <c r="AN60" s="71" t="str">
        <f>+IF($I60&gt;0,VLOOKUP($I60,'Lista de Precios'!$A$3:$H$2883,4,0),"")</f>
        <v/>
      </c>
      <c r="AO60" s="68" t="str">
        <f t="shared" si="8"/>
        <v/>
      </c>
      <c r="AP60" s="7" t="str">
        <f>IF($I60&gt;0,VLOOKUP($I60,'Lista de Precios'!$A$3:$K$2883,10,0),"")</f>
        <v/>
      </c>
      <c r="AQ60" s="7" t="str">
        <f>IF($I60&gt;0,VLOOKUP($I60,'Lista de Precios'!$A$3:$M$4893,13,0),"")</f>
        <v/>
      </c>
      <c r="HQ60" s="134"/>
      <c r="HR60" s="134"/>
      <c r="HS60" s="134"/>
      <c r="HT60" s="134"/>
      <c r="HU60" s="134"/>
      <c r="HV60" s="134"/>
      <c r="HW60" s="134"/>
      <c r="HX60" s="134"/>
      <c r="HY60" s="134"/>
      <c r="HZ60" s="134"/>
      <c r="IA60" s="134"/>
      <c r="IB60" s="134"/>
      <c r="ID60" s="134"/>
      <c r="IE60" s="134"/>
      <c r="IF60" s="134"/>
      <c r="IG60" s="134"/>
      <c r="IH60" s="134"/>
      <c r="II60" s="134"/>
      <c r="IJ60" s="134"/>
      <c r="IK60" s="134"/>
      <c r="IL60" s="134"/>
      <c r="IM60" s="135"/>
      <c r="IN60" s="135"/>
      <c r="IO60" s="135"/>
      <c r="XEO60" s="7" t="str">
        <f t="shared" si="11"/>
        <v/>
      </c>
      <c r="XEP60" s="7" t="str">
        <f t="shared" si="12"/>
        <v/>
      </c>
      <c r="XEQ60" s="7" t="str">
        <f t="shared" si="13"/>
        <v/>
      </c>
      <c r="XER60" s="7" t="str">
        <f t="shared" si="14"/>
        <v/>
      </c>
    </row>
    <row r="61" spans="1:249 16369:16372" ht="23.25" customHeight="1" x14ac:dyDescent="0.25">
      <c r="A61" s="74">
        <f>IF($I61&gt;0,VLOOKUP(I61,'Lista de Precios'!$A$3:$L$2883,9,0),0)</f>
        <v>0</v>
      </c>
      <c r="B61" s="74">
        <f>IF($I61&gt;0,VLOOKUP(I61,'Lista de Precios'!$A$3:$H$2883,7,0),0)</f>
        <v>0</v>
      </c>
      <c r="C61" s="7" t="str">
        <f>IF($I61&gt;0,VLOOKUP(I61,'Lista de Precios'!$A$3:$H$2883,2,0),"")</f>
        <v/>
      </c>
      <c r="D61" s="7" t="str">
        <f>IF($I61&gt;0,VLOOKUP(I61,'Lista de Precios'!$A$3:$H$2883,3,0),"")</f>
        <v/>
      </c>
      <c r="E61" s="76" t="str">
        <f>IF($I61&gt;0,VLOOKUP(I61,'Lista de Precios'!$A$3:$H$2883,6,0),"")</f>
        <v/>
      </c>
      <c r="F61" s="76" t="str">
        <f>IF($I61&gt;0,VLOOKUP(I61,'Lista de Precios'!$A$3:$H$2883,8,0),"")</f>
        <v/>
      </c>
      <c r="G61" s="101" t="str">
        <f t="shared" si="7"/>
        <v/>
      </c>
      <c r="H61" s="20" t="s">
        <v>3</v>
      </c>
      <c r="I61" s="18"/>
      <c r="J61" s="28" t="str">
        <f t="shared" si="9"/>
        <v/>
      </c>
      <c r="K61" s="24">
        <f>+IF($I61&gt;0,VLOOKUP($I61,'Lista de Precios'!$A$3:$H$2883,5,0),0)</f>
        <v>0</v>
      </c>
      <c r="L61" s="54"/>
      <c r="M61" s="54"/>
      <c r="N61" s="54"/>
      <c r="O61" s="48"/>
      <c r="P61" s="55"/>
      <c r="Q61" s="50"/>
      <c r="R61" s="43"/>
      <c r="S61" s="43"/>
      <c r="T61" s="43"/>
      <c r="U61" s="43"/>
      <c r="V61" s="43"/>
      <c r="W61" s="43"/>
      <c r="X61" s="43"/>
      <c r="Y61" s="43"/>
      <c r="Z61" s="44"/>
      <c r="AA61" s="53"/>
      <c r="AB61" s="48"/>
      <c r="AC61" s="48"/>
      <c r="AD61" s="48"/>
      <c r="AE61" s="48"/>
      <c r="AF61" s="48"/>
      <c r="AG61" s="54"/>
      <c r="AH61" s="54"/>
      <c r="AI61" s="54"/>
      <c r="AJ61" s="54"/>
      <c r="AK61" s="54"/>
      <c r="AL61" s="54"/>
      <c r="AM61" s="73">
        <f t="shared" si="10"/>
        <v>0</v>
      </c>
      <c r="AN61" s="71" t="str">
        <f>+IF($I61&gt;0,VLOOKUP($I61,'Lista de Precios'!$A$3:$H$2883,4,0),"")</f>
        <v/>
      </c>
      <c r="AO61" s="68" t="str">
        <f t="shared" si="8"/>
        <v/>
      </c>
      <c r="AP61" s="7" t="str">
        <f>IF($I61&gt;0,VLOOKUP($I61,'Lista de Precios'!$A$3:$K$2883,10,0),"")</f>
        <v/>
      </c>
      <c r="AQ61" s="7" t="str">
        <f>IF($I61&gt;0,VLOOKUP($I61,'Lista de Precios'!$A$3:$M$4893,13,0),"")</f>
        <v/>
      </c>
      <c r="HQ61" s="134"/>
      <c r="HR61" s="134"/>
      <c r="HS61" s="134"/>
      <c r="HT61" s="134"/>
      <c r="HU61" s="134"/>
      <c r="HV61" s="134"/>
      <c r="HW61" s="134"/>
      <c r="HX61" s="134"/>
      <c r="HY61" s="134"/>
      <c r="HZ61" s="134"/>
      <c r="IA61" s="134"/>
      <c r="IB61" s="134"/>
      <c r="ID61" s="134"/>
      <c r="IE61" s="134"/>
      <c r="IF61" s="134"/>
      <c r="IG61" s="134"/>
      <c r="IH61" s="134"/>
      <c r="II61" s="134"/>
      <c r="IJ61" s="134"/>
      <c r="IK61" s="134"/>
      <c r="IL61" s="134"/>
      <c r="IM61" s="135"/>
      <c r="IN61" s="135"/>
      <c r="IO61" s="135"/>
      <c r="XEO61" s="7" t="str">
        <f t="shared" si="11"/>
        <v/>
      </c>
      <c r="XEP61" s="7" t="str">
        <f t="shared" si="12"/>
        <v/>
      </c>
      <c r="XEQ61" s="7" t="str">
        <f t="shared" si="13"/>
        <v/>
      </c>
      <c r="XER61" s="7" t="str">
        <f t="shared" si="14"/>
        <v/>
      </c>
    </row>
    <row r="62" spans="1:249 16369:16372" ht="23.25" customHeight="1" x14ac:dyDescent="0.25">
      <c r="A62" s="74">
        <f>IF($I62&gt;0,VLOOKUP(I62,'Lista de Precios'!$A$3:$L$2883,9,0),0)</f>
        <v>0</v>
      </c>
      <c r="B62" s="74">
        <f>IF($I62&gt;0,VLOOKUP(I62,'Lista de Precios'!$A$3:$H$2883,7,0),0)</f>
        <v>0</v>
      </c>
      <c r="C62" s="7" t="str">
        <f>IF($I62&gt;0,VLOOKUP(I62,'Lista de Precios'!$A$3:$H$2883,2,0),"")</f>
        <v/>
      </c>
      <c r="D62" s="7" t="str">
        <f>IF($I62&gt;0,VLOOKUP(I62,'Lista de Precios'!$A$3:$H$2883,3,0),"")</f>
        <v/>
      </c>
      <c r="E62" s="76" t="str">
        <f>IF($I62&gt;0,VLOOKUP(I62,'Lista de Precios'!$A$3:$H$2883,6,0),"")</f>
        <v/>
      </c>
      <c r="F62" s="76" t="str">
        <f>IF($I62&gt;0,VLOOKUP(I62,'Lista de Precios'!$A$3:$H$2883,8,0),"")</f>
        <v/>
      </c>
      <c r="G62" s="101" t="str">
        <f t="shared" si="7"/>
        <v/>
      </c>
      <c r="H62" s="20" t="s">
        <v>3</v>
      </c>
      <c r="I62" s="18"/>
      <c r="J62" s="28" t="str">
        <f t="shared" si="9"/>
        <v/>
      </c>
      <c r="K62" s="24">
        <f>+IF($I62&gt;0,VLOOKUP($I62,'Lista de Precios'!$A$3:$H$2883,5,0),0)</f>
        <v>0</v>
      </c>
      <c r="L62" s="43"/>
      <c r="M62" s="43"/>
      <c r="N62" s="43"/>
      <c r="O62" s="48"/>
      <c r="P62" s="44"/>
      <c r="Q62" s="50"/>
      <c r="R62" s="43"/>
      <c r="S62" s="43"/>
      <c r="T62" s="43"/>
      <c r="U62" s="43"/>
      <c r="V62" s="43"/>
      <c r="W62" s="43"/>
      <c r="X62" s="43"/>
      <c r="Y62" s="43"/>
      <c r="Z62" s="44"/>
      <c r="AA62" s="53"/>
      <c r="AB62" s="48"/>
      <c r="AC62" s="48"/>
      <c r="AD62" s="48"/>
      <c r="AE62" s="49"/>
      <c r="AF62" s="48"/>
      <c r="AG62" s="43"/>
      <c r="AH62" s="42"/>
      <c r="AI62" s="42"/>
      <c r="AJ62" s="42"/>
      <c r="AK62" s="42"/>
      <c r="AL62" s="42"/>
      <c r="AM62" s="73">
        <f t="shared" si="10"/>
        <v>0</v>
      </c>
      <c r="AN62" s="71" t="str">
        <f>+IF($I62&gt;0,VLOOKUP($I62,'Lista de Precios'!$A$3:$H$2883,4,0),"")</f>
        <v/>
      </c>
      <c r="AO62" s="68" t="str">
        <f t="shared" si="8"/>
        <v/>
      </c>
      <c r="AP62" s="7" t="str">
        <f>IF($I62&gt;0,VLOOKUP($I62,'Lista de Precios'!$A$3:$K$2883,10,0),"")</f>
        <v/>
      </c>
      <c r="AQ62" s="7" t="str">
        <f>IF($I62&gt;0,VLOOKUP($I62,'Lista de Precios'!$A$3:$M$4893,13,0),"")</f>
        <v/>
      </c>
      <c r="HQ62" s="134"/>
      <c r="HR62" s="134"/>
      <c r="HS62" s="134"/>
      <c r="HT62" s="134"/>
      <c r="HU62" s="134"/>
      <c r="HV62" s="134"/>
      <c r="HW62" s="134"/>
      <c r="HX62" s="134"/>
      <c r="HY62" s="134"/>
      <c r="HZ62" s="134"/>
      <c r="IA62" s="134"/>
      <c r="IB62" s="134"/>
      <c r="ID62" s="134"/>
      <c r="IE62" s="134"/>
      <c r="IF62" s="134"/>
      <c r="IG62" s="134"/>
      <c r="IH62" s="134"/>
      <c r="II62" s="134"/>
      <c r="IJ62" s="134"/>
      <c r="IK62" s="134"/>
      <c r="IL62" s="134"/>
      <c r="IM62" s="135"/>
      <c r="IN62" s="135"/>
      <c r="IO62" s="135"/>
      <c r="XEO62" s="7" t="str">
        <f t="shared" si="11"/>
        <v/>
      </c>
      <c r="XEP62" s="7" t="str">
        <f t="shared" si="12"/>
        <v/>
      </c>
      <c r="XEQ62" s="7" t="str">
        <f t="shared" si="13"/>
        <v/>
      </c>
      <c r="XER62" s="7" t="str">
        <f t="shared" si="14"/>
        <v/>
      </c>
    </row>
    <row r="63" spans="1:249 16369:16372" ht="23.25" customHeight="1" x14ac:dyDescent="0.25">
      <c r="A63" s="74">
        <f>IF($I63&gt;0,VLOOKUP(I63,'Lista de Precios'!$A$3:$L$2883,9,0),0)</f>
        <v>0</v>
      </c>
      <c r="B63" s="74">
        <f>IF($I63&gt;0,VLOOKUP(I63,'Lista de Precios'!$A$3:$H$2883,7,0),0)</f>
        <v>0</v>
      </c>
      <c r="C63" s="7" t="str">
        <f>IF($I63&gt;0,VLOOKUP(I63,'Lista de Precios'!$A$3:$H$2883,2,0),"")</f>
        <v/>
      </c>
      <c r="D63" s="7" t="str">
        <f>IF($I63&gt;0,VLOOKUP(I63,'Lista de Precios'!$A$3:$H$2883,3,0),"")</f>
        <v/>
      </c>
      <c r="E63" s="76" t="str">
        <f>IF($I63&gt;0,VLOOKUP(I63,'Lista de Precios'!$A$3:$H$2883,6,0),"")</f>
        <v/>
      </c>
      <c r="F63" s="76" t="str">
        <f>IF($I63&gt;0,VLOOKUP(I63,'Lista de Precios'!$A$3:$H$2883,8,0),"")</f>
        <v/>
      </c>
      <c r="G63" s="101" t="str">
        <f t="shared" si="7"/>
        <v/>
      </c>
      <c r="H63" s="20" t="s">
        <v>3</v>
      </c>
      <c r="I63" s="18"/>
      <c r="J63" s="28" t="str">
        <f t="shared" si="9"/>
        <v/>
      </c>
      <c r="K63" s="24">
        <f>+IF($I63&gt;0,VLOOKUP($I63,'Lista de Precios'!$A$3:$H$2883,5,0),0)</f>
        <v>0</v>
      </c>
      <c r="L63" s="54"/>
      <c r="M63" s="54"/>
      <c r="N63" s="54"/>
      <c r="O63" s="48"/>
      <c r="P63" s="55"/>
      <c r="Q63" s="50"/>
      <c r="R63" s="43"/>
      <c r="S63" s="43"/>
      <c r="T63" s="43"/>
      <c r="U63" s="43"/>
      <c r="V63" s="43"/>
      <c r="W63" s="43"/>
      <c r="X63" s="43"/>
      <c r="Y63" s="43"/>
      <c r="Z63" s="44"/>
      <c r="AA63" s="53"/>
      <c r="AB63" s="48"/>
      <c r="AC63" s="48"/>
      <c r="AD63" s="48"/>
      <c r="AE63" s="48"/>
      <c r="AF63" s="48"/>
      <c r="AG63" s="54"/>
      <c r="AH63" s="54"/>
      <c r="AI63" s="54"/>
      <c r="AJ63" s="54"/>
      <c r="AK63" s="54"/>
      <c r="AL63" s="54"/>
      <c r="AM63" s="73">
        <f t="shared" si="10"/>
        <v>0</v>
      </c>
      <c r="AN63" s="71" t="str">
        <f>+IF($I63&gt;0,VLOOKUP($I63,'Lista de Precios'!$A$3:$H$2883,4,0),"")</f>
        <v/>
      </c>
      <c r="AO63" s="68" t="str">
        <f t="shared" si="8"/>
        <v/>
      </c>
      <c r="AP63" s="7" t="str">
        <f>IF($I63&gt;0,VLOOKUP($I63,'Lista de Precios'!$A$3:$K$2883,10,0),"")</f>
        <v/>
      </c>
      <c r="AQ63" s="7" t="str">
        <f>IF($I63&gt;0,VLOOKUP($I63,'Lista de Precios'!$A$3:$M$4893,13,0),"")</f>
        <v/>
      </c>
      <c r="HQ63" s="134"/>
      <c r="HR63" s="134"/>
      <c r="HS63" s="134"/>
      <c r="HT63" s="134"/>
      <c r="HU63" s="134"/>
      <c r="HV63" s="134"/>
      <c r="HW63" s="134"/>
      <c r="HX63" s="134"/>
      <c r="HY63" s="134"/>
      <c r="HZ63" s="134"/>
      <c r="IA63" s="134"/>
      <c r="IB63" s="134"/>
      <c r="ID63" s="134"/>
      <c r="IE63" s="134"/>
      <c r="IF63" s="134"/>
      <c r="IG63" s="134"/>
      <c r="IH63" s="134"/>
      <c r="II63" s="134"/>
      <c r="IJ63" s="134"/>
      <c r="IK63" s="134"/>
      <c r="IL63" s="134"/>
      <c r="IM63" s="135"/>
      <c r="IN63" s="135"/>
      <c r="IO63" s="135"/>
      <c r="XEO63" s="7" t="str">
        <f t="shared" si="11"/>
        <v/>
      </c>
      <c r="XEP63" s="7" t="str">
        <f t="shared" si="12"/>
        <v/>
      </c>
      <c r="XEQ63" s="7" t="str">
        <f t="shared" si="13"/>
        <v/>
      </c>
      <c r="XER63" s="7" t="str">
        <f t="shared" si="14"/>
        <v/>
      </c>
    </row>
    <row r="64" spans="1:249 16369:16372" ht="23.25" customHeight="1" x14ac:dyDescent="0.25">
      <c r="A64" s="74">
        <f>IF($I64&gt;0,VLOOKUP(I64,'Lista de Precios'!$A$3:$L$2883,9,0),0)</f>
        <v>0</v>
      </c>
      <c r="B64" s="74">
        <f>IF($I64&gt;0,VLOOKUP(I64,'Lista de Precios'!$A$3:$H$2883,7,0),0)</f>
        <v>0</v>
      </c>
      <c r="C64" s="7" t="str">
        <f>IF($I64&gt;0,VLOOKUP(I64,'Lista de Precios'!$A$3:$H$2883,2,0),"")</f>
        <v/>
      </c>
      <c r="D64" s="7" t="str">
        <f>IF($I64&gt;0,VLOOKUP(I64,'Lista de Precios'!$A$3:$H$2883,3,0),"")</f>
        <v/>
      </c>
      <c r="E64" s="76" t="str">
        <f>IF($I64&gt;0,VLOOKUP(I64,'Lista de Precios'!$A$3:$H$2883,6,0),"")</f>
        <v/>
      </c>
      <c r="F64" s="76" t="str">
        <f>IF($I64&gt;0,VLOOKUP(I64,'Lista de Precios'!$A$3:$H$2883,8,0),"")</f>
        <v/>
      </c>
      <c r="G64" s="101" t="str">
        <f t="shared" si="7"/>
        <v/>
      </c>
      <c r="H64" s="20" t="s">
        <v>3</v>
      </c>
      <c r="I64" s="18"/>
      <c r="J64" s="28" t="str">
        <f t="shared" si="9"/>
        <v/>
      </c>
      <c r="K64" s="24">
        <f>+IF($I64&gt;0,VLOOKUP($I64,'Lista de Precios'!$A$3:$H$2883,5,0),0)</f>
        <v>0</v>
      </c>
      <c r="L64" s="54"/>
      <c r="M64" s="54"/>
      <c r="N64" s="54"/>
      <c r="O64" s="43"/>
      <c r="P64" s="55"/>
      <c r="Q64" s="45"/>
      <c r="R64" s="43"/>
      <c r="S64" s="43"/>
      <c r="T64" s="43"/>
      <c r="U64" s="43"/>
      <c r="V64" s="43"/>
      <c r="W64" s="43"/>
      <c r="X64" s="43"/>
      <c r="Y64" s="43"/>
      <c r="Z64" s="55"/>
      <c r="AA64" s="56"/>
      <c r="AB64" s="43"/>
      <c r="AC64" s="43"/>
      <c r="AD64" s="43"/>
      <c r="AE64" s="43"/>
      <c r="AF64" s="43"/>
      <c r="AG64" s="54"/>
      <c r="AH64" s="54"/>
      <c r="AI64" s="54"/>
      <c r="AJ64" s="54"/>
      <c r="AK64" s="54"/>
      <c r="AL64" s="54"/>
      <c r="AM64" s="73">
        <f t="shared" si="10"/>
        <v>0</v>
      </c>
      <c r="AN64" s="71" t="str">
        <f>+IF($I64&gt;0,VLOOKUP($I64,'Lista de Precios'!$A$3:$H$2883,4,0),"")</f>
        <v/>
      </c>
      <c r="AO64" s="68" t="str">
        <f t="shared" si="8"/>
        <v/>
      </c>
      <c r="AP64" s="7" t="str">
        <f>IF($I64&gt;0,VLOOKUP($I64,'Lista de Precios'!$A$3:$K$2883,10,0),"")</f>
        <v/>
      </c>
      <c r="AQ64" s="7" t="str">
        <f>IF($I64&gt;0,VLOOKUP($I64,'Lista de Precios'!$A$3:$M$4893,13,0),"")</f>
        <v/>
      </c>
      <c r="HQ64" s="134"/>
      <c r="HR64" s="134"/>
      <c r="HS64" s="134"/>
      <c r="HT64" s="134"/>
      <c r="HU64" s="134"/>
      <c r="HV64" s="134"/>
      <c r="HW64" s="134"/>
      <c r="HX64" s="134"/>
      <c r="HY64" s="134"/>
      <c r="HZ64" s="134"/>
      <c r="IA64" s="134"/>
      <c r="IB64" s="134"/>
      <c r="ID64" s="134"/>
      <c r="IE64" s="134"/>
      <c r="IF64" s="134"/>
      <c r="IG64" s="134"/>
      <c r="IH64" s="134"/>
      <c r="II64" s="134"/>
      <c r="IJ64" s="134"/>
      <c r="IK64" s="134"/>
      <c r="IL64" s="134"/>
      <c r="IM64" s="135"/>
      <c r="IN64" s="135"/>
      <c r="IO64" s="135"/>
      <c r="XEO64" s="7" t="str">
        <f t="shared" si="11"/>
        <v/>
      </c>
      <c r="XEP64" s="7" t="str">
        <f t="shared" si="12"/>
        <v/>
      </c>
      <c r="XEQ64" s="7" t="str">
        <f t="shared" si="13"/>
        <v/>
      </c>
      <c r="XER64" s="7" t="str">
        <f t="shared" si="14"/>
        <v/>
      </c>
    </row>
    <row r="65" spans="1:249 16369:16372" ht="23.25" customHeight="1" x14ac:dyDescent="0.25">
      <c r="A65" s="74">
        <f>IF($I65&gt;0,VLOOKUP(I65,'Lista de Precios'!$A$3:$L$2883,9,0),0)</f>
        <v>0</v>
      </c>
      <c r="B65" s="74">
        <f>IF($I65&gt;0,VLOOKUP(I65,'Lista de Precios'!$A$3:$H$2883,7,0),0)</f>
        <v>0</v>
      </c>
      <c r="C65" s="7" t="str">
        <f>IF($I65&gt;0,VLOOKUP(I65,'Lista de Precios'!$A$3:$H$2883,2,0),"")</f>
        <v/>
      </c>
      <c r="D65" s="7" t="str">
        <f>IF($I65&gt;0,VLOOKUP(I65,'Lista de Precios'!$A$3:$H$2883,3,0),"")</f>
        <v/>
      </c>
      <c r="E65" s="76" t="str">
        <f>IF($I65&gt;0,VLOOKUP(I65,'Lista de Precios'!$A$3:$H$2883,6,0),"")</f>
        <v/>
      </c>
      <c r="F65" s="76" t="str">
        <f>IF($I65&gt;0,VLOOKUP(I65,'Lista de Precios'!$A$3:$H$2883,8,0),"")</f>
        <v/>
      </c>
      <c r="G65" s="101" t="str">
        <f t="shared" si="7"/>
        <v/>
      </c>
      <c r="H65" s="20" t="s">
        <v>3</v>
      </c>
      <c r="I65" s="18"/>
      <c r="J65" s="28" t="str">
        <f t="shared" si="9"/>
        <v/>
      </c>
      <c r="K65" s="24">
        <f>+IF($I65&gt;0,VLOOKUP($I65,'Lista de Precios'!$A$3:$H$2883,5,0),0)</f>
        <v>0</v>
      </c>
      <c r="L65" s="37"/>
      <c r="M65" s="37"/>
      <c r="N65" s="37"/>
      <c r="O65" s="37"/>
      <c r="P65" s="40"/>
      <c r="Q65" s="39"/>
      <c r="R65" s="37"/>
      <c r="S65" s="37"/>
      <c r="T65" s="37"/>
      <c r="U65" s="37"/>
      <c r="V65" s="37"/>
      <c r="W65" s="37"/>
      <c r="X65" s="37"/>
      <c r="Y65" s="37"/>
      <c r="Z65" s="40"/>
      <c r="AA65" s="41"/>
      <c r="AB65" s="37"/>
      <c r="AC65" s="37"/>
      <c r="AD65" s="37"/>
      <c r="AE65" s="37"/>
      <c r="AF65" s="37"/>
      <c r="AG65" s="37"/>
      <c r="AH65" s="36"/>
      <c r="AI65" s="36"/>
      <c r="AJ65" s="36"/>
      <c r="AK65" s="42"/>
      <c r="AL65" s="36"/>
      <c r="AM65" s="73">
        <f t="shared" si="10"/>
        <v>0</v>
      </c>
      <c r="AN65" s="71" t="str">
        <f>+IF($I65&gt;0,VLOOKUP($I65,'Lista de Precios'!$A$3:$H$2883,4,0),"")</f>
        <v/>
      </c>
      <c r="AO65" s="68" t="str">
        <f t="shared" si="8"/>
        <v/>
      </c>
      <c r="AP65" s="7" t="str">
        <f>IF($I65&gt;0,VLOOKUP($I65,'Lista de Precios'!$A$3:$K$2883,10,0),"")</f>
        <v/>
      </c>
      <c r="AQ65" s="7" t="str">
        <f>IF($I65&gt;0,VLOOKUP($I65,'Lista de Precios'!$A$3:$M$4893,13,0),"")</f>
        <v/>
      </c>
      <c r="HQ65" s="134"/>
      <c r="HR65" s="134"/>
      <c r="HS65" s="134"/>
      <c r="HT65" s="134"/>
      <c r="HU65" s="134"/>
      <c r="HV65" s="134"/>
      <c r="HW65" s="134"/>
      <c r="HX65" s="134"/>
      <c r="HY65" s="134"/>
      <c r="HZ65" s="134"/>
      <c r="IA65" s="134"/>
      <c r="IB65" s="134"/>
      <c r="ID65" s="134"/>
      <c r="IE65" s="134"/>
      <c r="IF65" s="134"/>
      <c r="IG65" s="134"/>
      <c r="IH65" s="134"/>
      <c r="II65" s="134"/>
      <c r="IJ65" s="134"/>
      <c r="IK65" s="134"/>
      <c r="IL65" s="134"/>
      <c r="IM65" s="135"/>
      <c r="IN65" s="135"/>
      <c r="IO65" s="135"/>
      <c r="XEO65" s="7" t="str">
        <f t="shared" si="11"/>
        <v/>
      </c>
      <c r="XEP65" s="7" t="str">
        <f t="shared" si="12"/>
        <v/>
      </c>
      <c r="XEQ65" s="7" t="str">
        <f t="shared" si="13"/>
        <v/>
      </c>
      <c r="XER65" s="7" t="str">
        <f t="shared" si="14"/>
        <v/>
      </c>
    </row>
    <row r="66" spans="1:249 16369:16372" ht="23.25" customHeight="1" x14ac:dyDescent="0.25">
      <c r="A66" s="74">
        <f>IF($I66&gt;0,VLOOKUP(I66,'Lista de Precios'!$A$3:$L$2883,9,0),0)</f>
        <v>0</v>
      </c>
      <c r="B66" s="74">
        <f>IF($I66&gt;0,VLOOKUP(I66,'Lista de Precios'!$A$3:$H$2883,7,0),0)</f>
        <v>0</v>
      </c>
      <c r="C66" s="7" t="str">
        <f>IF($I66&gt;0,VLOOKUP(I66,'Lista de Precios'!$A$3:$H$2883,2,0),"")</f>
        <v/>
      </c>
      <c r="D66" s="7" t="str">
        <f>IF($I66&gt;0,VLOOKUP(I66,'Lista de Precios'!$A$3:$H$2883,3,0),"")</f>
        <v/>
      </c>
      <c r="E66" s="76" t="str">
        <f>IF($I66&gt;0,VLOOKUP(I66,'Lista de Precios'!$A$3:$H$2883,6,0),"")</f>
        <v/>
      </c>
      <c r="F66" s="76" t="str">
        <f>IF($I66&gt;0,VLOOKUP(I66,'Lista de Precios'!$A$3:$H$2883,8,0),"")</f>
        <v/>
      </c>
      <c r="G66" s="101" t="str">
        <f t="shared" si="7"/>
        <v/>
      </c>
      <c r="H66" s="20" t="s">
        <v>3</v>
      </c>
      <c r="I66" s="18"/>
      <c r="J66" s="28" t="str">
        <f t="shared" si="9"/>
        <v/>
      </c>
      <c r="K66" s="24">
        <f>+IF($I66&gt;0,VLOOKUP($I66,'Lista de Precios'!$A$3:$H$2883,5,0),0)</f>
        <v>0</v>
      </c>
      <c r="L66" s="37"/>
      <c r="M66" s="37"/>
      <c r="N66" s="37"/>
      <c r="O66" s="37"/>
      <c r="P66" s="40"/>
      <c r="Q66" s="39"/>
      <c r="R66" s="37"/>
      <c r="S66" s="37"/>
      <c r="T66" s="37"/>
      <c r="U66" s="37"/>
      <c r="V66" s="37"/>
      <c r="W66" s="37"/>
      <c r="X66" s="37"/>
      <c r="Y66" s="37"/>
      <c r="Z66" s="40"/>
      <c r="AA66" s="41"/>
      <c r="AB66" s="37"/>
      <c r="AC66" s="37"/>
      <c r="AD66" s="37"/>
      <c r="AE66" s="37"/>
      <c r="AF66" s="37"/>
      <c r="AG66" s="37"/>
      <c r="AH66" s="36"/>
      <c r="AI66" s="36"/>
      <c r="AJ66" s="36"/>
      <c r="AK66" s="42"/>
      <c r="AL66" s="36"/>
      <c r="AM66" s="73">
        <f t="shared" si="10"/>
        <v>0</v>
      </c>
      <c r="AN66" s="71" t="str">
        <f>+IF($I66&gt;0,VLOOKUP($I66,'Lista de Precios'!$A$3:$H$2883,4,0),"")</f>
        <v/>
      </c>
      <c r="AO66" s="68" t="str">
        <f t="shared" si="8"/>
        <v/>
      </c>
      <c r="AP66" s="7" t="str">
        <f>IF($I66&gt;0,VLOOKUP($I66,'Lista de Precios'!$A$3:$K$2883,10,0),"")</f>
        <v/>
      </c>
      <c r="AQ66" s="7" t="str">
        <f>IF($I66&gt;0,VLOOKUP($I66,'Lista de Precios'!$A$3:$M$4893,13,0),"")</f>
        <v/>
      </c>
      <c r="HQ66" s="134"/>
      <c r="HR66" s="134"/>
      <c r="HS66" s="134"/>
      <c r="HT66" s="134"/>
      <c r="HU66" s="134"/>
      <c r="HV66" s="134"/>
      <c r="HW66" s="134"/>
      <c r="HX66" s="134"/>
      <c r="HY66" s="134"/>
      <c r="HZ66" s="134"/>
      <c r="IA66" s="134"/>
      <c r="IB66" s="134"/>
      <c r="ID66" s="134"/>
      <c r="IE66" s="134"/>
      <c r="IF66" s="134"/>
      <c r="IG66" s="134"/>
      <c r="IH66" s="134"/>
      <c r="II66" s="134"/>
      <c r="IJ66" s="134"/>
      <c r="IK66" s="134"/>
      <c r="IL66" s="134"/>
      <c r="IM66" s="135"/>
      <c r="IN66" s="135"/>
      <c r="IO66" s="135"/>
      <c r="XEO66" s="7" t="str">
        <f t="shared" si="11"/>
        <v/>
      </c>
      <c r="XEP66" s="7" t="str">
        <f t="shared" si="12"/>
        <v/>
      </c>
      <c r="XEQ66" s="7" t="str">
        <f t="shared" si="13"/>
        <v/>
      </c>
      <c r="XER66" s="7" t="str">
        <f t="shared" si="14"/>
        <v/>
      </c>
    </row>
    <row r="67" spans="1:249 16369:16372" ht="23.25" customHeight="1" x14ac:dyDescent="0.25">
      <c r="A67" s="74">
        <f>IF($I67&gt;0,VLOOKUP(I67,'Lista de Precios'!$A$3:$L$2883,9,0),0)</f>
        <v>0</v>
      </c>
      <c r="B67" s="74">
        <f>IF($I67&gt;0,VLOOKUP(I67,'Lista de Precios'!$A$3:$H$2883,7,0),0)</f>
        <v>0</v>
      </c>
      <c r="C67" s="7" t="str">
        <f>IF($I67&gt;0,VLOOKUP(I67,'Lista de Precios'!$A$3:$H$2883,2,0),"")</f>
        <v/>
      </c>
      <c r="D67" s="7" t="str">
        <f>IF($I67&gt;0,VLOOKUP(I67,'Lista de Precios'!$A$3:$H$2883,3,0),"")</f>
        <v/>
      </c>
      <c r="E67" s="76" t="str">
        <f>IF($I67&gt;0,VLOOKUP(I67,'Lista de Precios'!$A$3:$H$2883,6,0),"")</f>
        <v/>
      </c>
      <c r="F67" s="76" t="str">
        <f>IF($I67&gt;0,VLOOKUP(I67,'Lista de Precios'!$A$3:$H$2883,8,0),"")</f>
        <v/>
      </c>
      <c r="G67" s="101" t="str">
        <f t="shared" si="7"/>
        <v/>
      </c>
      <c r="H67" s="20" t="s">
        <v>3</v>
      </c>
      <c r="I67" s="18"/>
      <c r="J67" s="28" t="str">
        <f t="shared" si="9"/>
        <v/>
      </c>
      <c r="K67" s="24">
        <f>+IF($I67&gt;0,VLOOKUP($I67,'Lista de Precios'!$A$3:$H$2883,5,0),0)</f>
        <v>0</v>
      </c>
      <c r="L67" s="36"/>
      <c r="M67" s="36"/>
      <c r="N67" s="36"/>
      <c r="O67" s="37"/>
      <c r="P67" s="38"/>
      <c r="Q67" s="39"/>
      <c r="R67" s="37"/>
      <c r="S67" s="37"/>
      <c r="T67" s="37"/>
      <c r="U67" s="37"/>
      <c r="V67" s="37"/>
      <c r="W67" s="37"/>
      <c r="X67" s="37"/>
      <c r="Y67" s="37"/>
      <c r="Z67" s="40"/>
      <c r="AA67" s="41"/>
      <c r="AB67" s="37"/>
      <c r="AC67" s="37"/>
      <c r="AD67" s="37"/>
      <c r="AE67" s="37"/>
      <c r="AF67" s="37"/>
      <c r="AG67" s="37"/>
      <c r="AH67" s="36"/>
      <c r="AI67" s="36"/>
      <c r="AJ67" s="36"/>
      <c r="AK67" s="42"/>
      <c r="AL67" s="42"/>
      <c r="AM67" s="73">
        <f t="shared" si="10"/>
        <v>0</v>
      </c>
      <c r="AN67" s="71" t="str">
        <f>+IF($I67&gt;0,VLOOKUP($I67,'Lista de Precios'!$A$3:$H$2883,4,0),"")</f>
        <v/>
      </c>
      <c r="AO67" s="68" t="str">
        <f t="shared" si="8"/>
        <v/>
      </c>
      <c r="AP67" s="7" t="str">
        <f>IF($I67&gt;0,VLOOKUP($I67,'Lista de Precios'!$A$3:$K$2883,10,0),"")</f>
        <v/>
      </c>
      <c r="AQ67" s="7" t="str">
        <f>IF($I67&gt;0,VLOOKUP($I67,'Lista de Precios'!$A$3:$M$4893,13,0),"")</f>
        <v/>
      </c>
      <c r="HQ67" s="134"/>
      <c r="HR67" s="134"/>
      <c r="HS67" s="134"/>
      <c r="HT67" s="134"/>
      <c r="HU67" s="134"/>
      <c r="HV67" s="134"/>
      <c r="HW67" s="134"/>
      <c r="HX67" s="134"/>
      <c r="HY67" s="134"/>
      <c r="HZ67" s="134"/>
      <c r="IA67" s="134"/>
      <c r="IB67" s="134"/>
      <c r="ID67" s="134"/>
      <c r="IE67" s="134"/>
      <c r="IF67" s="134"/>
      <c r="IG67" s="134"/>
      <c r="IH67" s="134"/>
      <c r="II67" s="134"/>
      <c r="IJ67" s="134"/>
      <c r="IK67" s="134"/>
      <c r="IL67" s="134"/>
      <c r="IM67" s="135"/>
      <c r="IN67" s="135"/>
      <c r="IO67" s="135"/>
      <c r="XEO67" s="7" t="str">
        <f t="shared" si="11"/>
        <v/>
      </c>
      <c r="XEP67" s="7" t="str">
        <f t="shared" si="12"/>
        <v/>
      </c>
      <c r="XEQ67" s="7" t="str">
        <f t="shared" si="13"/>
        <v/>
      </c>
      <c r="XER67" s="7" t="str">
        <f t="shared" si="14"/>
        <v/>
      </c>
    </row>
    <row r="68" spans="1:249 16369:16372" ht="23.25" customHeight="1" x14ac:dyDescent="0.25">
      <c r="A68" s="74">
        <f>IF($I68&gt;0,VLOOKUP(I68,'Lista de Precios'!$A$3:$L$2883,9,0),0)</f>
        <v>0</v>
      </c>
      <c r="B68" s="74">
        <f>IF($I68&gt;0,VLOOKUP(I68,'Lista de Precios'!$A$3:$H$2883,7,0),0)</f>
        <v>0</v>
      </c>
      <c r="C68" s="7" t="str">
        <f>IF($I68&gt;0,VLOOKUP(I68,'Lista de Precios'!$A$3:$H$2883,2,0),"")</f>
        <v/>
      </c>
      <c r="D68" s="7" t="str">
        <f>IF($I68&gt;0,VLOOKUP(I68,'Lista de Precios'!$A$3:$H$2883,3,0),"")</f>
        <v/>
      </c>
      <c r="E68" s="76" t="str">
        <f>IF($I68&gt;0,VLOOKUP(I68,'Lista de Precios'!$A$3:$H$2883,6,0),"")</f>
        <v/>
      </c>
      <c r="F68" s="76" t="str">
        <f>IF($I68&gt;0,VLOOKUP(I68,'Lista de Precios'!$A$3:$H$2883,8,0),"")</f>
        <v/>
      </c>
      <c r="G68" s="101" t="str">
        <f t="shared" si="7"/>
        <v/>
      </c>
      <c r="H68" s="20" t="s">
        <v>3</v>
      </c>
      <c r="I68" s="18"/>
      <c r="J68" s="28" t="str">
        <f t="shared" si="9"/>
        <v/>
      </c>
      <c r="K68" s="24">
        <f>+IF($I68&gt;0,VLOOKUP($I68,'Lista de Precios'!$A$3:$H$2883,5,0),0)</f>
        <v>0</v>
      </c>
      <c r="L68" s="37"/>
      <c r="M68" s="37"/>
      <c r="N68" s="37"/>
      <c r="O68" s="37"/>
      <c r="P68" s="40"/>
      <c r="Q68" s="39"/>
      <c r="R68" s="37"/>
      <c r="S68" s="37"/>
      <c r="T68" s="37"/>
      <c r="U68" s="37"/>
      <c r="V68" s="37"/>
      <c r="W68" s="37"/>
      <c r="X68" s="37"/>
      <c r="Y68" s="37"/>
      <c r="Z68" s="40"/>
      <c r="AA68" s="41"/>
      <c r="AB68" s="37"/>
      <c r="AC68" s="37"/>
      <c r="AD68" s="37"/>
      <c r="AE68" s="37"/>
      <c r="AF68" s="37"/>
      <c r="AG68" s="37"/>
      <c r="AH68" s="36"/>
      <c r="AI68" s="36"/>
      <c r="AJ68" s="36"/>
      <c r="AK68" s="42"/>
      <c r="AL68" s="42"/>
      <c r="AM68" s="73">
        <f t="shared" si="10"/>
        <v>0</v>
      </c>
      <c r="AN68" s="71" t="str">
        <f>+IF($I68&gt;0,VLOOKUP($I68,'Lista de Precios'!$A$3:$H$2883,4,0),"")</f>
        <v/>
      </c>
      <c r="AO68" s="68" t="str">
        <f t="shared" si="8"/>
        <v/>
      </c>
      <c r="AP68" s="7" t="str">
        <f>IF($I68&gt;0,VLOOKUP($I68,'Lista de Precios'!$A$3:$K$2883,10,0),"")</f>
        <v/>
      </c>
      <c r="AQ68" s="7" t="str">
        <f>IF($I68&gt;0,VLOOKUP($I68,'Lista de Precios'!$A$3:$M$4893,13,0),"")</f>
        <v/>
      </c>
      <c r="HQ68" s="134"/>
      <c r="HR68" s="134"/>
      <c r="HS68" s="134"/>
      <c r="HT68" s="134"/>
      <c r="HU68" s="134"/>
      <c r="HV68" s="134"/>
      <c r="HW68" s="134"/>
      <c r="HX68" s="134"/>
      <c r="HY68" s="134"/>
      <c r="HZ68" s="134"/>
      <c r="IA68" s="134"/>
      <c r="IB68" s="134"/>
      <c r="ID68" s="134"/>
      <c r="IE68" s="134"/>
      <c r="IF68" s="134"/>
      <c r="IG68" s="134"/>
      <c r="IH68" s="134"/>
      <c r="II68" s="134"/>
      <c r="IJ68" s="134"/>
      <c r="IK68" s="134"/>
      <c r="IL68" s="134"/>
      <c r="IM68" s="135"/>
      <c r="IN68" s="135"/>
      <c r="IO68" s="135"/>
      <c r="XEO68" s="7" t="str">
        <f t="shared" si="11"/>
        <v/>
      </c>
      <c r="XEP68" s="7" t="str">
        <f t="shared" si="12"/>
        <v/>
      </c>
      <c r="XEQ68" s="7" t="str">
        <f t="shared" si="13"/>
        <v/>
      </c>
      <c r="XER68" s="7" t="str">
        <f t="shared" si="14"/>
        <v/>
      </c>
    </row>
    <row r="69" spans="1:249 16369:16372" ht="23.25" customHeight="1" x14ac:dyDescent="0.25">
      <c r="A69" s="74">
        <f>IF($I69&gt;0,VLOOKUP(I69,'Lista de Precios'!$A$3:$L$2883,9,0),0)</f>
        <v>0</v>
      </c>
      <c r="B69" s="74">
        <f>IF($I69&gt;0,VLOOKUP(I69,'Lista de Precios'!$A$3:$H$2883,7,0),0)</f>
        <v>0</v>
      </c>
      <c r="C69" s="7" t="str">
        <f>IF($I69&gt;0,VLOOKUP(I69,'Lista de Precios'!$A$3:$H$2883,2,0),"")</f>
        <v/>
      </c>
      <c r="D69" s="7" t="str">
        <f>IF($I69&gt;0,VLOOKUP(I69,'Lista de Precios'!$A$3:$H$2883,3,0),"")</f>
        <v/>
      </c>
      <c r="E69" s="76" t="str">
        <f>IF($I69&gt;0,VLOOKUP(I69,'Lista de Precios'!$A$3:$H$2883,6,0),"")</f>
        <v/>
      </c>
      <c r="F69" s="76" t="str">
        <f>IF($I69&gt;0,VLOOKUP(I69,'Lista de Precios'!$A$3:$H$2883,8,0),"")</f>
        <v/>
      </c>
      <c r="G69" s="101" t="str">
        <f t="shared" si="7"/>
        <v/>
      </c>
      <c r="H69" s="20" t="s">
        <v>3</v>
      </c>
      <c r="I69" s="18"/>
      <c r="J69" s="28" t="str">
        <f t="shared" si="9"/>
        <v/>
      </c>
      <c r="K69" s="24">
        <f>+IF($I69&gt;0,VLOOKUP($I69,'Lista de Precios'!$A$3:$H$2883,5,0),0)</f>
        <v>0</v>
      </c>
      <c r="L69" s="37"/>
      <c r="M69" s="37"/>
      <c r="N69" s="37"/>
      <c r="O69" s="37"/>
      <c r="P69" s="40"/>
      <c r="Q69" s="39"/>
      <c r="R69" s="37"/>
      <c r="S69" s="37"/>
      <c r="T69" s="37"/>
      <c r="U69" s="37"/>
      <c r="V69" s="37"/>
      <c r="W69" s="37"/>
      <c r="X69" s="37"/>
      <c r="Y69" s="37"/>
      <c r="Z69" s="40"/>
      <c r="AA69" s="41"/>
      <c r="AB69" s="37"/>
      <c r="AC69" s="37"/>
      <c r="AD69" s="37"/>
      <c r="AE69" s="36"/>
      <c r="AF69" s="37"/>
      <c r="AG69" s="37"/>
      <c r="AH69" s="36"/>
      <c r="AI69" s="36"/>
      <c r="AJ69" s="42"/>
      <c r="AK69" s="42"/>
      <c r="AL69" s="43"/>
      <c r="AM69" s="73">
        <f t="shared" si="10"/>
        <v>0</v>
      </c>
      <c r="AN69" s="71" t="str">
        <f>+IF($I69&gt;0,VLOOKUP($I69,'Lista de Precios'!$A$3:$H$2883,4,0),"")</f>
        <v/>
      </c>
      <c r="AO69" s="68" t="str">
        <f t="shared" si="8"/>
        <v/>
      </c>
      <c r="AP69" s="7" t="str">
        <f>IF($I69&gt;0,VLOOKUP($I69,'Lista de Precios'!$A$3:$K$2883,10,0),"")</f>
        <v/>
      </c>
      <c r="AQ69" s="7" t="str">
        <f>IF($I69&gt;0,VLOOKUP($I69,'Lista de Precios'!$A$3:$M$4893,13,0),"")</f>
        <v/>
      </c>
      <c r="HQ69" s="134"/>
      <c r="HR69" s="134"/>
      <c r="HS69" s="134"/>
      <c r="HT69" s="134"/>
      <c r="HU69" s="134"/>
      <c r="HV69" s="134"/>
      <c r="HW69" s="134"/>
      <c r="HX69" s="134"/>
      <c r="HY69" s="134"/>
      <c r="HZ69" s="134"/>
      <c r="IA69" s="134"/>
      <c r="IB69" s="134"/>
      <c r="ID69" s="134"/>
      <c r="IE69" s="134"/>
      <c r="IF69" s="134"/>
      <c r="IG69" s="134"/>
      <c r="IH69" s="134"/>
      <c r="II69" s="134"/>
      <c r="IJ69" s="134"/>
      <c r="IK69" s="134"/>
      <c r="IL69" s="134"/>
      <c r="IM69" s="135"/>
      <c r="IN69" s="135"/>
      <c r="IO69" s="135"/>
      <c r="XEO69" s="7" t="str">
        <f t="shared" si="11"/>
        <v/>
      </c>
      <c r="XEP69" s="7" t="str">
        <f t="shared" si="12"/>
        <v/>
      </c>
      <c r="XEQ69" s="7" t="str">
        <f t="shared" si="13"/>
        <v/>
      </c>
      <c r="XER69" s="7" t="str">
        <f t="shared" si="14"/>
        <v/>
      </c>
    </row>
    <row r="70" spans="1:249 16369:16372" ht="23.25" customHeight="1" x14ac:dyDescent="0.25">
      <c r="A70" s="74">
        <f>IF($I70&gt;0,VLOOKUP(I70,'Lista de Precios'!$A$3:$L$2883,9,0),0)</f>
        <v>0</v>
      </c>
      <c r="B70" s="74">
        <f>IF($I70&gt;0,VLOOKUP(I70,'Lista de Precios'!$A$3:$H$2883,7,0),0)</f>
        <v>0</v>
      </c>
      <c r="C70" s="7" t="str">
        <f>IF($I70&gt;0,VLOOKUP(I70,'Lista de Precios'!$A$3:$H$2883,2,0),"")</f>
        <v/>
      </c>
      <c r="D70" s="7" t="str">
        <f>IF($I70&gt;0,VLOOKUP(I70,'Lista de Precios'!$A$3:$H$2883,3,0),"")</f>
        <v/>
      </c>
      <c r="E70" s="76" t="str">
        <f>IF($I70&gt;0,VLOOKUP(I70,'Lista de Precios'!$A$3:$H$2883,6,0),"")</f>
        <v/>
      </c>
      <c r="F70" s="76" t="str">
        <f>IF($I70&gt;0,VLOOKUP(I70,'Lista de Precios'!$A$3:$H$2883,8,0),"")</f>
        <v/>
      </c>
      <c r="G70" s="101" t="str">
        <f t="shared" si="7"/>
        <v/>
      </c>
      <c r="H70" s="20" t="s">
        <v>3</v>
      </c>
      <c r="I70" s="18"/>
      <c r="J70" s="28" t="str">
        <f t="shared" si="9"/>
        <v/>
      </c>
      <c r="K70" s="24">
        <f>+IF($I70&gt;0,VLOOKUP($I70,'Lista de Precios'!$A$3:$H$2883,5,0),0)</f>
        <v>0</v>
      </c>
      <c r="L70" s="37"/>
      <c r="M70" s="37"/>
      <c r="N70" s="37"/>
      <c r="O70" s="37"/>
      <c r="P70" s="40"/>
      <c r="Q70" s="39"/>
      <c r="R70" s="37"/>
      <c r="S70" s="37"/>
      <c r="T70" s="37"/>
      <c r="U70" s="37"/>
      <c r="V70" s="37"/>
      <c r="W70" s="37"/>
      <c r="X70" s="37"/>
      <c r="Y70" s="37"/>
      <c r="Z70" s="37"/>
      <c r="AA70" s="41"/>
      <c r="AB70" s="37"/>
      <c r="AC70" s="37"/>
      <c r="AD70" s="37"/>
      <c r="AE70" s="36"/>
      <c r="AF70" s="37"/>
      <c r="AG70" s="37"/>
      <c r="AH70" s="36"/>
      <c r="AI70" s="36"/>
      <c r="AJ70" s="42"/>
      <c r="AK70" s="42"/>
      <c r="AL70" s="42"/>
      <c r="AM70" s="73">
        <f t="shared" si="10"/>
        <v>0</v>
      </c>
      <c r="AN70" s="71" t="str">
        <f>+IF($I70&gt;0,VLOOKUP($I70,'Lista de Precios'!$A$3:$H$2883,4,0),"")</f>
        <v/>
      </c>
      <c r="AO70" s="68" t="str">
        <f t="shared" si="8"/>
        <v/>
      </c>
      <c r="AP70" s="7" t="str">
        <f>IF($I70&gt;0,VLOOKUP($I70,'Lista de Precios'!$A$3:$K$2883,10,0),"")</f>
        <v/>
      </c>
      <c r="AQ70" s="7" t="str">
        <f>IF($I70&gt;0,VLOOKUP($I70,'Lista de Precios'!$A$3:$M$4893,13,0),"")</f>
        <v/>
      </c>
      <c r="HQ70" s="134"/>
      <c r="HR70" s="134"/>
      <c r="HS70" s="134"/>
      <c r="HT70" s="134"/>
      <c r="HU70" s="134"/>
      <c r="HV70" s="134"/>
      <c r="HW70" s="134"/>
      <c r="HX70" s="134"/>
      <c r="HY70" s="134"/>
      <c r="HZ70" s="134"/>
      <c r="IA70" s="134"/>
      <c r="IB70" s="134"/>
      <c r="ID70" s="134"/>
      <c r="IE70" s="134"/>
      <c r="IF70" s="134"/>
      <c r="IG70" s="134"/>
      <c r="IH70" s="134"/>
      <c r="II70" s="134"/>
      <c r="IJ70" s="134"/>
      <c r="IK70" s="134"/>
      <c r="IL70" s="134"/>
      <c r="IM70" s="135"/>
      <c r="IN70" s="135"/>
      <c r="IO70" s="135"/>
      <c r="XEO70" s="7" t="str">
        <f t="shared" si="11"/>
        <v/>
      </c>
      <c r="XEP70" s="7" t="str">
        <f t="shared" si="12"/>
        <v/>
      </c>
      <c r="XEQ70" s="7" t="str">
        <f t="shared" si="13"/>
        <v/>
      </c>
      <c r="XER70" s="7" t="str">
        <f t="shared" si="14"/>
        <v/>
      </c>
    </row>
    <row r="71" spans="1:249 16369:16372" ht="23.25" customHeight="1" x14ac:dyDescent="0.25">
      <c r="A71" s="74">
        <f>IF($I71&gt;0,VLOOKUP(I71,'Lista de Precios'!$A$3:$L$2883,9,0),0)</f>
        <v>0</v>
      </c>
      <c r="B71" s="74">
        <f>IF($I71&gt;0,VLOOKUP(I71,'Lista de Precios'!$A$3:$H$2883,7,0),0)</f>
        <v>0</v>
      </c>
      <c r="C71" s="7" t="str">
        <f>IF($I71&gt;0,VLOOKUP(I71,'Lista de Precios'!$A$3:$H$2883,2,0),"")</f>
        <v/>
      </c>
      <c r="D71" s="7" t="str">
        <f>IF($I71&gt;0,VLOOKUP(I71,'Lista de Precios'!$A$3:$H$2883,3,0),"")</f>
        <v/>
      </c>
      <c r="E71" s="76" t="str">
        <f>IF($I71&gt;0,VLOOKUP(I71,'Lista de Precios'!$A$3:$H$2883,6,0),"")</f>
        <v/>
      </c>
      <c r="F71" s="76" t="str">
        <f>IF($I71&gt;0,VLOOKUP(I71,'Lista de Precios'!$A$3:$H$2883,8,0),"")</f>
        <v/>
      </c>
      <c r="G71" s="101" t="str">
        <f t="shared" si="7"/>
        <v/>
      </c>
      <c r="H71" s="20" t="s">
        <v>3</v>
      </c>
      <c r="I71" s="18"/>
      <c r="J71" s="28" t="str">
        <f t="shared" si="9"/>
        <v/>
      </c>
      <c r="K71" s="24">
        <f>+IF($I71&gt;0,VLOOKUP($I71,'Lista de Precios'!$A$3:$H$2883,5,0),0)</f>
        <v>0</v>
      </c>
      <c r="L71" s="37"/>
      <c r="M71" s="37"/>
      <c r="N71" s="37"/>
      <c r="O71" s="37"/>
      <c r="P71" s="40"/>
      <c r="Q71" s="39"/>
      <c r="R71" s="37"/>
      <c r="S71" s="37"/>
      <c r="T71" s="37"/>
      <c r="U71" s="37"/>
      <c r="V71" s="37"/>
      <c r="W71" s="37"/>
      <c r="X71" s="37"/>
      <c r="Y71" s="37"/>
      <c r="Z71" s="40"/>
      <c r="AA71" s="41"/>
      <c r="AB71" s="37"/>
      <c r="AC71" s="37"/>
      <c r="AD71" s="37"/>
      <c r="AE71" s="36"/>
      <c r="AF71" s="37"/>
      <c r="AG71" s="37"/>
      <c r="AH71" s="36"/>
      <c r="AI71" s="36"/>
      <c r="AJ71" s="42"/>
      <c r="AK71" s="42"/>
      <c r="AL71" s="42"/>
      <c r="AM71" s="73">
        <f t="shared" si="10"/>
        <v>0</v>
      </c>
      <c r="AN71" s="71" t="str">
        <f>+IF($I71&gt;0,VLOOKUP($I71,'Lista de Precios'!$A$3:$H$2883,4,0),"")</f>
        <v/>
      </c>
      <c r="AO71" s="68" t="str">
        <f t="shared" si="8"/>
        <v/>
      </c>
      <c r="AP71" s="7" t="str">
        <f>IF($I71&gt;0,VLOOKUP($I71,'Lista de Precios'!$A$3:$K$2883,10,0),"")</f>
        <v/>
      </c>
      <c r="AQ71" s="7" t="str">
        <f>IF($I71&gt;0,VLOOKUP($I71,'Lista de Precios'!$A$3:$M$4893,13,0),"")</f>
        <v/>
      </c>
      <c r="HQ71" s="134"/>
      <c r="HR71" s="134"/>
      <c r="HS71" s="134"/>
      <c r="HT71" s="134"/>
      <c r="HU71" s="134"/>
      <c r="HV71" s="134"/>
      <c r="HW71" s="134"/>
      <c r="HX71" s="134"/>
      <c r="HY71" s="134"/>
      <c r="HZ71" s="134"/>
      <c r="IA71" s="134"/>
      <c r="IB71" s="134"/>
      <c r="ID71" s="134"/>
      <c r="IE71" s="134"/>
      <c r="IF71" s="134"/>
      <c r="IG71" s="134"/>
      <c r="IH71" s="134"/>
      <c r="II71" s="134"/>
      <c r="IJ71" s="134"/>
      <c r="IK71" s="134"/>
      <c r="IL71" s="134"/>
      <c r="IM71" s="135"/>
      <c r="IN71" s="135"/>
      <c r="IO71" s="135"/>
      <c r="XEO71" s="7" t="str">
        <f t="shared" si="11"/>
        <v/>
      </c>
      <c r="XEP71" s="7" t="str">
        <f t="shared" si="12"/>
        <v/>
      </c>
      <c r="XEQ71" s="7" t="str">
        <f t="shared" si="13"/>
        <v/>
      </c>
      <c r="XER71" s="7" t="str">
        <f t="shared" si="14"/>
        <v/>
      </c>
    </row>
    <row r="72" spans="1:249 16369:16372" ht="23.25" customHeight="1" x14ac:dyDescent="0.25">
      <c r="A72" s="74">
        <f>IF($I72&gt;0,VLOOKUP(I72,'Lista de Precios'!$A$3:$L$2883,9,0),0)</f>
        <v>0</v>
      </c>
      <c r="B72" s="74">
        <f>IF($I72&gt;0,VLOOKUP(I72,'Lista de Precios'!$A$3:$H$2883,7,0),0)</f>
        <v>0</v>
      </c>
      <c r="C72" s="7" t="str">
        <f>IF($I72&gt;0,VLOOKUP(I72,'Lista de Precios'!$A$3:$H$2883,2,0),"")</f>
        <v/>
      </c>
      <c r="D72" s="7" t="str">
        <f>IF($I72&gt;0,VLOOKUP(I72,'Lista de Precios'!$A$3:$H$2883,3,0),"")</f>
        <v/>
      </c>
      <c r="E72" s="76" t="str">
        <f>IF($I72&gt;0,VLOOKUP(I72,'Lista de Precios'!$A$3:$H$2883,6,0),"")</f>
        <v/>
      </c>
      <c r="F72" s="76" t="str">
        <f>IF($I72&gt;0,VLOOKUP(I72,'Lista de Precios'!$A$3:$H$2883,8,0),"")</f>
        <v/>
      </c>
      <c r="G72" s="101" t="str">
        <f t="shared" si="7"/>
        <v/>
      </c>
      <c r="H72" s="20" t="s">
        <v>3</v>
      </c>
      <c r="I72" s="18"/>
      <c r="J72" s="28" t="str">
        <f t="shared" si="9"/>
        <v/>
      </c>
      <c r="K72" s="24">
        <f>+IF($I72&gt;0,VLOOKUP($I72,'Lista de Precios'!$A$3:$H$2883,5,0),0)</f>
        <v>0</v>
      </c>
      <c r="L72" s="37"/>
      <c r="M72" s="37"/>
      <c r="N72" s="37"/>
      <c r="O72" s="37"/>
      <c r="P72" s="40"/>
      <c r="Q72" s="39"/>
      <c r="R72" s="37"/>
      <c r="S72" s="37"/>
      <c r="T72" s="37"/>
      <c r="U72" s="37"/>
      <c r="V72" s="37"/>
      <c r="W72" s="37"/>
      <c r="X72" s="37"/>
      <c r="Y72" s="37"/>
      <c r="Z72" s="40"/>
      <c r="AA72" s="41"/>
      <c r="AB72" s="37"/>
      <c r="AC72" s="37"/>
      <c r="AD72" s="37"/>
      <c r="AE72" s="36"/>
      <c r="AF72" s="37"/>
      <c r="AG72" s="37"/>
      <c r="AH72" s="36"/>
      <c r="AI72" s="36"/>
      <c r="AJ72" s="42"/>
      <c r="AK72" s="42"/>
      <c r="AL72" s="42"/>
      <c r="AM72" s="73">
        <f t="shared" si="10"/>
        <v>0</v>
      </c>
      <c r="AN72" s="71" t="str">
        <f>+IF($I72&gt;0,VLOOKUP($I72,'Lista de Precios'!$A$3:$H$2883,4,0),"")</f>
        <v/>
      </c>
      <c r="AO72" s="68" t="str">
        <f t="shared" si="8"/>
        <v/>
      </c>
      <c r="AP72" s="7" t="str">
        <f>IF($I72&gt;0,VLOOKUP($I72,'Lista de Precios'!$A$3:$K$2883,10,0),"")</f>
        <v/>
      </c>
      <c r="AQ72" s="7" t="str">
        <f>IF($I72&gt;0,VLOOKUP($I72,'Lista de Precios'!$A$3:$M$4893,13,0),"")</f>
        <v/>
      </c>
      <c r="HQ72" s="134"/>
      <c r="HR72" s="134"/>
      <c r="HS72" s="134"/>
      <c r="HT72" s="134"/>
      <c r="HU72" s="134"/>
      <c r="HV72" s="134"/>
      <c r="HW72" s="134"/>
      <c r="HX72" s="134"/>
      <c r="HY72" s="134"/>
      <c r="HZ72" s="134"/>
      <c r="IA72" s="134"/>
      <c r="IB72" s="134"/>
      <c r="ID72" s="134"/>
      <c r="IE72" s="134"/>
      <c r="IF72" s="134"/>
      <c r="IG72" s="134"/>
      <c r="IH72" s="134"/>
      <c r="II72" s="134"/>
      <c r="IJ72" s="134"/>
      <c r="IK72" s="134"/>
      <c r="IL72" s="134"/>
      <c r="IM72" s="135"/>
      <c r="IN72" s="135"/>
      <c r="IO72" s="135"/>
      <c r="XEO72" s="7" t="str">
        <f t="shared" si="11"/>
        <v/>
      </c>
      <c r="XEP72" s="7" t="str">
        <f t="shared" si="12"/>
        <v/>
      </c>
      <c r="XEQ72" s="7" t="str">
        <f t="shared" si="13"/>
        <v/>
      </c>
      <c r="XER72" s="7" t="str">
        <f t="shared" si="14"/>
        <v/>
      </c>
    </row>
    <row r="73" spans="1:249 16369:16372" ht="23.25" customHeight="1" x14ac:dyDescent="0.25">
      <c r="A73" s="74">
        <f>IF($I73&gt;0,VLOOKUP(I73,'Lista de Precios'!$A$3:$L$2883,9,0),0)</f>
        <v>0</v>
      </c>
      <c r="B73" s="74">
        <f>IF($I73&gt;0,VLOOKUP(I73,'Lista de Precios'!$A$3:$H$2883,7,0),0)</f>
        <v>0</v>
      </c>
      <c r="C73" s="7" t="str">
        <f>IF($I73&gt;0,VLOOKUP(I73,'Lista de Precios'!$A$3:$H$2883,2,0),"")</f>
        <v/>
      </c>
      <c r="D73" s="7" t="str">
        <f>IF($I73&gt;0,VLOOKUP(I73,'Lista de Precios'!$A$3:$H$2883,3,0),"")</f>
        <v/>
      </c>
      <c r="E73" s="76" t="str">
        <f>IF($I73&gt;0,VLOOKUP(I73,'Lista de Precios'!$A$3:$H$2883,6,0),"")</f>
        <v/>
      </c>
      <c r="F73" s="76" t="str">
        <f>IF($I73&gt;0,VLOOKUP(I73,'Lista de Precios'!$A$3:$H$2883,8,0),"")</f>
        <v/>
      </c>
      <c r="G73" s="101" t="str">
        <f t="shared" si="7"/>
        <v/>
      </c>
      <c r="H73" s="20" t="s">
        <v>3</v>
      </c>
      <c r="I73" s="18"/>
      <c r="J73" s="28" t="str">
        <f t="shared" si="9"/>
        <v/>
      </c>
      <c r="K73" s="24">
        <f>+IF($I73&gt;0,VLOOKUP($I73,'Lista de Precios'!$A$3:$H$2883,5,0),0)</f>
        <v>0</v>
      </c>
      <c r="L73" s="37"/>
      <c r="M73" s="37"/>
      <c r="N73" s="37"/>
      <c r="O73" s="37"/>
      <c r="P73" s="40"/>
      <c r="Q73" s="39"/>
      <c r="R73" s="37"/>
      <c r="S73" s="37"/>
      <c r="T73" s="37"/>
      <c r="U73" s="37"/>
      <c r="V73" s="37"/>
      <c r="W73" s="37"/>
      <c r="X73" s="37"/>
      <c r="Y73" s="37"/>
      <c r="Z73" s="40"/>
      <c r="AA73" s="41"/>
      <c r="AB73" s="37"/>
      <c r="AC73" s="37"/>
      <c r="AD73" s="37"/>
      <c r="AE73" s="37"/>
      <c r="AF73" s="37"/>
      <c r="AG73" s="57"/>
      <c r="AH73" s="54"/>
      <c r="AI73" s="54"/>
      <c r="AJ73" s="54"/>
      <c r="AK73" s="54"/>
      <c r="AL73" s="54"/>
      <c r="AM73" s="73">
        <f t="shared" si="10"/>
        <v>0</v>
      </c>
      <c r="AN73" s="71" t="str">
        <f>+IF($I73&gt;0,VLOOKUP($I73,'Lista de Precios'!$A$3:$H$2883,4,0),"")</f>
        <v/>
      </c>
      <c r="AO73" s="68" t="str">
        <f t="shared" si="8"/>
        <v/>
      </c>
      <c r="AP73" s="7" t="str">
        <f>IF($I73&gt;0,VLOOKUP($I73,'Lista de Precios'!$A$3:$K$2883,10,0),"")</f>
        <v/>
      </c>
      <c r="AQ73" s="7" t="str">
        <f>IF($I73&gt;0,VLOOKUP($I73,'Lista de Precios'!$A$3:$M$4893,13,0),"")</f>
        <v/>
      </c>
      <c r="HQ73" s="134"/>
      <c r="HR73" s="134"/>
      <c r="HS73" s="134"/>
      <c r="HT73" s="134"/>
      <c r="HU73" s="134"/>
      <c r="HV73" s="134"/>
      <c r="HW73" s="134"/>
      <c r="HX73" s="134"/>
      <c r="HY73" s="134"/>
      <c r="HZ73" s="134"/>
      <c r="IA73" s="134"/>
      <c r="IB73" s="134"/>
      <c r="ID73" s="134"/>
      <c r="IE73" s="134"/>
      <c r="IF73" s="134"/>
      <c r="IG73" s="134"/>
      <c r="IH73" s="134"/>
      <c r="II73" s="134"/>
      <c r="IJ73" s="134"/>
      <c r="IK73" s="134"/>
      <c r="IL73" s="134"/>
      <c r="IM73" s="135"/>
      <c r="IN73" s="135"/>
      <c r="IO73" s="135"/>
      <c r="XEO73" s="7" t="str">
        <f t="shared" si="11"/>
        <v/>
      </c>
      <c r="XEP73" s="7" t="str">
        <f t="shared" si="12"/>
        <v/>
      </c>
      <c r="XEQ73" s="7" t="str">
        <f t="shared" si="13"/>
        <v/>
      </c>
      <c r="XER73" s="7" t="str">
        <f t="shared" si="14"/>
        <v/>
      </c>
    </row>
    <row r="74" spans="1:249 16369:16372" ht="23.25" customHeight="1" x14ac:dyDescent="0.25">
      <c r="A74" s="74">
        <f>IF($I74&gt;0,VLOOKUP(I74,'Lista de Precios'!$A$3:$L$2883,9,0),0)</f>
        <v>0</v>
      </c>
      <c r="B74" s="74">
        <f>IF($I74&gt;0,VLOOKUP(I74,'Lista de Precios'!$A$3:$H$2883,7,0),0)</f>
        <v>0</v>
      </c>
      <c r="C74" s="7" t="str">
        <f>IF($I74&gt;0,VLOOKUP(I74,'Lista de Precios'!$A$3:$H$2883,2,0),"")</f>
        <v/>
      </c>
      <c r="D74" s="7" t="str">
        <f>IF($I74&gt;0,VLOOKUP(I74,'Lista de Precios'!$A$3:$H$2883,3,0),"")</f>
        <v/>
      </c>
      <c r="E74" s="76" t="str">
        <f>IF($I74&gt;0,VLOOKUP(I74,'Lista de Precios'!$A$3:$H$2883,6,0),"")</f>
        <v/>
      </c>
      <c r="F74" s="76" t="str">
        <f>IF($I74&gt;0,VLOOKUP(I74,'Lista de Precios'!$A$3:$H$2883,8,0),"")</f>
        <v/>
      </c>
      <c r="G74" s="101" t="str">
        <f t="shared" si="7"/>
        <v/>
      </c>
      <c r="H74" s="20" t="s">
        <v>3</v>
      </c>
      <c r="I74" s="18"/>
      <c r="J74" s="28" t="str">
        <f t="shared" si="9"/>
        <v/>
      </c>
      <c r="K74" s="24">
        <f>+IF($I74&gt;0,VLOOKUP($I74,'Lista de Precios'!$A$3:$H$2883,5,0),0)</f>
        <v>0</v>
      </c>
      <c r="L74" s="37"/>
      <c r="M74" s="37"/>
      <c r="N74" s="37"/>
      <c r="O74" s="37"/>
      <c r="P74" s="40"/>
      <c r="Q74" s="39"/>
      <c r="R74" s="37"/>
      <c r="S74" s="37"/>
      <c r="T74" s="37"/>
      <c r="U74" s="37"/>
      <c r="V74" s="37"/>
      <c r="W74" s="37"/>
      <c r="X74" s="37"/>
      <c r="Y74" s="37"/>
      <c r="Z74" s="40"/>
      <c r="AA74" s="41"/>
      <c r="AB74" s="37"/>
      <c r="AC74" s="37"/>
      <c r="AD74" s="37"/>
      <c r="AE74" s="37"/>
      <c r="AF74" s="37"/>
      <c r="AG74" s="57"/>
      <c r="AH74" s="54"/>
      <c r="AI74" s="54"/>
      <c r="AJ74" s="42"/>
      <c r="AK74" s="42"/>
      <c r="AL74" s="42"/>
      <c r="AM74" s="73">
        <f t="shared" si="10"/>
        <v>0</v>
      </c>
      <c r="AN74" s="71" t="str">
        <f>+IF($I74&gt;0,VLOOKUP($I74,'Lista de Precios'!$A$3:$H$2883,4,0),"")</f>
        <v/>
      </c>
      <c r="AO74" s="68" t="str">
        <f t="shared" si="8"/>
        <v/>
      </c>
      <c r="AP74" s="7" t="str">
        <f>IF($I74&gt;0,VLOOKUP($I74,'Lista de Precios'!$A$3:$K$2883,10,0),"")</f>
        <v/>
      </c>
      <c r="AQ74" s="7" t="str">
        <f>IF($I74&gt;0,VLOOKUP($I74,'Lista de Precios'!$A$3:$M$4893,13,0),"")</f>
        <v/>
      </c>
      <c r="HQ74" s="134"/>
      <c r="HR74" s="134"/>
      <c r="HS74" s="134"/>
      <c r="HT74" s="134"/>
      <c r="HU74" s="134"/>
      <c r="HV74" s="134"/>
      <c r="HW74" s="134"/>
      <c r="HX74" s="134"/>
      <c r="HY74" s="134"/>
      <c r="HZ74" s="134"/>
      <c r="IA74" s="134"/>
      <c r="IB74" s="134"/>
      <c r="ID74" s="134"/>
      <c r="IE74" s="134"/>
      <c r="IF74" s="134"/>
      <c r="IG74" s="134"/>
      <c r="IH74" s="134"/>
      <c r="II74" s="134"/>
      <c r="IJ74" s="134"/>
      <c r="IK74" s="134"/>
      <c r="IL74" s="134"/>
      <c r="IM74" s="135"/>
      <c r="IN74" s="135"/>
      <c r="IO74" s="135"/>
      <c r="XEO74" s="7" t="str">
        <f t="shared" si="11"/>
        <v/>
      </c>
      <c r="XEP74" s="7" t="str">
        <f t="shared" si="12"/>
        <v/>
      </c>
      <c r="XEQ74" s="7" t="str">
        <f t="shared" si="13"/>
        <v/>
      </c>
      <c r="XER74" s="7" t="str">
        <f t="shared" si="14"/>
        <v/>
      </c>
    </row>
    <row r="75" spans="1:249 16369:16372" ht="23.25" customHeight="1" x14ac:dyDescent="0.25">
      <c r="A75" s="74">
        <f>IF($I75&gt;0,VLOOKUP(I75,'Lista de Precios'!$A$3:$L$2883,9,0),0)</f>
        <v>0</v>
      </c>
      <c r="B75" s="74">
        <f>IF($I75&gt;0,VLOOKUP(I75,'Lista de Precios'!$A$3:$H$2883,7,0),0)</f>
        <v>0</v>
      </c>
      <c r="C75" s="7" t="str">
        <f>IF($I75&gt;0,VLOOKUP(I75,'Lista de Precios'!$A$3:$H$2883,2,0),"")</f>
        <v/>
      </c>
      <c r="D75" s="7" t="str">
        <f>IF($I75&gt;0,VLOOKUP(I75,'Lista de Precios'!$A$3:$H$2883,3,0),"")</f>
        <v/>
      </c>
      <c r="E75" s="76" t="str">
        <f>IF($I75&gt;0,VLOOKUP(I75,'Lista de Precios'!$A$3:$H$2883,6,0),"")</f>
        <v/>
      </c>
      <c r="F75" s="76" t="str">
        <f>IF($I75&gt;0,VLOOKUP(I75,'Lista de Precios'!$A$3:$H$2883,8,0),"")</f>
        <v/>
      </c>
      <c r="G75" s="101" t="str">
        <f t="shared" si="7"/>
        <v/>
      </c>
      <c r="H75" s="20" t="s">
        <v>3</v>
      </c>
      <c r="I75" s="18"/>
      <c r="J75" s="28" t="str">
        <f t="shared" si="9"/>
        <v/>
      </c>
      <c r="K75" s="24">
        <f>+IF($I75&gt;0,VLOOKUP($I75,'Lista de Precios'!$A$3:$H$2883,5,0),0)</f>
        <v>0</v>
      </c>
      <c r="L75" s="37"/>
      <c r="M75" s="37"/>
      <c r="N75" s="37"/>
      <c r="O75" s="37"/>
      <c r="P75" s="40"/>
      <c r="Q75" s="39"/>
      <c r="R75" s="37"/>
      <c r="S75" s="37"/>
      <c r="T75" s="37"/>
      <c r="U75" s="37"/>
      <c r="V75" s="37"/>
      <c r="W75" s="37"/>
      <c r="X75" s="37"/>
      <c r="Y75" s="37"/>
      <c r="Z75" s="40"/>
      <c r="AA75" s="41"/>
      <c r="AB75" s="37"/>
      <c r="AC75" s="37"/>
      <c r="AD75" s="37"/>
      <c r="AE75" s="37"/>
      <c r="AF75" s="37"/>
      <c r="AG75" s="37"/>
      <c r="AH75" s="42"/>
      <c r="AI75" s="42"/>
      <c r="AJ75" s="43"/>
      <c r="AK75" s="43"/>
      <c r="AL75" s="43"/>
      <c r="AM75" s="73">
        <f t="shared" si="10"/>
        <v>0</v>
      </c>
      <c r="AN75" s="71" t="str">
        <f>+IF($I75&gt;0,VLOOKUP($I75,'Lista de Precios'!$A$3:$H$2883,4,0),"")</f>
        <v/>
      </c>
      <c r="AO75" s="68" t="str">
        <f t="shared" si="8"/>
        <v/>
      </c>
      <c r="AP75" s="7" t="str">
        <f>IF($I75&gt;0,VLOOKUP($I75,'Lista de Precios'!$A$3:$K$2883,10,0),"")</f>
        <v/>
      </c>
      <c r="AQ75" s="7" t="str">
        <f>IF($I75&gt;0,VLOOKUP($I75,'Lista de Precios'!$A$3:$M$4893,13,0),"")</f>
        <v/>
      </c>
      <c r="HQ75" s="134"/>
      <c r="HR75" s="134"/>
      <c r="HS75" s="134"/>
      <c r="HT75" s="134"/>
      <c r="HU75" s="134"/>
      <c r="HV75" s="134"/>
      <c r="HW75" s="134"/>
      <c r="HX75" s="134"/>
      <c r="HY75" s="134"/>
      <c r="HZ75" s="134"/>
      <c r="IA75" s="134"/>
      <c r="IB75" s="134"/>
      <c r="ID75" s="134"/>
      <c r="IE75" s="134"/>
      <c r="IF75" s="134"/>
      <c r="IG75" s="134"/>
      <c r="IH75" s="134"/>
      <c r="II75" s="134"/>
      <c r="IJ75" s="134"/>
      <c r="IK75" s="134"/>
      <c r="IL75" s="134"/>
      <c r="IM75" s="135"/>
      <c r="IN75" s="135"/>
      <c r="IO75" s="135"/>
      <c r="XEO75" s="7" t="str">
        <f t="shared" si="11"/>
        <v/>
      </c>
      <c r="XEP75" s="7" t="str">
        <f t="shared" si="12"/>
        <v/>
      </c>
      <c r="XEQ75" s="7" t="str">
        <f t="shared" si="13"/>
        <v/>
      </c>
      <c r="XER75" s="7" t="str">
        <f t="shared" si="14"/>
        <v/>
      </c>
    </row>
    <row r="76" spans="1:249 16369:16372" ht="23.25" customHeight="1" x14ac:dyDescent="0.25">
      <c r="A76" s="74">
        <f>IF($I76&gt;0,VLOOKUP(I76,'Lista de Precios'!$A$3:$L$2883,9,0),0)</f>
        <v>0</v>
      </c>
      <c r="B76" s="74">
        <f>IF($I76&gt;0,VLOOKUP(I76,'Lista de Precios'!$A$3:$H$2883,7,0),0)</f>
        <v>0</v>
      </c>
      <c r="C76" s="7" t="str">
        <f>IF($I76&gt;0,VLOOKUP(I76,'Lista de Precios'!$A$3:$H$2883,2,0),"")</f>
        <v/>
      </c>
      <c r="D76" s="7" t="str">
        <f>IF($I76&gt;0,VLOOKUP(I76,'Lista de Precios'!$A$3:$H$2883,3,0),"")</f>
        <v/>
      </c>
      <c r="E76" s="76" t="str">
        <f>IF($I76&gt;0,VLOOKUP(I76,'Lista de Precios'!$A$3:$H$2883,6,0),"")</f>
        <v/>
      </c>
      <c r="F76" s="76" t="str">
        <f>IF($I76&gt;0,VLOOKUP(I76,'Lista de Precios'!$A$3:$H$2883,8,0),"")</f>
        <v/>
      </c>
      <c r="G76" s="101" t="str">
        <f t="shared" si="7"/>
        <v/>
      </c>
      <c r="H76" s="20" t="s">
        <v>3</v>
      </c>
      <c r="I76" s="18"/>
      <c r="J76" s="28" t="str">
        <f t="shared" si="9"/>
        <v/>
      </c>
      <c r="K76" s="24">
        <f>+IF($I76&gt;0,VLOOKUP($I76,'Lista de Precios'!$A$3:$H$2883,5,0),0)</f>
        <v>0</v>
      </c>
      <c r="L76" s="36"/>
      <c r="M76" s="36"/>
      <c r="N76" s="36"/>
      <c r="O76" s="37"/>
      <c r="P76" s="38"/>
      <c r="Q76" s="39"/>
      <c r="R76" s="37"/>
      <c r="S76" s="37"/>
      <c r="T76" s="37"/>
      <c r="U76" s="37"/>
      <c r="V76" s="37"/>
      <c r="W76" s="37"/>
      <c r="X76" s="37"/>
      <c r="Y76" s="37"/>
      <c r="Z76" s="40"/>
      <c r="AA76" s="41"/>
      <c r="AB76" s="37"/>
      <c r="AC76" s="37"/>
      <c r="AD76" s="37"/>
      <c r="AE76" s="37"/>
      <c r="AF76" s="37"/>
      <c r="AG76" s="37"/>
      <c r="AH76" s="42"/>
      <c r="AI76" s="42"/>
      <c r="AJ76" s="43"/>
      <c r="AK76" s="43"/>
      <c r="AL76" s="43"/>
      <c r="AM76" s="73">
        <f t="shared" si="10"/>
        <v>0</v>
      </c>
      <c r="AN76" s="71" t="str">
        <f>+IF($I76&gt;0,VLOOKUP($I76,'Lista de Precios'!$A$3:$H$2883,4,0),"")</f>
        <v/>
      </c>
      <c r="AO76" s="68" t="str">
        <f t="shared" si="8"/>
        <v/>
      </c>
      <c r="AP76" s="7" t="str">
        <f>IF($I76&gt;0,VLOOKUP($I76,'Lista de Precios'!$A$3:$K$2883,10,0),"")</f>
        <v/>
      </c>
      <c r="AQ76" s="7" t="str">
        <f>IF($I76&gt;0,VLOOKUP($I76,'Lista de Precios'!$A$3:$M$4893,13,0),"")</f>
        <v/>
      </c>
      <c r="HQ76" s="134"/>
      <c r="HR76" s="134"/>
      <c r="HS76" s="134"/>
      <c r="HT76" s="134"/>
      <c r="HU76" s="134"/>
      <c r="HV76" s="134"/>
      <c r="HW76" s="134"/>
      <c r="HX76" s="134"/>
      <c r="HY76" s="134"/>
      <c r="HZ76" s="134"/>
      <c r="IA76" s="134"/>
      <c r="IB76" s="134"/>
      <c r="ID76" s="134"/>
      <c r="IE76" s="134"/>
      <c r="IF76" s="134"/>
      <c r="IG76" s="134"/>
      <c r="IH76" s="134"/>
      <c r="II76" s="134"/>
      <c r="IJ76" s="134"/>
      <c r="IK76" s="134"/>
      <c r="IL76" s="134"/>
      <c r="IM76" s="135"/>
      <c r="IN76" s="135"/>
      <c r="IO76" s="135"/>
      <c r="XEO76" s="7" t="str">
        <f t="shared" si="11"/>
        <v/>
      </c>
      <c r="XEP76" s="7" t="str">
        <f t="shared" si="12"/>
        <v/>
      </c>
      <c r="XEQ76" s="7" t="str">
        <f t="shared" si="13"/>
        <v/>
      </c>
      <c r="XER76" s="7" t="str">
        <f t="shared" si="14"/>
        <v/>
      </c>
    </row>
    <row r="77" spans="1:249 16369:16372" ht="23.25" customHeight="1" x14ac:dyDescent="0.25">
      <c r="A77" s="74">
        <f>IF($I77&gt;0,VLOOKUP(I77,'Lista de Precios'!$A$3:$L$2883,9,0),0)</f>
        <v>0</v>
      </c>
      <c r="B77" s="74">
        <f>IF($I77&gt;0,VLOOKUP(I77,'Lista de Precios'!$A$3:$H$2883,7,0),0)</f>
        <v>0</v>
      </c>
      <c r="C77" s="7" t="str">
        <f>IF($I77&gt;0,VLOOKUP(I77,'Lista de Precios'!$A$3:$H$2883,2,0),"")</f>
        <v/>
      </c>
      <c r="D77" s="7" t="str">
        <f>IF($I77&gt;0,VLOOKUP(I77,'Lista de Precios'!$A$3:$H$2883,3,0),"")</f>
        <v/>
      </c>
      <c r="E77" s="76" t="str">
        <f>IF($I77&gt;0,VLOOKUP(I77,'Lista de Precios'!$A$3:$H$2883,6,0),"")</f>
        <v/>
      </c>
      <c r="F77" s="76" t="str">
        <f>IF($I77&gt;0,VLOOKUP(I77,'Lista de Precios'!$A$3:$H$2883,8,0),"")</f>
        <v/>
      </c>
      <c r="G77" s="101" t="str">
        <f t="shared" si="7"/>
        <v/>
      </c>
      <c r="H77" s="20" t="s">
        <v>3</v>
      </c>
      <c r="I77" s="18"/>
      <c r="J77" s="28" t="str">
        <f t="shared" si="9"/>
        <v/>
      </c>
      <c r="K77" s="24">
        <f>+IF($I77&gt;0,VLOOKUP($I77,'Lista de Precios'!$A$3:$H$2883,5,0),0)</f>
        <v>0</v>
      </c>
      <c r="L77" s="37"/>
      <c r="M77" s="37"/>
      <c r="N77" s="37"/>
      <c r="O77" s="37"/>
      <c r="P77" s="40"/>
      <c r="Q77" s="39"/>
      <c r="R77" s="37"/>
      <c r="S77" s="37"/>
      <c r="T77" s="37"/>
      <c r="U77" s="37"/>
      <c r="V77" s="37"/>
      <c r="W77" s="37"/>
      <c r="X77" s="37"/>
      <c r="Y77" s="37"/>
      <c r="Z77" s="40"/>
      <c r="AA77" s="41"/>
      <c r="AB77" s="37"/>
      <c r="AC77" s="43"/>
      <c r="AD77" s="43"/>
      <c r="AE77" s="43"/>
      <c r="AF77" s="43"/>
      <c r="AG77" s="43"/>
      <c r="AH77" s="42"/>
      <c r="AI77" s="42"/>
      <c r="AJ77" s="42"/>
      <c r="AK77" s="42"/>
      <c r="AL77" s="43"/>
      <c r="AM77" s="73">
        <f t="shared" si="10"/>
        <v>0</v>
      </c>
      <c r="AN77" s="71" t="str">
        <f>+IF($I77&gt;0,VLOOKUP($I77,'Lista de Precios'!$A$3:$H$2883,4,0),"")</f>
        <v/>
      </c>
      <c r="AO77" s="68" t="str">
        <f t="shared" si="8"/>
        <v/>
      </c>
      <c r="AP77" s="7" t="str">
        <f>IF($I77&gt;0,VLOOKUP($I77,'Lista de Precios'!$A$3:$K$2883,10,0),"")</f>
        <v/>
      </c>
      <c r="AQ77" s="7" t="str">
        <f>IF($I77&gt;0,VLOOKUP($I77,'Lista de Precios'!$A$3:$M$4893,13,0),"")</f>
        <v/>
      </c>
      <c r="HQ77" s="134"/>
      <c r="HR77" s="134"/>
      <c r="HS77" s="134"/>
      <c r="HT77" s="134"/>
      <c r="HU77" s="134"/>
      <c r="HV77" s="134"/>
      <c r="HW77" s="134"/>
      <c r="HX77" s="134"/>
      <c r="HY77" s="134"/>
      <c r="HZ77" s="134"/>
      <c r="IA77" s="134"/>
      <c r="IB77" s="134"/>
      <c r="ID77" s="134"/>
      <c r="IE77" s="134"/>
      <c r="IF77" s="134"/>
      <c r="IG77" s="134"/>
      <c r="IH77" s="134"/>
      <c r="II77" s="134"/>
      <c r="IJ77" s="134"/>
      <c r="IK77" s="134"/>
      <c r="IL77" s="134"/>
      <c r="IM77" s="135"/>
      <c r="IN77" s="135"/>
      <c r="IO77" s="135"/>
      <c r="XEO77" s="7" t="str">
        <f t="shared" si="11"/>
        <v/>
      </c>
      <c r="XEP77" s="7" t="str">
        <f t="shared" si="12"/>
        <v/>
      </c>
      <c r="XEQ77" s="7" t="str">
        <f t="shared" si="13"/>
        <v/>
      </c>
      <c r="XER77" s="7" t="str">
        <f t="shared" si="14"/>
        <v/>
      </c>
    </row>
    <row r="78" spans="1:249 16369:16372" ht="23.25" customHeight="1" x14ac:dyDescent="0.25">
      <c r="A78" s="74">
        <f>IF($I78&gt;0,VLOOKUP(I78,'Lista de Precios'!$A$3:$L$2883,9,0),0)</f>
        <v>0</v>
      </c>
      <c r="B78" s="74">
        <f>IF($I78&gt;0,VLOOKUP(I78,'Lista de Precios'!$A$3:$H$2883,7,0),0)</f>
        <v>0</v>
      </c>
      <c r="C78" s="7" t="str">
        <f>IF($I78&gt;0,VLOOKUP(I78,'Lista de Precios'!$A$3:$H$2883,2,0),"")</f>
        <v/>
      </c>
      <c r="D78" s="7" t="str">
        <f>IF($I78&gt;0,VLOOKUP(I78,'Lista de Precios'!$A$3:$H$2883,3,0),"")</f>
        <v/>
      </c>
      <c r="E78" s="76" t="str">
        <f>IF($I78&gt;0,VLOOKUP(I78,'Lista de Precios'!$A$3:$H$2883,6,0),"")</f>
        <v/>
      </c>
      <c r="F78" s="76" t="str">
        <f>IF($I78&gt;0,VLOOKUP(I78,'Lista de Precios'!$A$3:$H$2883,8,0),"")</f>
        <v/>
      </c>
      <c r="G78" s="101" t="str">
        <f t="shared" si="7"/>
        <v/>
      </c>
      <c r="H78" s="20" t="s">
        <v>3</v>
      </c>
      <c r="I78" s="18"/>
      <c r="J78" s="28" t="str">
        <f t="shared" si="9"/>
        <v/>
      </c>
      <c r="K78" s="24">
        <f>+IF($I78&gt;0,VLOOKUP($I78,'Lista de Precios'!$A$3:$H$2883,5,0),0)</f>
        <v>0</v>
      </c>
      <c r="L78" s="36"/>
      <c r="M78" s="36"/>
      <c r="N78" s="36"/>
      <c r="O78" s="37"/>
      <c r="P78" s="38"/>
      <c r="Q78" s="45"/>
      <c r="R78" s="43"/>
      <c r="S78" s="43"/>
      <c r="T78" s="43"/>
      <c r="U78" s="43"/>
      <c r="V78" s="43"/>
      <c r="W78" s="43"/>
      <c r="X78" s="43"/>
      <c r="Y78" s="37"/>
      <c r="Z78" s="40"/>
      <c r="AA78" s="41"/>
      <c r="AB78" s="37"/>
      <c r="AC78" s="43"/>
      <c r="AD78" s="43"/>
      <c r="AE78" s="43"/>
      <c r="AF78" s="43"/>
      <c r="AG78" s="43"/>
      <c r="AH78" s="42"/>
      <c r="AI78" s="42"/>
      <c r="AJ78" s="42"/>
      <c r="AK78" s="42"/>
      <c r="AL78" s="43"/>
      <c r="AM78" s="73">
        <f t="shared" si="10"/>
        <v>0</v>
      </c>
      <c r="AN78" s="71" t="str">
        <f>+IF($I78&gt;0,VLOOKUP($I78,'Lista de Precios'!$A$3:$H$2883,4,0),"")</f>
        <v/>
      </c>
      <c r="AO78" s="68" t="str">
        <f t="shared" si="8"/>
        <v/>
      </c>
      <c r="AP78" s="7" t="str">
        <f>IF($I78&gt;0,VLOOKUP($I78,'Lista de Precios'!$A$3:$K$2883,10,0),"")</f>
        <v/>
      </c>
      <c r="AQ78" s="7" t="str">
        <f>IF($I78&gt;0,VLOOKUP($I78,'Lista de Precios'!$A$3:$M$4893,13,0),"")</f>
        <v/>
      </c>
      <c r="HQ78" s="134"/>
      <c r="HR78" s="134"/>
      <c r="HS78" s="134"/>
      <c r="HT78" s="134"/>
      <c r="HU78" s="134"/>
      <c r="HV78" s="134"/>
      <c r="HW78" s="134"/>
      <c r="HX78" s="134"/>
      <c r="HY78" s="134"/>
      <c r="HZ78" s="134"/>
      <c r="IA78" s="134"/>
      <c r="IB78" s="134"/>
      <c r="ID78" s="134"/>
      <c r="IE78" s="134"/>
      <c r="IF78" s="134"/>
      <c r="IG78" s="134"/>
      <c r="IH78" s="134"/>
      <c r="II78" s="134"/>
      <c r="IJ78" s="134"/>
      <c r="IK78" s="134"/>
      <c r="IL78" s="134"/>
      <c r="IM78" s="135"/>
      <c r="IN78" s="135"/>
      <c r="IO78" s="135"/>
      <c r="XEO78" s="7" t="str">
        <f t="shared" si="11"/>
        <v/>
      </c>
      <c r="XEP78" s="7" t="str">
        <f t="shared" si="12"/>
        <v/>
      </c>
      <c r="XEQ78" s="7" t="str">
        <f t="shared" si="13"/>
        <v/>
      </c>
      <c r="XER78" s="7" t="str">
        <f t="shared" si="14"/>
        <v/>
      </c>
    </row>
    <row r="79" spans="1:249 16369:16372" ht="23.25" customHeight="1" x14ac:dyDescent="0.25">
      <c r="A79" s="74">
        <f>IF($I79&gt;0,VLOOKUP(I79,'Lista de Precios'!$A$3:$L$2883,9,0),0)</f>
        <v>0</v>
      </c>
      <c r="B79" s="74">
        <f>IF($I79&gt;0,VLOOKUP(I79,'Lista de Precios'!$A$3:$H$2883,7,0),0)</f>
        <v>0</v>
      </c>
      <c r="C79" s="7" t="str">
        <f>IF($I79&gt;0,VLOOKUP(I79,'Lista de Precios'!$A$3:$H$2883,2,0),"")</f>
        <v/>
      </c>
      <c r="D79" s="7" t="str">
        <f>IF($I79&gt;0,VLOOKUP(I79,'Lista de Precios'!$A$3:$H$2883,3,0),"")</f>
        <v/>
      </c>
      <c r="E79" s="76" t="str">
        <f>IF($I79&gt;0,VLOOKUP(I79,'Lista de Precios'!$A$3:$H$2883,6,0),"")</f>
        <v/>
      </c>
      <c r="F79" s="76" t="str">
        <f>IF($I79&gt;0,VLOOKUP(I79,'Lista de Precios'!$A$3:$H$2883,8,0),"")</f>
        <v/>
      </c>
      <c r="G79" s="101" t="str">
        <f t="shared" si="7"/>
        <v/>
      </c>
      <c r="H79" s="20" t="s">
        <v>3</v>
      </c>
      <c r="I79" s="18"/>
      <c r="J79" s="28" t="str">
        <f t="shared" si="9"/>
        <v/>
      </c>
      <c r="K79" s="24">
        <f>+IF($I79&gt;0,VLOOKUP($I79,'Lista de Precios'!$A$3:$H$2883,5,0),0)</f>
        <v>0</v>
      </c>
      <c r="L79" s="42"/>
      <c r="M79" s="42"/>
      <c r="N79" s="42"/>
      <c r="O79" s="43"/>
      <c r="P79" s="46"/>
      <c r="Q79" s="45"/>
      <c r="R79" s="43"/>
      <c r="S79" s="43"/>
      <c r="T79" s="43"/>
      <c r="U79" s="43"/>
      <c r="V79" s="43"/>
      <c r="W79" s="43"/>
      <c r="X79" s="43"/>
      <c r="Y79" s="37"/>
      <c r="Z79" s="40"/>
      <c r="AA79" s="41"/>
      <c r="AB79" s="37"/>
      <c r="AC79" s="43"/>
      <c r="AD79" s="43"/>
      <c r="AE79" s="43"/>
      <c r="AF79" s="43"/>
      <c r="AG79" s="43"/>
      <c r="AH79" s="42"/>
      <c r="AI79" s="42"/>
      <c r="AJ79" s="42"/>
      <c r="AK79" s="42"/>
      <c r="AL79" s="43"/>
      <c r="AM79" s="73">
        <f t="shared" ref="AM79:AM101" si="15">+IF(I79&gt;0,SUM(L79:AL79),0)</f>
        <v>0</v>
      </c>
      <c r="AN79" s="71" t="str">
        <f>+IF($I79&gt;0,VLOOKUP($I79,'Lista de Precios'!$A$3:$H$2883,4,0),"")</f>
        <v/>
      </c>
      <c r="AO79" s="68" t="str">
        <f t="shared" si="8"/>
        <v/>
      </c>
      <c r="AP79" s="7" t="str">
        <f>IF($I79&gt;0,VLOOKUP($I79,'Lista de Precios'!$A$3:$K$2883,10,0),"")</f>
        <v/>
      </c>
      <c r="AQ79" s="7" t="str">
        <f>IF($I79&gt;0,VLOOKUP($I79,'Lista de Precios'!$A$3:$M$4893,13,0),"")</f>
        <v/>
      </c>
      <c r="HQ79" s="134"/>
      <c r="HR79" s="134"/>
      <c r="HS79" s="134"/>
      <c r="HT79" s="134"/>
      <c r="HU79" s="134"/>
      <c r="HV79" s="134"/>
      <c r="HW79" s="134"/>
      <c r="HX79" s="134"/>
      <c r="HY79" s="134"/>
      <c r="HZ79" s="134"/>
      <c r="IA79" s="134"/>
      <c r="IB79" s="134"/>
      <c r="ID79" s="134"/>
      <c r="IE79" s="134"/>
      <c r="IF79" s="134"/>
      <c r="IG79" s="134"/>
      <c r="IH79" s="134"/>
      <c r="II79" s="134"/>
      <c r="IJ79" s="134"/>
      <c r="IK79" s="134"/>
      <c r="IL79" s="134"/>
      <c r="IM79" s="135"/>
      <c r="IN79" s="135"/>
      <c r="IO79" s="135"/>
      <c r="XEO79" s="7" t="str">
        <f t="shared" ref="XEO79:XEO94" si="16">+IF($AQ79=$XEO$13,$AM79,"")</f>
        <v/>
      </c>
      <c r="XEP79" s="7" t="str">
        <f t="shared" ref="XEP79:XEP94" si="17">+IF($AQ79=$XEP$13,$AM79,"")</f>
        <v/>
      </c>
      <c r="XEQ79" s="7" t="str">
        <f t="shared" ref="XEQ79:XEQ94" si="18">+IF($AQ79=$XEQ$13,$AM79,"")</f>
        <v/>
      </c>
      <c r="XER79" s="7" t="str">
        <f t="shared" ref="XER79:XER94" si="19">+IF($AQ79=$XER$13,$AM79,"")</f>
        <v/>
      </c>
    </row>
    <row r="80" spans="1:249 16369:16372" ht="23.25" customHeight="1" x14ac:dyDescent="0.25">
      <c r="A80" s="74">
        <f>IF($I80&gt;0,VLOOKUP(I80,'Lista de Precios'!$A$3:$L$2883,9,0),0)</f>
        <v>0</v>
      </c>
      <c r="B80" s="74">
        <f>IF($I80&gt;0,VLOOKUP(I80,'Lista de Precios'!$A$3:$H$2883,7,0),0)</f>
        <v>0</v>
      </c>
      <c r="C80" s="7" t="str">
        <f>IF($I80&gt;0,VLOOKUP(I80,'Lista de Precios'!$A$3:$H$2883,2,0),"")</f>
        <v/>
      </c>
      <c r="D80" s="7" t="str">
        <f>IF($I80&gt;0,VLOOKUP(I80,'Lista de Precios'!$A$3:$H$2883,3,0),"")</f>
        <v/>
      </c>
      <c r="E80" s="76" t="str">
        <f>IF($I80&gt;0,VLOOKUP(I80,'Lista de Precios'!$A$3:$H$2883,6,0),"")</f>
        <v/>
      </c>
      <c r="F80" s="76" t="str">
        <f>IF($I80&gt;0,VLOOKUP(I80,'Lista de Precios'!$A$3:$H$2883,8,0),"")</f>
        <v/>
      </c>
      <c r="G80" s="101" t="str">
        <f t="shared" ref="G80:G100" si="20">IF(AN80="","",AN80*1.87)</f>
        <v/>
      </c>
      <c r="H80" s="20" t="s">
        <v>3</v>
      </c>
      <c r="I80" s="18"/>
      <c r="J80" s="28" t="str">
        <f t="shared" si="9"/>
        <v/>
      </c>
      <c r="K80" s="24">
        <f>+IF($I80&gt;0,VLOOKUP($I80,'Lista de Precios'!$A$3:$H$2883,5,0),0)</f>
        <v>0</v>
      </c>
      <c r="L80" s="43"/>
      <c r="M80" s="43"/>
      <c r="N80" s="43"/>
      <c r="O80" s="43"/>
      <c r="P80" s="44"/>
      <c r="Q80" s="45"/>
      <c r="R80" s="43"/>
      <c r="S80" s="43"/>
      <c r="T80" s="43"/>
      <c r="U80" s="43"/>
      <c r="V80" s="43"/>
      <c r="W80" s="43"/>
      <c r="X80" s="43"/>
      <c r="Y80" s="37"/>
      <c r="Z80" s="40"/>
      <c r="AA80" s="41"/>
      <c r="AB80" s="37"/>
      <c r="AC80" s="43"/>
      <c r="AD80" s="43"/>
      <c r="AE80" s="43"/>
      <c r="AF80" s="43"/>
      <c r="AG80" s="43"/>
      <c r="AH80" s="42"/>
      <c r="AI80" s="42"/>
      <c r="AJ80" s="42"/>
      <c r="AK80" s="42"/>
      <c r="AL80" s="43"/>
      <c r="AM80" s="73">
        <f t="shared" si="15"/>
        <v>0</v>
      </c>
      <c r="AN80" s="71" t="str">
        <f>+IF($I80&gt;0,VLOOKUP($I80,'Lista de Precios'!$A$3:$H$2883,4,0),"")</f>
        <v/>
      </c>
      <c r="AO80" s="68" t="str">
        <f t="shared" ref="AO80:AO100" si="21">+IF(AM80&gt;0,AN80*AM80,"")</f>
        <v/>
      </c>
      <c r="AP80" s="7" t="str">
        <f>IF($I80&gt;0,VLOOKUP($I80,'Lista de Precios'!$A$3:$K$2883,10,0),"")</f>
        <v/>
      </c>
      <c r="AQ80" s="7" t="str">
        <f>IF($I80&gt;0,VLOOKUP($I80,'Lista de Precios'!$A$3:$M$4893,13,0),"")</f>
        <v/>
      </c>
      <c r="HQ80" s="134"/>
      <c r="HR80" s="134"/>
      <c r="HS80" s="134"/>
      <c r="HT80" s="134"/>
      <c r="HU80" s="134"/>
      <c r="HV80" s="134"/>
      <c r="HW80" s="134"/>
      <c r="HX80" s="134"/>
      <c r="HY80" s="134"/>
      <c r="HZ80" s="134"/>
      <c r="IA80" s="134"/>
      <c r="IB80" s="134"/>
      <c r="ID80" s="134"/>
      <c r="IE80" s="134"/>
      <c r="IF80" s="134"/>
      <c r="IG80" s="134"/>
      <c r="IH80" s="134"/>
      <c r="II80" s="134"/>
      <c r="IJ80" s="134"/>
      <c r="IK80" s="134"/>
      <c r="IL80" s="134"/>
      <c r="IM80" s="135"/>
      <c r="IN80" s="135"/>
      <c r="IO80" s="135"/>
      <c r="XEO80" s="7" t="str">
        <f t="shared" si="16"/>
        <v/>
      </c>
      <c r="XEP80" s="7" t="str">
        <f t="shared" si="17"/>
        <v/>
      </c>
      <c r="XEQ80" s="7" t="str">
        <f t="shared" si="18"/>
        <v/>
      </c>
      <c r="XER80" s="7" t="str">
        <f t="shared" si="19"/>
        <v/>
      </c>
    </row>
    <row r="81" spans="1:249 16369:16372" ht="23.25" customHeight="1" x14ac:dyDescent="0.25">
      <c r="A81" s="74">
        <f>IF($I81&gt;0,VLOOKUP(I81,'Lista de Precios'!$A$3:$L$2883,9,0),0)</f>
        <v>0</v>
      </c>
      <c r="B81" s="74">
        <f>IF($I81&gt;0,VLOOKUP(I81,'Lista de Precios'!$A$3:$H$2883,7,0),0)</f>
        <v>0</v>
      </c>
      <c r="C81" s="7" t="str">
        <f>IF($I81&gt;0,VLOOKUP(I81,'Lista de Precios'!$A$3:$H$2883,2,0),"")</f>
        <v/>
      </c>
      <c r="D81" s="7" t="str">
        <f>IF($I81&gt;0,VLOOKUP(I81,'Lista de Precios'!$A$3:$H$2883,3,0),"")</f>
        <v/>
      </c>
      <c r="E81" s="76" t="str">
        <f>IF($I81&gt;0,VLOOKUP(I81,'Lista de Precios'!$A$3:$H$2883,6,0),"")</f>
        <v/>
      </c>
      <c r="F81" s="76" t="str">
        <f>IF($I81&gt;0,VLOOKUP(I81,'Lista de Precios'!$A$3:$H$2883,8,0),"")</f>
        <v/>
      </c>
      <c r="G81" s="101" t="str">
        <f t="shared" si="20"/>
        <v/>
      </c>
      <c r="H81" s="20" t="s">
        <v>3</v>
      </c>
      <c r="I81" s="18"/>
      <c r="J81" s="28" t="str">
        <f t="shared" ref="J81:J100" si="22">+E81</f>
        <v/>
      </c>
      <c r="K81" s="24">
        <f>+IF($I81&gt;0,VLOOKUP($I81,'Lista de Precios'!$A$3:$H$2883,5,0),0)</f>
        <v>0</v>
      </c>
      <c r="L81" s="43"/>
      <c r="M81" s="43"/>
      <c r="N81" s="43"/>
      <c r="O81" s="37"/>
      <c r="P81" s="44"/>
      <c r="Q81" s="39"/>
      <c r="R81" s="37"/>
      <c r="S81" s="37"/>
      <c r="T81" s="37"/>
      <c r="U81" s="37"/>
      <c r="V81" s="37"/>
      <c r="W81" s="37"/>
      <c r="X81" s="37"/>
      <c r="Y81" s="37"/>
      <c r="Z81" s="40"/>
      <c r="AA81" s="41"/>
      <c r="AB81" s="37"/>
      <c r="AC81" s="43"/>
      <c r="AD81" s="43"/>
      <c r="AE81" s="43"/>
      <c r="AF81" s="43"/>
      <c r="AG81" s="43"/>
      <c r="AH81" s="42"/>
      <c r="AI81" s="42"/>
      <c r="AJ81" s="42"/>
      <c r="AK81" s="42"/>
      <c r="AL81" s="43"/>
      <c r="AM81" s="73">
        <f t="shared" si="15"/>
        <v>0</v>
      </c>
      <c r="AN81" s="71" t="str">
        <f>+IF($I81&gt;0,VLOOKUP($I81,'Lista de Precios'!$A$3:$H$2883,4,0),"")</f>
        <v/>
      </c>
      <c r="AO81" s="68" t="str">
        <f t="shared" si="21"/>
        <v/>
      </c>
      <c r="AP81" s="7" t="str">
        <f>IF($I81&gt;0,VLOOKUP($I81,'Lista de Precios'!$A$3:$K$2883,10,0),"")</f>
        <v/>
      </c>
      <c r="AQ81" s="7" t="str">
        <f>IF($I81&gt;0,VLOOKUP($I81,'Lista de Precios'!$A$3:$M$4893,13,0),"")</f>
        <v/>
      </c>
      <c r="HQ81" s="134"/>
      <c r="HR81" s="134"/>
      <c r="HS81" s="134"/>
      <c r="HT81" s="134"/>
      <c r="HU81" s="134"/>
      <c r="HV81" s="134"/>
      <c r="HW81" s="134"/>
      <c r="HX81" s="134"/>
      <c r="HY81" s="134"/>
      <c r="HZ81" s="134"/>
      <c r="IA81" s="134"/>
      <c r="IB81" s="134"/>
      <c r="ID81" s="134"/>
      <c r="IE81" s="134"/>
      <c r="IF81" s="134"/>
      <c r="IG81" s="134"/>
      <c r="IH81" s="134"/>
      <c r="II81" s="134"/>
      <c r="IJ81" s="134"/>
      <c r="IK81" s="134"/>
      <c r="IL81" s="134"/>
      <c r="IM81" s="135"/>
      <c r="IN81" s="135"/>
      <c r="IO81" s="135"/>
      <c r="XEO81" s="7" t="str">
        <f t="shared" si="16"/>
        <v/>
      </c>
      <c r="XEP81" s="7" t="str">
        <f t="shared" si="17"/>
        <v/>
      </c>
      <c r="XEQ81" s="7" t="str">
        <f t="shared" si="18"/>
        <v/>
      </c>
      <c r="XER81" s="7" t="str">
        <f t="shared" si="19"/>
        <v/>
      </c>
    </row>
    <row r="82" spans="1:249 16369:16372" ht="23.25" customHeight="1" x14ac:dyDescent="0.25">
      <c r="A82" s="74">
        <f>IF($I82&gt;0,VLOOKUP(I82,'Lista de Precios'!$A$3:$L$2883,9,0),0)</f>
        <v>0</v>
      </c>
      <c r="B82" s="74">
        <f>IF($I82&gt;0,VLOOKUP(I82,'Lista de Precios'!$A$3:$H$2883,7,0),0)</f>
        <v>0</v>
      </c>
      <c r="C82" s="7" t="str">
        <f>IF($I82&gt;0,VLOOKUP(I82,'Lista de Precios'!$A$3:$H$2883,2,0),"")</f>
        <v/>
      </c>
      <c r="D82" s="7" t="str">
        <f>IF($I82&gt;0,VLOOKUP(I82,'Lista de Precios'!$A$3:$H$2883,3,0),"")</f>
        <v/>
      </c>
      <c r="E82" s="76" t="str">
        <f>IF($I82&gt;0,VLOOKUP(I82,'Lista de Precios'!$A$3:$H$2883,6,0),"")</f>
        <v/>
      </c>
      <c r="F82" s="76" t="str">
        <f>IF($I82&gt;0,VLOOKUP(I82,'Lista de Precios'!$A$3:$H$2883,8,0),"")</f>
        <v/>
      </c>
      <c r="G82" s="101" t="str">
        <f t="shared" si="20"/>
        <v/>
      </c>
      <c r="H82" s="20" t="s">
        <v>3</v>
      </c>
      <c r="I82" s="18"/>
      <c r="J82" s="28" t="str">
        <f t="shared" si="22"/>
        <v/>
      </c>
      <c r="K82" s="24">
        <f>+IF($I82&gt;0,VLOOKUP($I82,'Lista de Precios'!$A$3:$H$2883,5,0),0)</f>
        <v>0</v>
      </c>
      <c r="L82" s="43"/>
      <c r="M82" s="43"/>
      <c r="N82" s="43"/>
      <c r="O82" s="43"/>
      <c r="P82" s="44"/>
      <c r="Q82" s="45"/>
      <c r="R82" s="43"/>
      <c r="S82" s="43"/>
      <c r="T82" s="43"/>
      <c r="U82" s="43"/>
      <c r="V82" s="43"/>
      <c r="W82" s="43"/>
      <c r="X82" s="43"/>
      <c r="Y82" s="37"/>
      <c r="Z82" s="40"/>
      <c r="AA82" s="41"/>
      <c r="AB82" s="37"/>
      <c r="AC82" s="37"/>
      <c r="AD82" s="37"/>
      <c r="AE82" s="37"/>
      <c r="AF82" s="37"/>
      <c r="AG82" s="43"/>
      <c r="AH82" s="42"/>
      <c r="AI82" s="42"/>
      <c r="AJ82" s="49"/>
      <c r="AK82" s="49"/>
      <c r="AL82" s="49"/>
      <c r="AM82" s="73">
        <f t="shared" si="15"/>
        <v>0</v>
      </c>
      <c r="AN82" s="71" t="str">
        <f>+IF($I82&gt;0,VLOOKUP($I82,'Lista de Precios'!$A$3:$H$2883,4,0),"")</f>
        <v/>
      </c>
      <c r="AO82" s="68" t="str">
        <f t="shared" si="21"/>
        <v/>
      </c>
      <c r="AP82" s="7" t="str">
        <f>IF($I82&gt;0,VLOOKUP($I82,'Lista de Precios'!$A$3:$K$2883,10,0),"")</f>
        <v/>
      </c>
      <c r="AQ82" s="7" t="str">
        <f>IF($I82&gt;0,VLOOKUP($I82,'Lista de Precios'!$A$3:$M$4893,13,0),"")</f>
        <v/>
      </c>
      <c r="HQ82" s="134"/>
      <c r="HR82" s="134"/>
      <c r="HS82" s="134"/>
      <c r="HT82" s="134"/>
      <c r="HU82" s="134"/>
      <c r="HV82" s="134"/>
      <c r="HW82" s="134"/>
      <c r="HX82" s="134"/>
      <c r="HY82" s="134"/>
      <c r="HZ82" s="134"/>
      <c r="IA82" s="134"/>
      <c r="IB82" s="134"/>
      <c r="ID82" s="134"/>
      <c r="IE82" s="134"/>
      <c r="IF82" s="134"/>
      <c r="IG82" s="134"/>
      <c r="IH82" s="134"/>
      <c r="II82" s="134"/>
      <c r="IJ82" s="134"/>
      <c r="IK82" s="134"/>
      <c r="IL82" s="134"/>
      <c r="IM82" s="135"/>
      <c r="IN82" s="135"/>
      <c r="IO82" s="135"/>
      <c r="XEO82" s="7" t="str">
        <f t="shared" si="16"/>
        <v/>
      </c>
      <c r="XEP82" s="7" t="str">
        <f t="shared" si="17"/>
        <v/>
      </c>
      <c r="XEQ82" s="7" t="str">
        <f t="shared" si="18"/>
        <v/>
      </c>
      <c r="XER82" s="7" t="str">
        <f t="shared" si="19"/>
        <v/>
      </c>
    </row>
    <row r="83" spans="1:249 16369:16372" ht="23.25" customHeight="1" x14ac:dyDescent="0.25">
      <c r="A83" s="74">
        <f>IF($I83&gt;0,VLOOKUP(I83,'Lista de Precios'!$A$3:$L$2883,9,0),0)</f>
        <v>0</v>
      </c>
      <c r="B83" s="74">
        <f>IF($I83&gt;0,VLOOKUP(I83,'Lista de Precios'!$A$3:$H$2883,7,0),0)</f>
        <v>0</v>
      </c>
      <c r="C83" s="7" t="str">
        <f>IF($I83&gt;0,VLOOKUP(I83,'Lista de Precios'!$A$3:$H$2883,2,0),"")</f>
        <v/>
      </c>
      <c r="D83" s="7" t="str">
        <f>IF($I83&gt;0,VLOOKUP(I83,'Lista de Precios'!$A$3:$H$2883,3,0),"")</f>
        <v/>
      </c>
      <c r="E83" s="76" t="str">
        <f>IF($I83&gt;0,VLOOKUP(I83,'Lista de Precios'!$A$3:$H$2883,6,0),"")</f>
        <v/>
      </c>
      <c r="F83" s="76" t="str">
        <f>IF($I83&gt;0,VLOOKUP(I83,'Lista de Precios'!$A$3:$H$2883,8,0),"")</f>
        <v/>
      </c>
      <c r="G83" s="101" t="str">
        <f t="shared" si="20"/>
        <v/>
      </c>
      <c r="H83" s="20" t="s">
        <v>3</v>
      </c>
      <c r="I83" s="18"/>
      <c r="J83" s="28" t="str">
        <f t="shared" si="22"/>
        <v/>
      </c>
      <c r="K83" s="24">
        <f>+IF($I83&gt;0,VLOOKUP($I83,'Lista de Precios'!$A$3:$H$2883,5,0),0)</f>
        <v>0</v>
      </c>
      <c r="L83" s="48"/>
      <c r="M83" s="48"/>
      <c r="N83" s="48"/>
      <c r="O83" s="48"/>
      <c r="P83" s="47"/>
      <c r="Q83" s="50"/>
      <c r="R83" s="43"/>
      <c r="S83" s="43"/>
      <c r="T83" s="43"/>
      <c r="U83" s="43"/>
      <c r="V83" s="43"/>
      <c r="W83" s="43"/>
      <c r="X83" s="43"/>
      <c r="Y83" s="37"/>
      <c r="Z83" s="40"/>
      <c r="AA83" s="41"/>
      <c r="AB83" s="37"/>
      <c r="AC83" s="37"/>
      <c r="AD83" s="37"/>
      <c r="AE83" s="37"/>
      <c r="AF83" s="37"/>
      <c r="AG83" s="43"/>
      <c r="AH83" s="42"/>
      <c r="AI83" s="42"/>
      <c r="AJ83" s="49"/>
      <c r="AK83" s="49"/>
      <c r="AL83" s="48"/>
      <c r="AM83" s="73">
        <f t="shared" si="15"/>
        <v>0</v>
      </c>
      <c r="AN83" s="71" t="str">
        <f>+IF($I83&gt;0,VLOOKUP($I83,'Lista de Precios'!$A$3:$H$2883,4,0),"")</f>
        <v/>
      </c>
      <c r="AO83" s="68" t="str">
        <f t="shared" si="21"/>
        <v/>
      </c>
      <c r="AP83" s="7" t="str">
        <f>IF($I83&gt;0,VLOOKUP($I83,'Lista de Precios'!$A$3:$K$2883,10,0),"")</f>
        <v/>
      </c>
      <c r="AQ83" s="7" t="str">
        <f>IF($I83&gt;0,VLOOKUP($I83,'Lista de Precios'!$A$3:$M$4893,13,0),"")</f>
        <v/>
      </c>
      <c r="HQ83" s="134"/>
      <c r="HR83" s="134"/>
      <c r="HS83" s="134"/>
      <c r="HT83" s="134"/>
      <c r="HU83" s="134"/>
      <c r="HV83" s="134"/>
      <c r="HW83" s="134"/>
      <c r="HX83" s="134"/>
      <c r="HY83" s="134"/>
      <c r="HZ83" s="134"/>
      <c r="IA83" s="134"/>
      <c r="IB83" s="134"/>
      <c r="ID83" s="134"/>
      <c r="IE83" s="134"/>
      <c r="IF83" s="134"/>
      <c r="IG83" s="134"/>
      <c r="IH83" s="134"/>
      <c r="II83" s="134"/>
      <c r="IJ83" s="134"/>
      <c r="IK83" s="134"/>
      <c r="IL83" s="134"/>
      <c r="IM83" s="135"/>
      <c r="IN83" s="135"/>
      <c r="IO83" s="135"/>
      <c r="XEO83" s="7" t="str">
        <f t="shared" si="16"/>
        <v/>
      </c>
      <c r="XEP83" s="7" t="str">
        <f t="shared" si="17"/>
        <v/>
      </c>
      <c r="XEQ83" s="7" t="str">
        <f t="shared" si="18"/>
        <v/>
      </c>
      <c r="XER83" s="7" t="str">
        <f t="shared" si="19"/>
        <v/>
      </c>
    </row>
    <row r="84" spans="1:249 16369:16372" ht="23.25" customHeight="1" x14ac:dyDescent="0.25">
      <c r="A84" s="74">
        <f>IF($I84&gt;0,VLOOKUP(I84,'Lista de Precios'!$A$3:$L$2883,9,0),0)</f>
        <v>0</v>
      </c>
      <c r="B84" s="74">
        <f>IF($I84&gt;0,VLOOKUP(I84,'Lista de Precios'!$A$3:$H$2883,7,0),0)</f>
        <v>0</v>
      </c>
      <c r="C84" s="7" t="str">
        <f>IF($I84&gt;0,VLOOKUP(I84,'Lista de Precios'!$A$3:$H$2883,2,0),"")</f>
        <v/>
      </c>
      <c r="D84" s="7" t="str">
        <f>IF($I84&gt;0,VLOOKUP(I84,'Lista de Precios'!$A$3:$H$2883,3,0),"")</f>
        <v/>
      </c>
      <c r="E84" s="76" t="str">
        <f>IF($I84&gt;0,VLOOKUP(I84,'Lista de Precios'!$A$3:$H$2883,6,0),"")</f>
        <v/>
      </c>
      <c r="F84" s="76" t="str">
        <f>IF($I84&gt;0,VLOOKUP(I84,'Lista de Precios'!$A$3:$H$2883,8,0),"")</f>
        <v/>
      </c>
      <c r="G84" s="101" t="str">
        <f t="shared" si="20"/>
        <v/>
      </c>
      <c r="H84" s="20" t="s">
        <v>3</v>
      </c>
      <c r="I84" s="18"/>
      <c r="J84" s="28" t="str">
        <f t="shared" si="22"/>
        <v/>
      </c>
      <c r="K84" s="24">
        <f>+IF($I84&gt;0,VLOOKUP($I84,'Lista de Precios'!$A$3:$H$2883,5,0),0)</f>
        <v>0</v>
      </c>
      <c r="L84" s="51"/>
      <c r="M84" s="51"/>
      <c r="N84" s="51"/>
      <c r="O84" s="48"/>
      <c r="P84" s="52"/>
      <c r="Q84" s="50"/>
      <c r="R84" s="43"/>
      <c r="S84" s="43"/>
      <c r="T84" s="43"/>
      <c r="U84" s="43"/>
      <c r="V84" s="43"/>
      <c r="W84" s="43"/>
      <c r="X84" s="43"/>
      <c r="Y84" s="43"/>
      <c r="Z84" s="44"/>
      <c r="AA84" s="53"/>
      <c r="AB84" s="48"/>
      <c r="AC84" s="48"/>
      <c r="AD84" s="48"/>
      <c r="AE84" s="48"/>
      <c r="AF84" s="48"/>
      <c r="AG84" s="54"/>
      <c r="AH84" s="54"/>
      <c r="AI84" s="54"/>
      <c r="AJ84" s="54"/>
      <c r="AK84" s="54"/>
      <c r="AL84" s="54"/>
      <c r="AM84" s="73">
        <f t="shared" si="15"/>
        <v>0</v>
      </c>
      <c r="AN84" s="71" t="str">
        <f>+IF($I84&gt;0,VLOOKUP($I84,'Lista de Precios'!$A$3:$H$2883,4,0),"")</f>
        <v/>
      </c>
      <c r="AO84" s="68" t="str">
        <f t="shared" si="21"/>
        <v/>
      </c>
      <c r="AP84" s="7" t="str">
        <f>IF($I84&gt;0,VLOOKUP($I84,'Lista de Precios'!$A$3:$K$2883,10,0),"")</f>
        <v/>
      </c>
      <c r="AQ84" s="7" t="str">
        <f>IF($I84&gt;0,VLOOKUP($I84,'Lista de Precios'!$A$3:$M$4893,13,0),"")</f>
        <v/>
      </c>
      <c r="HQ84" s="134"/>
      <c r="HR84" s="134"/>
      <c r="HS84" s="134"/>
      <c r="HT84" s="134"/>
      <c r="HU84" s="134"/>
      <c r="HV84" s="134"/>
      <c r="HW84" s="134"/>
      <c r="HX84" s="134"/>
      <c r="HY84" s="134"/>
      <c r="HZ84" s="134"/>
      <c r="IA84" s="134"/>
      <c r="IB84" s="134"/>
      <c r="ID84" s="134"/>
      <c r="IE84" s="134"/>
      <c r="IF84" s="134"/>
      <c r="IG84" s="134"/>
      <c r="IH84" s="134"/>
      <c r="II84" s="134"/>
      <c r="IJ84" s="134"/>
      <c r="IK84" s="134"/>
      <c r="IL84" s="134"/>
      <c r="IM84" s="135"/>
      <c r="IN84" s="135"/>
      <c r="IO84" s="135"/>
      <c r="XEO84" s="7" t="str">
        <f t="shared" si="16"/>
        <v/>
      </c>
      <c r="XEP84" s="7" t="str">
        <f t="shared" si="17"/>
        <v/>
      </c>
      <c r="XEQ84" s="7" t="str">
        <f t="shared" si="18"/>
        <v/>
      </c>
      <c r="XER84" s="7" t="str">
        <f t="shared" si="19"/>
        <v/>
      </c>
    </row>
    <row r="85" spans="1:249 16369:16372" ht="23.25" customHeight="1" x14ac:dyDescent="0.25">
      <c r="A85" s="74">
        <f>IF($I85&gt;0,VLOOKUP(I85,'Lista de Precios'!$A$3:$L$2883,9,0),0)</f>
        <v>0</v>
      </c>
      <c r="B85" s="74">
        <f>IF($I85&gt;0,VLOOKUP(I85,'Lista de Precios'!$A$3:$H$2883,7,0),0)</f>
        <v>0</v>
      </c>
      <c r="C85" s="7" t="str">
        <f>IF($I85&gt;0,VLOOKUP(I85,'Lista de Precios'!$A$3:$H$2883,2,0),"")</f>
        <v/>
      </c>
      <c r="D85" s="7" t="str">
        <f>IF($I85&gt;0,VLOOKUP(I85,'Lista de Precios'!$A$3:$H$2883,3,0),"")</f>
        <v/>
      </c>
      <c r="E85" s="76" t="str">
        <f>IF($I85&gt;0,VLOOKUP(I85,'Lista de Precios'!$A$3:$H$2883,6,0),"")</f>
        <v/>
      </c>
      <c r="F85" s="76" t="str">
        <f>IF($I85&gt;0,VLOOKUP(I85,'Lista de Precios'!$A$3:$H$2883,8,0),"")</f>
        <v/>
      </c>
      <c r="G85" s="101" t="str">
        <f t="shared" si="20"/>
        <v/>
      </c>
      <c r="H85" s="20" t="s">
        <v>3</v>
      </c>
      <c r="I85" s="18"/>
      <c r="J85" s="28" t="str">
        <f t="shared" si="22"/>
        <v/>
      </c>
      <c r="K85" s="24">
        <f>+IF($I85&gt;0,VLOOKUP($I85,'Lista de Precios'!$A$3:$H$2883,5,0),0)</f>
        <v>0</v>
      </c>
      <c r="L85" s="54"/>
      <c r="M85" s="54"/>
      <c r="N85" s="54"/>
      <c r="O85" s="48"/>
      <c r="P85" s="55"/>
      <c r="Q85" s="50"/>
      <c r="R85" s="43"/>
      <c r="S85" s="43"/>
      <c r="T85" s="43"/>
      <c r="U85" s="43"/>
      <c r="V85" s="43"/>
      <c r="W85" s="43"/>
      <c r="X85" s="43"/>
      <c r="Y85" s="43"/>
      <c r="Z85" s="44"/>
      <c r="AA85" s="53"/>
      <c r="AB85" s="48"/>
      <c r="AC85" s="48"/>
      <c r="AD85" s="48"/>
      <c r="AE85" s="48"/>
      <c r="AF85" s="48"/>
      <c r="AG85" s="54"/>
      <c r="AH85" s="54"/>
      <c r="AI85" s="54"/>
      <c r="AJ85" s="54"/>
      <c r="AK85" s="54"/>
      <c r="AL85" s="54"/>
      <c r="AM85" s="73">
        <f t="shared" si="15"/>
        <v>0</v>
      </c>
      <c r="AN85" s="71" t="str">
        <f>+IF($I85&gt;0,VLOOKUP($I85,'Lista de Precios'!$A$3:$H$2883,4,0),"")</f>
        <v/>
      </c>
      <c r="AO85" s="68" t="str">
        <f t="shared" si="21"/>
        <v/>
      </c>
      <c r="AP85" s="7" t="str">
        <f>IF($I85&gt;0,VLOOKUP($I85,'Lista de Precios'!$A$3:$K$2883,10,0),"")</f>
        <v/>
      </c>
      <c r="AQ85" s="7" t="str">
        <f>IF($I85&gt;0,VLOOKUP($I85,'Lista de Precios'!$A$3:$M$4893,13,0),"")</f>
        <v/>
      </c>
      <c r="HQ85" s="134"/>
      <c r="HR85" s="134"/>
      <c r="HS85" s="134"/>
      <c r="HT85" s="134"/>
      <c r="HU85" s="134"/>
      <c r="HV85" s="134"/>
      <c r="HW85" s="134"/>
      <c r="HX85" s="134"/>
      <c r="HY85" s="134"/>
      <c r="HZ85" s="134"/>
      <c r="IA85" s="134"/>
      <c r="IB85" s="134"/>
      <c r="ID85" s="134"/>
      <c r="IE85" s="134"/>
      <c r="IF85" s="134"/>
      <c r="IG85" s="134"/>
      <c r="IH85" s="134"/>
      <c r="II85" s="134"/>
      <c r="IJ85" s="134"/>
      <c r="IK85" s="134"/>
      <c r="IL85" s="134"/>
      <c r="IM85" s="135"/>
      <c r="IN85" s="135"/>
      <c r="IO85" s="135"/>
      <c r="XEO85" s="7" t="str">
        <f t="shared" si="16"/>
        <v/>
      </c>
      <c r="XEP85" s="7" t="str">
        <f t="shared" si="17"/>
        <v/>
      </c>
      <c r="XEQ85" s="7" t="str">
        <f t="shared" si="18"/>
        <v/>
      </c>
      <c r="XER85" s="7" t="str">
        <f t="shared" si="19"/>
        <v/>
      </c>
    </row>
    <row r="86" spans="1:249 16369:16372" ht="23.25" customHeight="1" x14ac:dyDescent="0.25">
      <c r="A86" s="74">
        <f>IF($I86&gt;0,VLOOKUP(I86,'Lista de Precios'!$A$3:$L$2883,9,0),0)</f>
        <v>0</v>
      </c>
      <c r="B86" s="74">
        <f>IF($I86&gt;0,VLOOKUP(I86,'Lista de Precios'!$A$3:$H$2883,7,0),0)</f>
        <v>0</v>
      </c>
      <c r="C86" s="7" t="str">
        <f>IF($I86&gt;0,VLOOKUP(I86,'Lista de Precios'!$A$3:$H$2883,2,0),"")</f>
        <v/>
      </c>
      <c r="D86" s="7" t="str">
        <f>IF($I86&gt;0,VLOOKUP(I86,'Lista de Precios'!$A$3:$H$2883,3,0),"")</f>
        <v/>
      </c>
      <c r="E86" s="76" t="str">
        <f>IF($I86&gt;0,VLOOKUP(I86,'Lista de Precios'!$A$3:$H$2883,6,0),"")</f>
        <v/>
      </c>
      <c r="F86" s="76" t="str">
        <f>IF($I86&gt;0,VLOOKUP(I86,'Lista de Precios'!$A$3:$H$2883,8,0),"")</f>
        <v/>
      </c>
      <c r="G86" s="101" t="str">
        <f t="shared" si="20"/>
        <v/>
      </c>
      <c r="H86" s="20" t="s">
        <v>3</v>
      </c>
      <c r="I86" s="18"/>
      <c r="J86" s="28" t="str">
        <f t="shared" si="22"/>
        <v/>
      </c>
      <c r="K86" s="24">
        <f>+IF($I86&gt;0,VLOOKUP($I86,'Lista de Precios'!$A$3:$H$2883,5,0),0)</f>
        <v>0</v>
      </c>
      <c r="L86" s="43"/>
      <c r="M86" s="43"/>
      <c r="N86" s="43"/>
      <c r="O86" s="48"/>
      <c r="P86" s="44"/>
      <c r="Q86" s="50"/>
      <c r="R86" s="43"/>
      <c r="S86" s="43"/>
      <c r="T86" s="43"/>
      <c r="U86" s="43"/>
      <c r="V86" s="43"/>
      <c r="W86" s="43"/>
      <c r="X86" s="43"/>
      <c r="Y86" s="43"/>
      <c r="Z86" s="44"/>
      <c r="AA86" s="53"/>
      <c r="AB86" s="48"/>
      <c r="AC86" s="48"/>
      <c r="AD86" s="48"/>
      <c r="AE86" s="49"/>
      <c r="AF86" s="48"/>
      <c r="AG86" s="43"/>
      <c r="AH86" s="42"/>
      <c r="AI86" s="42"/>
      <c r="AJ86" s="42"/>
      <c r="AK86" s="42"/>
      <c r="AL86" s="42"/>
      <c r="AM86" s="73">
        <f t="shared" si="15"/>
        <v>0</v>
      </c>
      <c r="AN86" s="71" t="str">
        <f>+IF($I86&gt;0,VLOOKUP($I86,'Lista de Precios'!$A$3:$H$2883,4,0),"")</f>
        <v/>
      </c>
      <c r="AO86" s="68" t="str">
        <f t="shared" si="21"/>
        <v/>
      </c>
      <c r="AP86" s="7" t="str">
        <f>IF($I86&gt;0,VLOOKUP($I86,'Lista de Precios'!$A$3:$K$2883,10,0),"")</f>
        <v/>
      </c>
      <c r="AQ86" s="7" t="str">
        <f>IF($I86&gt;0,VLOOKUP($I86,'Lista de Precios'!$A$3:$M$4893,13,0),"")</f>
        <v/>
      </c>
      <c r="HQ86" s="134"/>
      <c r="HR86" s="134"/>
      <c r="HS86" s="134"/>
      <c r="HT86" s="134"/>
      <c r="HU86" s="134"/>
      <c r="HV86" s="134"/>
      <c r="HW86" s="134"/>
      <c r="HX86" s="134"/>
      <c r="HY86" s="134"/>
      <c r="HZ86" s="134"/>
      <c r="IA86" s="134"/>
      <c r="IB86" s="134"/>
      <c r="ID86" s="134"/>
      <c r="IE86" s="134"/>
      <c r="IF86" s="134"/>
      <c r="IG86" s="134"/>
      <c r="IH86" s="134"/>
      <c r="II86" s="134"/>
      <c r="IJ86" s="134"/>
      <c r="IK86" s="134"/>
      <c r="IL86" s="134"/>
      <c r="IM86" s="135"/>
      <c r="IN86" s="135"/>
      <c r="IO86" s="135"/>
      <c r="XEO86" s="7" t="str">
        <f t="shared" si="16"/>
        <v/>
      </c>
      <c r="XEP86" s="7" t="str">
        <f t="shared" si="17"/>
        <v/>
      </c>
      <c r="XEQ86" s="7" t="str">
        <f t="shared" si="18"/>
        <v/>
      </c>
      <c r="XER86" s="7" t="str">
        <f t="shared" si="19"/>
        <v/>
      </c>
    </row>
    <row r="87" spans="1:249 16369:16372" ht="23.25" customHeight="1" x14ac:dyDescent="0.25">
      <c r="A87" s="74">
        <f>IF($I87&gt;0,VLOOKUP(I87,'Lista de Precios'!$A$3:$L$2883,9,0),0)</f>
        <v>0</v>
      </c>
      <c r="B87" s="74">
        <f>IF($I87&gt;0,VLOOKUP(I87,'Lista de Precios'!$A$3:$H$2883,7,0),0)</f>
        <v>0</v>
      </c>
      <c r="C87" s="7" t="str">
        <f>IF($I87&gt;0,VLOOKUP(I87,'Lista de Precios'!$A$3:$H$2883,2,0),"")</f>
        <v/>
      </c>
      <c r="D87" s="7" t="str">
        <f>IF($I87&gt;0,VLOOKUP(I87,'Lista de Precios'!$A$3:$H$2883,3,0),"")</f>
        <v/>
      </c>
      <c r="E87" s="76" t="str">
        <f>IF($I87&gt;0,VLOOKUP(I87,'Lista de Precios'!$A$3:$H$2883,6,0),"")</f>
        <v/>
      </c>
      <c r="F87" s="76" t="str">
        <f>IF($I87&gt;0,VLOOKUP(I87,'Lista de Precios'!$A$3:$H$2883,8,0),"")</f>
        <v/>
      </c>
      <c r="G87" s="101" t="str">
        <f t="shared" si="20"/>
        <v/>
      </c>
      <c r="H87" s="20" t="s">
        <v>3</v>
      </c>
      <c r="I87" s="18"/>
      <c r="J87" s="28" t="str">
        <f t="shared" si="22"/>
        <v/>
      </c>
      <c r="K87" s="24">
        <f>+IF($I87&gt;0,VLOOKUP($I87,'Lista de Precios'!$A$3:$H$2883,5,0),0)</f>
        <v>0</v>
      </c>
      <c r="L87" s="54"/>
      <c r="M87" s="54"/>
      <c r="N87" s="54"/>
      <c r="O87" s="43"/>
      <c r="P87" s="55"/>
      <c r="Q87" s="45"/>
      <c r="R87" s="43"/>
      <c r="S87" s="43"/>
      <c r="T87" s="43"/>
      <c r="U87" s="43"/>
      <c r="V87" s="43"/>
      <c r="W87" s="43"/>
      <c r="X87" s="43"/>
      <c r="Y87" s="43"/>
      <c r="Z87" s="44"/>
      <c r="AA87" s="56"/>
      <c r="AB87" s="43"/>
      <c r="AC87" s="43"/>
      <c r="AD87" s="43"/>
      <c r="AE87" s="43"/>
      <c r="AF87" s="43"/>
      <c r="AG87" s="54"/>
      <c r="AH87" s="54"/>
      <c r="AI87" s="54"/>
      <c r="AJ87" s="54"/>
      <c r="AK87" s="54"/>
      <c r="AL87" s="54"/>
      <c r="AM87" s="73">
        <f t="shared" si="15"/>
        <v>0</v>
      </c>
      <c r="AN87" s="71" t="str">
        <f>+IF($I87&gt;0,VLOOKUP($I87,'Lista de Precios'!$A$3:$H$2883,4,0),"")</f>
        <v/>
      </c>
      <c r="AO87" s="68" t="str">
        <f t="shared" si="21"/>
        <v/>
      </c>
      <c r="AP87" s="7" t="str">
        <f>IF($I87&gt;0,VLOOKUP($I87,'Lista de Precios'!$A$3:$K$2883,10,0),"")</f>
        <v/>
      </c>
      <c r="AQ87" s="7" t="str">
        <f>IF($I87&gt;0,VLOOKUP($I87,'Lista de Precios'!$A$3:$M$4893,13,0),"")</f>
        <v/>
      </c>
      <c r="HQ87" s="134"/>
      <c r="HR87" s="134"/>
      <c r="HS87" s="134"/>
      <c r="HT87" s="134"/>
      <c r="HU87" s="134"/>
      <c r="HV87" s="134"/>
      <c r="HW87" s="134"/>
      <c r="HX87" s="134"/>
      <c r="HY87" s="134"/>
      <c r="HZ87" s="134"/>
      <c r="IA87" s="134"/>
      <c r="IB87" s="134"/>
      <c r="ID87" s="134"/>
      <c r="IE87" s="134"/>
      <c r="IF87" s="134"/>
      <c r="IG87" s="134"/>
      <c r="IH87" s="134"/>
      <c r="II87" s="134"/>
      <c r="IJ87" s="134"/>
      <c r="IK87" s="134"/>
      <c r="IL87" s="134"/>
      <c r="IM87" s="135"/>
      <c r="IN87" s="135"/>
      <c r="IO87" s="135"/>
      <c r="XEO87" s="7" t="str">
        <f t="shared" si="16"/>
        <v/>
      </c>
      <c r="XEP87" s="7" t="str">
        <f t="shared" si="17"/>
        <v/>
      </c>
      <c r="XEQ87" s="7" t="str">
        <f t="shared" si="18"/>
        <v/>
      </c>
      <c r="XER87" s="7" t="str">
        <f t="shared" si="19"/>
        <v/>
      </c>
    </row>
    <row r="88" spans="1:249 16369:16372" ht="23.25" customHeight="1" x14ac:dyDescent="0.25">
      <c r="A88" s="74">
        <f>IF($I88&gt;0,VLOOKUP(I88,'Lista de Precios'!$A$3:$L$2883,9,0),0)</f>
        <v>0</v>
      </c>
      <c r="B88" s="74">
        <f>IF($I88&gt;0,VLOOKUP(I88,'Lista de Precios'!$A$3:$H$2883,7,0),0)</f>
        <v>0</v>
      </c>
      <c r="C88" s="7" t="str">
        <f>IF($I88&gt;0,VLOOKUP(I88,'Lista de Precios'!$A$3:$H$2883,2,0),"")</f>
        <v/>
      </c>
      <c r="D88" s="7" t="str">
        <f>IF($I88&gt;0,VLOOKUP(I88,'Lista de Precios'!$A$3:$H$2883,3,0),"")</f>
        <v/>
      </c>
      <c r="E88" s="76" t="str">
        <f>IF($I88&gt;0,VLOOKUP(I88,'Lista de Precios'!$A$3:$H$2883,6,0),"")</f>
        <v/>
      </c>
      <c r="F88" s="76" t="str">
        <f>IF($I88&gt;0,VLOOKUP(I88,'Lista de Precios'!$A$3:$H$2883,8,0),"")</f>
        <v/>
      </c>
      <c r="G88" s="101" t="str">
        <f t="shared" si="20"/>
        <v/>
      </c>
      <c r="H88" s="20" t="s">
        <v>3</v>
      </c>
      <c r="I88" s="18"/>
      <c r="J88" s="28" t="str">
        <f t="shared" si="22"/>
        <v/>
      </c>
      <c r="K88" s="24">
        <f>+IF($I88&gt;0,VLOOKUP($I88,'Lista de Precios'!$A$3:$H$2883,5,0),0)</f>
        <v>0</v>
      </c>
      <c r="L88" s="37"/>
      <c r="M88" s="37"/>
      <c r="N88" s="37"/>
      <c r="O88" s="37"/>
      <c r="P88" s="40"/>
      <c r="Q88" s="39"/>
      <c r="R88" s="37"/>
      <c r="S88" s="37"/>
      <c r="T88" s="37"/>
      <c r="U88" s="37"/>
      <c r="V88" s="37"/>
      <c r="W88" s="37"/>
      <c r="X88" s="37"/>
      <c r="Y88" s="37"/>
      <c r="Z88" s="40"/>
      <c r="AA88" s="41"/>
      <c r="AB88" s="37"/>
      <c r="AC88" s="37"/>
      <c r="AD88" s="37"/>
      <c r="AE88" s="37"/>
      <c r="AF88" s="37"/>
      <c r="AG88" s="37"/>
      <c r="AH88" s="36"/>
      <c r="AI88" s="36"/>
      <c r="AJ88" s="36"/>
      <c r="AK88" s="42"/>
      <c r="AL88" s="36"/>
      <c r="AM88" s="73">
        <f t="shared" si="15"/>
        <v>0</v>
      </c>
      <c r="AN88" s="71" t="str">
        <f>+IF($I88&gt;0,VLOOKUP($I88,'Lista de Precios'!$A$3:$H$2883,4,0),"")</f>
        <v/>
      </c>
      <c r="AO88" s="68" t="str">
        <f t="shared" si="21"/>
        <v/>
      </c>
      <c r="AP88" s="7" t="str">
        <f>IF($I88&gt;0,VLOOKUP($I88,'Lista de Precios'!$A$3:$K$2883,10,0),"")</f>
        <v/>
      </c>
      <c r="AQ88" s="7" t="str">
        <f>IF($I88&gt;0,VLOOKUP($I88,'Lista de Precios'!$A$3:$M$4893,13,0),"")</f>
        <v/>
      </c>
      <c r="HQ88" s="134"/>
      <c r="HR88" s="134"/>
      <c r="HS88" s="134"/>
      <c r="HT88" s="134"/>
      <c r="HU88" s="134"/>
      <c r="HV88" s="134"/>
      <c r="HW88" s="134"/>
      <c r="HX88" s="134"/>
      <c r="HY88" s="134"/>
      <c r="HZ88" s="134"/>
      <c r="IA88" s="134"/>
      <c r="IB88" s="134"/>
      <c r="ID88" s="134"/>
      <c r="IE88" s="134"/>
      <c r="IF88" s="134"/>
      <c r="IG88" s="134"/>
      <c r="IH88" s="134"/>
      <c r="II88" s="134"/>
      <c r="IJ88" s="134"/>
      <c r="IK88" s="134"/>
      <c r="IL88" s="134"/>
      <c r="IM88" s="135"/>
      <c r="IN88" s="135"/>
      <c r="IO88" s="135"/>
      <c r="XEO88" s="7" t="str">
        <f t="shared" si="16"/>
        <v/>
      </c>
      <c r="XEP88" s="7" t="str">
        <f t="shared" si="17"/>
        <v/>
      </c>
      <c r="XEQ88" s="7" t="str">
        <f t="shared" si="18"/>
        <v/>
      </c>
      <c r="XER88" s="7" t="str">
        <f t="shared" si="19"/>
        <v/>
      </c>
    </row>
    <row r="89" spans="1:249 16369:16372" ht="23.25" customHeight="1" x14ac:dyDescent="0.25">
      <c r="A89" s="74">
        <f>IF($I89&gt;0,VLOOKUP(I89,'Lista de Precios'!$A$3:$L$2883,9,0),0)</f>
        <v>0</v>
      </c>
      <c r="B89" s="74">
        <f>IF($I89&gt;0,VLOOKUP(I89,'Lista de Precios'!$A$3:$H$2883,7,0),0)</f>
        <v>0</v>
      </c>
      <c r="C89" s="7" t="str">
        <f>IF($I89&gt;0,VLOOKUP(I89,'Lista de Precios'!$A$3:$H$2883,2,0),"")</f>
        <v/>
      </c>
      <c r="D89" s="7" t="str">
        <f>IF($I89&gt;0,VLOOKUP(I89,'Lista de Precios'!$A$3:$H$2883,3,0),"")</f>
        <v/>
      </c>
      <c r="E89" s="76" t="str">
        <f>IF($I89&gt;0,VLOOKUP(I89,'Lista de Precios'!$A$3:$H$2883,6,0),"")</f>
        <v/>
      </c>
      <c r="F89" s="76" t="str">
        <f>IF($I89&gt;0,VLOOKUP(I89,'Lista de Precios'!$A$3:$H$2883,8,0),"")</f>
        <v/>
      </c>
      <c r="G89" s="101" t="str">
        <f t="shared" si="20"/>
        <v/>
      </c>
      <c r="H89" s="20" t="s">
        <v>3</v>
      </c>
      <c r="I89" s="18"/>
      <c r="J89" s="28" t="str">
        <f t="shared" si="22"/>
        <v/>
      </c>
      <c r="K89" s="24">
        <f>+IF($I89&gt;0,VLOOKUP($I89,'Lista de Precios'!$A$3:$H$2883,5,0),0)</f>
        <v>0</v>
      </c>
      <c r="L89" s="37"/>
      <c r="M89" s="37"/>
      <c r="N89" s="37"/>
      <c r="O89" s="37"/>
      <c r="P89" s="40"/>
      <c r="Q89" s="39"/>
      <c r="R89" s="37"/>
      <c r="S89" s="37"/>
      <c r="T89" s="37"/>
      <c r="U89" s="37"/>
      <c r="V89" s="37"/>
      <c r="W89" s="37"/>
      <c r="X89" s="37"/>
      <c r="Y89" s="37"/>
      <c r="Z89" s="40"/>
      <c r="AA89" s="41"/>
      <c r="AB89" s="37"/>
      <c r="AC89" s="37"/>
      <c r="AD89" s="37"/>
      <c r="AE89" s="37"/>
      <c r="AF89" s="37"/>
      <c r="AG89" s="37"/>
      <c r="AH89" s="36"/>
      <c r="AI89" s="36"/>
      <c r="AJ89" s="36"/>
      <c r="AK89" s="42"/>
      <c r="AL89" s="36"/>
      <c r="AM89" s="73">
        <f t="shared" si="15"/>
        <v>0</v>
      </c>
      <c r="AN89" s="71" t="str">
        <f>+IF($I89&gt;0,VLOOKUP($I89,'Lista de Precios'!$A$3:$H$2883,4,0),"")</f>
        <v/>
      </c>
      <c r="AO89" s="68" t="str">
        <f t="shared" si="21"/>
        <v/>
      </c>
      <c r="AP89" s="7" t="str">
        <f>IF($I89&gt;0,VLOOKUP($I89,'Lista de Precios'!$A$3:$K$2883,10,0),"")</f>
        <v/>
      </c>
      <c r="AQ89" s="7" t="str">
        <f>IF($I89&gt;0,VLOOKUP($I89,'Lista de Precios'!$A$3:$M$4893,13,0),"")</f>
        <v/>
      </c>
      <c r="HQ89" s="134"/>
      <c r="HR89" s="134"/>
      <c r="HS89" s="134"/>
      <c r="HT89" s="134"/>
      <c r="HU89" s="134"/>
      <c r="HV89" s="134"/>
      <c r="HW89" s="134"/>
      <c r="HX89" s="134"/>
      <c r="HY89" s="134"/>
      <c r="HZ89" s="134"/>
      <c r="IA89" s="134"/>
      <c r="IB89" s="134"/>
      <c r="ID89" s="134"/>
      <c r="IE89" s="134"/>
      <c r="IF89" s="134"/>
      <c r="IG89" s="134"/>
      <c r="IH89" s="134"/>
      <c r="II89" s="134"/>
      <c r="IJ89" s="134"/>
      <c r="IK89" s="134"/>
      <c r="IL89" s="134"/>
      <c r="IM89" s="135"/>
      <c r="IN89" s="135"/>
      <c r="IO89" s="135"/>
      <c r="XEO89" s="7" t="str">
        <f t="shared" si="16"/>
        <v/>
      </c>
      <c r="XEP89" s="7" t="str">
        <f t="shared" si="17"/>
        <v/>
      </c>
      <c r="XEQ89" s="7" t="str">
        <f t="shared" si="18"/>
        <v/>
      </c>
      <c r="XER89" s="7" t="str">
        <f t="shared" si="19"/>
        <v/>
      </c>
    </row>
    <row r="90" spans="1:249 16369:16372" ht="23.25" customHeight="1" x14ac:dyDescent="0.25">
      <c r="A90" s="74">
        <f>IF($I90&gt;0,VLOOKUP(I90,'Lista de Precios'!$A$3:$L$2883,9,0),0)</f>
        <v>0</v>
      </c>
      <c r="B90" s="74">
        <f>IF($I90&gt;0,VLOOKUP(I90,'Lista de Precios'!$A$3:$H$2883,7,0),0)</f>
        <v>0</v>
      </c>
      <c r="C90" s="7" t="str">
        <f>IF($I90&gt;0,VLOOKUP(I90,'Lista de Precios'!$A$3:$H$2883,2,0),"")</f>
        <v/>
      </c>
      <c r="D90" s="7" t="str">
        <f>IF($I90&gt;0,VLOOKUP(I90,'Lista de Precios'!$A$3:$H$2883,3,0),"")</f>
        <v/>
      </c>
      <c r="E90" s="76" t="str">
        <f>IF($I90&gt;0,VLOOKUP(I90,'Lista de Precios'!$A$3:$H$2883,6,0),"")</f>
        <v/>
      </c>
      <c r="F90" s="76" t="str">
        <f>IF($I90&gt;0,VLOOKUP(I90,'Lista de Precios'!$A$3:$H$2883,8,0),"")</f>
        <v/>
      </c>
      <c r="G90" s="101" t="str">
        <f t="shared" si="20"/>
        <v/>
      </c>
      <c r="H90" s="20" t="s">
        <v>3</v>
      </c>
      <c r="I90" s="18"/>
      <c r="J90" s="28" t="str">
        <f t="shared" si="22"/>
        <v/>
      </c>
      <c r="K90" s="24">
        <f>+IF($I90&gt;0,VLOOKUP($I90,'Lista de Precios'!$A$3:$H$2883,5,0),0)</f>
        <v>0</v>
      </c>
      <c r="L90" s="36"/>
      <c r="M90" s="36"/>
      <c r="N90" s="36"/>
      <c r="O90" s="37"/>
      <c r="P90" s="38"/>
      <c r="Q90" s="39"/>
      <c r="R90" s="37"/>
      <c r="S90" s="37"/>
      <c r="T90" s="37"/>
      <c r="U90" s="37"/>
      <c r="V90" s="37"/>
      <c r="W90" s="37"/>
      <c r="X90" s="37"/>
      <c r="Y90" s="37"/>
      <c r="Z90" s="40"/>
      <c r="AA90" s="41"/>
      <c r="AB90" s="37"/>
      <c r="AC90" s="37"/>
      <c r="AD90" s="37"/>
      <c r="AE90" s="37"/>
      <c r="AF90" s="37"/>
      <c r="AG90" s="37"/>
      <c r="AH90" s="36"/>
      <c r="AI90" s="36"/>
      <c r="AJ90" s="36"/>
      <c r="AK90" s="42"/>
      <c r="AL90" s="42"/>
      <c r="AM90" s="73">
        <f t="shared" si="15"/>
        <v>0</v>
      </c>
      <c r="AN90" s="71" t="str">
        <f>+IF($I90&gt;0,VLOOKUP($I90,'Lista de Precios'!$A$3:$H$2883,4,0),"")</f>
        <v/>
      </c>
      <c r="AO90" s="68" t="str">
        <f t="shared" si="21"/>
        <v/>
      </c>
      <c r="AP90" s="7" t="str">
        <f>IF($I90&gt;0,VLOOKUP($I90,'Lista de Precios'!$A$3:$K$2883,10,0),"")</f>
        <v/>
      </c>
      <c r="AQ90" s="7" t="str">
        <f>IF($I90&gt;0,VLOOKUP($I90,'Lista de Precios'!$A$3:$M$4893,13,0),"")</f>
        <v/>
      </c>
      <c r="HQ90" s="134"/>
      <c r="HR90" s="134"/>
      <c r="HS90" s="134"/>
      <c r="HT90" s="134"/>
      <c r="HU90" s="134"/>
      <c r="HV90" s="134"/>
      <c r="HW90" s="134"/>
      <c r="HX90" s="134"/>
      <c r="HY90" s="134"/>
      <c r="HZ90" s="134"/>
      <c r="IA90" s="134"/>
      <c r="IB90" s="134"/>
      <c r="ID90" s="134"/>
      <c r="IE90" s="134"/>
      <c r="IF90" s="134"/>
      <c r="IG90" s="134"/>
      <c r="IH90" s="134"/>
      <c r="II90" s="134"/>
      <c r="IJ90" s="134"/>
      <c r="IK90" s="134"/>
      <c r="IL90" s="134"/>
      <c r="IM90" s="135"/>
      <c r="IN90" s="135"/>
      <c r="IO90" s="135"/>
      <c r="XEO90" s="7" t="str">
        <f t="shared" si="16"/>
        <v/>
      </c>
      <c r="XEP90" s="7" t="str">
        <f t="shared" si="17"/>
        <v/>
      </c>
      <c r="XEQ90" s="7" t="str">
        <f t="shared" si="18"/>
        <v/>
      </c>
      <c r="XER90" s="7" t="str">
        <f t="shared" si="19"/>
        <v/>
      </c>
    </row>
    <row r="91" spans="1:249 16369:16372" ht="23.25" customHeight="1" x14ac:dyDescent="0.25">
      <c r="A91" s="74">
        <f>IF($I91&gt;0,VLOOKUP(I91,'Lista de Precios'!$A$3:$L$2883,9,0),0)</f>
        <v>0</v>
      </c>
      <c r="B91" s="74">
        <f>IF($I91&gt;0,VLOOKUP(I91,'Lista de Precios'!$A$3:$H$2883,7,0),0)</f>
        <v>0</v>
      </c>
      <c r="C91" s="7" t="str">
        <f>IF($I91&gt;0,VLOOKUP(I91,'Lista de Precios'!$A$3:$H$2883,2,0),"")</f>
        <v/>
      </c>
      <c r="D91" s="7" t="str">
        <f>IF($I91&gt;0,VLOOKUP(I91,'Lista de Precios'!$A$3:$H$2883,3,0),"")</f>
        <v/>
      </c>
      <c r="E91" s="76" t="str">
        <f>IF($I91&gt;0,VLOOKUP(I91,'Lista de Precios'!$A$3:$H$2883,6,0),"")</f>
        <v/>
      </c>
      <c r="F91" s="76" t="str">
        <f>IF($I91&gt;0,VLOOKUP(I91,'Lista de Precios'!$A$3:$H$2883,8,0),"")</f>
        <v/>
      </c>
      <c r="G91" s="101" t="str">
        <f t="shared" si="20"/>
        <v/>
      </c>
      <c r="H91" s="20" t="s">
        <v>3</v>
      </c>
      <c r="I91" s="18"/>
      <c r="J91" s="28" t="str">
        <f t="shared" si="22"/>
        <v/>
      </c>
      <c r="K91" s="24">
        <f>+IF($I91&gt;0,VLOOKUP($I91,'Lista de Precios'!$A$3:$H$2883,5,0),0)</f>
        <v>0</v>
      </c>
      <c r="L91" s="37"/>
      <c r="M91" s="37"/>
      <c r="N91" s="37"/>
      <c r="O91" s="37"/>
      <c r="P91" s="40"/>
      <c r="Q91" s="39"/>
      <c r="R91" s="37"/>
      <c r="S91" s="37"/>
      <c r="T91" s="37"/>
      <c r="U91" s="37"/>
      <c r="V91" s="37"/>
      <c r="W91" s="37"/>
      <c r="X91" s="37"/>
      <c r="Y91" s="37"/>
      <c r="Z91" s="40"/>
      <c r="AA91" s="41"/>
      <c r="AB91" s="37"/>
      <c r="AC91" s="37"/>
      <c r="AD91" s="37"/>
      <c r="AE91" s="37"/>
      <c r="AF91" s="37"/>
      <c r="AG91" s="37"/>
      <c r="AH91" s="36"/>
      <c r="AI91" s="36"/>
      <c r="AJ91" s="36"/>
      <c r="AK91" s="42"/>
      <c r="AL91" s="42"/>
      <c r="AM91" s="73">
        <f t="shared" si="15"/>
        <v>0</v>
      </c>
      <c r="AN91" s="71" t="str">
        <f>+IF($I91&gt;0,VLOOKUP($I91,'Lista de Precios'!$A$3:$H$2883,4,0),"")</f>
        <v/>
      </c>
      <c r="AO91" s="68" t="str">
        <f t="shared" si="21"/>
        <v/>
      </c>
      <c r="AP91" s="7" t="str">
        <f>IF($I91&gt;0,VLOOKUP($I91,'Lista de Precios'!$A$3:$K$2883,10,0),"")</f>
        <v/>
      </c>
      <c r="AQ91" s="7" t="str">
        <f>IF($I91&gt;0,VLOOKUP($I91,'Lista de Precios'!$A$3:$M$4893,13,0),"")</f>
        <v/>
      </c>
      <c r="HQ91" s="134"/>
      <c r="HR91" s="134"/>
      <c r="HS91" s="134"/>
      <c r="HT91" s="134"/>
      <c r="HU91" s="134"/>
      <c r="HV91" s="134"/>
      <c r="HW91" s="134"/>
      <c r="HX91" s="134"/>
      <c r="HY91" s="134"/>
      <c r="HZ91" s="134"/>
      <c r="IA91" s="134"/>
      <c r="IB91" s="134"/>
      <c r="ID91" s="134"/>
      <c r="IE91" s="134"/>
      <c r="IF91" s="134"/>
      <c r="IG91" s="134"/>
      <c r="IH91" s="134"/>
      <c r="II91" s="134"/>
      <c r="IJ91" s="134"/>
      <c r="IK91" s="134"/>
      <c r="IL91" s="134"/>
      <c r="IM91" s="135"/>
      <c r="IN91" s="135"/>
      <c r="IO91" s="135"/>
      <c r="XEO91" s="7" t="str">
        <f t="shared" si="16"/>
        <v/>
      </c>
      <c r="XEP91" s="7" t="str">
        <f t="shared" si="17"/>
        <v/>
      </c>
      <c r="XEQ91" s="7" t="str">
        <f t="shared" si="18"/>
        <v/>
      </c>
      <c r="XER91" s="7" t="str">
        <f t="shared" si="19"/>
        <v/>
      </c>
    </row>
    <row r="92" spans="1:249 16369:16372" ht="23.25" customHeight="1" x14ac:dyDescent="0.25">
      <c r="A92" s="74">
        <f>IF($I92&gt;0,VLOOKUP(I92,'Lista de Precios'!$A$3:$L$2883,9,0),0)</f>
        <v>0</v>
      </c>
      <c r="B92" s="74">
        <f>IF($I92&gt;0,VLOOKUP(I92,'Lista de Precios'!$A$3:$H$2883,7,0),0)</f>
        <v>0</v>
      </c>
      <c r="C92" s="7" t="str">
        <f>IF($I92&gt;0,VLOOKUP(I92,'Lista de Precios'!$A$3:$H$2883,2,0),"")</f>
        <v/>
      </c>
      <c r="D92" s="7" t="str">
        <f>IF($I92&gt;0,VLOOKUP(I92,'Lista de Precios'!$A$3:$H$2883,3,0),"")</f>
        <v/>
      </c>
      <c r="E92" s="76" t="str">
        <f>IF($I92&gt;0,VLOOKUP(I92,'Lista de Precios'!$A$3:$H$2883,6,0),"")</f>
        <v/>
      </c>
      <c r="F92" s="76" t="str">
        <f>IF($I92&gt;0,VLOOKUP(I92,'Lista de Precios'!$A$3:$H$2883,8,0),"")</f>
        <v/>
      </c>
      <c r="G92" s="101" t="str">
        <f t="shared" si="20"/>
        <v/>
      </c>
      <c r="H92" s="20" t="s">
        <v>3</v>
      </c>
      <c r="I92" s="18"/>
      <c r="J92" s="28" t="str">
        <f t="shared" si="22"/>
        <v/>
      </c>
      <c r="K92" s="24">
        <f>+IF($I92&gt;0,VLOOKUP($I92,'Lista de Precios'!$A$3:$H$2883,5,0),0)</f>
        <v>0</v>
      </c>
      <c r="L92" s="37"/>
      <c r="M92" s="37"/>
      <c r="N92" s="37"/>
      <c r="O92" s="37"/>
      <c r="P92" s="40"/>
      <c r="Q92" s="39"/>
      <c r="R92" s="37"/>
      <c r="S92" s="37"/>
      <c r="T92" s="37"/>
      <c r="U92" s="37"/>
      <c r="V92" s="37"/>
      <c r="W92" s="37"/>
      <c r="X92" s="37"/>
      <c r="Y92" s="37"/>
      <c r="Z92" s="40"/>
      <c r="AA92" s="41"/>
      <c r="AB92" s="37"/>
      <c r="AC92" s="37"/>
      <c r="AD92" s="37"/>
      <c r="AE92" s="36"/>
      <c r="AF92" s="37"/>
      <c r="AG92" s="37"/>
      <c r="AH92" s="36"/>
      <c r="AI92" s="36"/>
      <c r="AJ92" s="42"/>
      <c r="AK92" s="42"/>
      <c r="AL92" s="43"/>
      <c r="AM92" s="73">
        <f t="shared" si="15"/>
        <v>0</v>
      </c>
      <c r="AN92" s="71" t="str">
        <f>+IF($I92&gt;0,VLOOKUP($I92,'Lista de Precios'!$A$3:$H$2883,4,0),"")</f>
        <v/>
      </c>
      <c r="AO92" s="68" t="str">
        <f t="shared" si="21"/>
        <v/>
      </c>
      <c r="AP92" s="7" t="str">
        <f>IF($I92&gt;0,VLOOKUP($I92,'Lista de Precios'!$A$3:$K$2883,10,0),"")</f>
        <v/>
      </c>
      <c r="AQ92" s="7" t="str">
        <f>IF($I92&gt;0,VLOOKUP($I92,'Lista de Precios'!$A$3:$M$4893,13,0),"")</f>
        <v/>
      </c>
      <c r="HQ92" s="134"/>
      <c r="HR92" s="134"/>
      <c r="HS92" s="134"/>
      <c r="HT92" s="134"/>
      <c r="HU92" s="134"/>
      <c r="HV92" s="134"/>
      <c r="HW92" s="134"/>
      <c r="HX92" s="134"/>
      <c r="HY92" s="134"/>
      <c r="HZ92" s="134"/>
      <c r="IA92" s="134"/>
      <c r="IB92" s="134"/>
      <c r="ID92" s="134"/>
      <c r="IE92" s="134"/>
      <c r="IF92" s="134"/>
      <c r="IG92" s="134"/>
      <c r="IH92" s="134"/>
      <c r="II92" s="134"/>
      <c r="IJ92" s="134"/>
      <c r="IK92" s="134"/>
      <c r="IL92" s="134"/>
      <c r="IM92" s="135"/>
      <c r="IN92" s="135"/>
      <c r="IO92" s="135"/>
      <c r="XEO92" s="7" t="str">
        <f t="shared" si="16"/>
        <v/>
      </c>
      <c r="XEP92" s="7" t="str">
        <f t="shared" si="17"/>
        <v/>
      </c>
      <c r="XEQ92" s="7" t="str">
        <f t="shared" si="18"/>
        <v/>
      </c>
      <c r="XER92" s="7" t="str">
        <f t="shared" si="19"/>
        <v/>
      </c>
    </row>
    <row r="93" spans="1:249 16369:16372" ht="23.25" customHeight="1" x14ac:dyDescent="0.25">
      <c r="A93" s="74">
        <f>IF($I93&gt;0,VLOOKUP(I93,'Lista de Precios'!$A$3:$L$2883,9,0),0)</f>
        <v>0</v>
      </c>
      <c r="B93" s="74">
        <f>IF($I93&gt;0,VLOOKUP(I93,'Lista de Precios'!$A$3:$H$2883,7,0),0)</f>
        <v>0</v>
      </c>
      <c r="C93" s="7" t="str">
        <f>IF($I93&gt;0,VLOOKUP(I93,'Lista de Precios'!$A$3:$H$2883,2,0),"")</f>
        <v/>
      </c>
      <c r="D93" s="7" t="str">
        <f>IF($I93&gt;0,VLOOKUP(I93,'Lista de Precios'!$A$3:$H$2883,3,0),"")</f>
        <v/>
      </c>
      <c r="E93" s="76" t="str">
        <f>IF($I93&gt;0,VLOOKUP(I93,'Lista de Precios'!$A$3:$H$2883,6,0),"")</f>
        <v/>
      </c>
      <c r="F93" s="76" t="str">
        <f>IF($I93&gt;0,VLOOKUP(I93,'Lista de Precios'!$A$3:$H$2883,8,0),"")</f>
        <v/>
      </c>
      <c r="G93" s="101" t="str">
        <f t="shared" si="20"/>
        <v/>
      </c>
      <c r="H93" s="20" t="s">
        <v>3</v>
      </c>
      <c r="I93" s="18"/>
      <c r="J93" s="28" t="str">
        <f t="shared" si="22"/>
        <v/>
      </c>
      <c r="K93" s="24">
        <f>+IF($I93&gt;0,VLOOKUP($I93,'Lista de Precios'!$A$3:$H$2883,5,0),0)</f>
        <v>0</v>
      </c>
      <c r="L93" s="37"/>
      <c r="M93" s="37"/>
      <c r="N93" s="37"/>
      <c r="O93" s="37"/>
      <c r="P93" s="40"/>
      <c r="Q93" s="39"/>
      <c r="R93" s="37"/>
      <c r="S93" s="37"/>
      <c r="T93" s="37"/>
      <c r="U93" s="37"/>
      <c r="V93" s="37"/>
      <c r="W93" s="37"/>
      <c r="X93" s="37"/>
      <c r="Y93" s="37"/>
      <c r="Z93" s="37"/>
      <c r="AA93" s="41"/>
      <c r="AB93" s="37"/>
      <c r="AC93" s="37"/>
      <c r="AD93" s="37"/>
      <c r="AE93" s="36"/>
      <c r="AF93" s="37"/>
      <c r="AG93" s="37"/>
      <c r="AH93" s="36"/>
      <c r="AI93" s="36"/>
      <c r="AJ93" s="42"/>
      <c r="AK93" s="42"/>
      <c r="AL93" s="42"/>
      <c r="AM93" s="73">
        <f t="shared" si="15"/>
        <v>0</v>
      </c>
      <c r="AN93" s="71" t="str">
        <f>+IF($I93&gt;0,VLOOKUP($I93,'Lista de Precios'!$A$3:$H$2883,4,0),"")</f>
        <v/>
      </c>
      <c r="AO93" s="68" t="str">
        <f t="shared" si="21"/>
        <v/>
      </c>
      <c r="AP93" s="7" t="str">
        <f>IF($I93&gt;0,VLOOKUP($I93,'Lista de Precios'!$A$3:$K$2883,10,0),"")</f>
        <v/>
      </c>
      <c r="AQ93" s="7" t="str">
        <f>IF($I93&gt;0,VLOOKUP($I93,'Lista de Precios'!$A$3:$M$4893,13,0),"")</f>
        <v/>
      </c>
      <c r="HQ93" s="134"/>
      <c r="HR93" s="134"/>
      <c r="HS93" s="134"/>
      <c r="HT93" s="134"/>
      <c r="HU93" s="134"/>
      <c r="HV93" s="134"/>
      <c r="HW93" s="134"/>
      <c r="HX93" s="134"/>
      <c r="HY93" s="134"/>
      <c r="HZ93" s="134"/>
      <c r="IA93" s="134"/>
      <c r="IB93" s="134"/>
      <c r="ID93" s="134"/>
      <c r="IE93" s="134"/>
      <c r="IF93" s="134"/>
      <c r="IG93" s="134"/>
      <c r="IH93" s="134"/>
      <c r="II93" s="134"/>
      <c r="IJ93" s="134"/>
      <c r="IK93" s="134"/>
      <c r="IL93" s="134"/>
      <c r="IM93" s="135"/>
      <c r="IN93" s="135"/>
      <c r="IO93" s="135"/>
      <c r="XEO93" s="7" t="str">
        <f t="shared" si="16"/>
        <v/>
      </c>
      <c r="XEP93" s="7" t="str">
        <f t="shared" si="17"/>
        <v/>
      </c>
      <c r="XEQ93" s="7" t="str">
        <f t="shared" si="18"/>
        <v/>
      </c>
      <c r="XER93" s="7" t="str">
        <f t="shared" si="19"/>
        <v/>
      </c>
    </row>
    <row r="94" spans="1:249 16369:16372" ht="23.25" customHeight="1" x14ac:dyDescent="0.25">
      <c r="A94" s="74">
        <f>IF($I94&gt;0,VLOOKUP(I94,'Lista de Precios'!$A$3:$L$2883,9,0),0)</f>
        <v>0</v>
      </c>
      <c r="B94" s="74">
        <f>IF($I94&gt;0,VLOOKUP(I94,'Lista de Precios'!$A$3:$H$2883,7,0),0)</f>
        <v>0</v>
      </c>
      <c r="C94" s="7" t="str">
        <f>IF($I94&gt;0,VLOOKUP(I94,'Lista de Precios'!$A$3:$H$2883,2,0),"")</f>
        <v/>
      </c>
      <c r="D94" s="7" t="str">
        <f>IF($I94&gt;0,VLOOKUP(I94,'Lista de Precios'!$A$3:$H$2883,3,0),"")</f>
        <v/>
      </c>
      <c r="E94" s="76" t="str">
        <f>IF($I94&gt;0,VLOOKUP(I94,'Lista de Precios'!$A$3:$H$2883,6,0),"")</f>
        <v/>
      </c>
      <c r="F94" s="76" t="str">
        <f>IF($I94&gt;0,VLOOKUP(I94,'Lista de Precios'!$A$3:$H$2883,8,0),"")</f>
        <v/>
      </c>
      <c r="G94" s="101" t="str">
        <f t="shared" si="20"/>
        <v/>
      </c>
      <c r="H94" s="20" t="s">
        <v>3</v>
      </c>
      <c r="I94" s="18"/>
      <c r="J94" s="28" t="str">
        <f t="shared" si="22"/>
        <v/>
      </c>
      <c r="K94" s="24">
        <f>+IF($I94&gt;0,VLOOKUP($I94,'Lista de Precios'!$A$3:$H$2883,5,0),0)</f>
        <v>0</v>
      </c>
      <c r="L94" s="37"/>
      <c r="M94" s="37"/>
      <c r="N94" s="37"/>
      <c r="O94" s="37"/>
      <c r="P94" s="40"/>
      <c r="Q94" s="39"/>
      <c r="R94" s="37"/>
      <c r="S94" s="37"/>
      <c r="T94" s="37"/>
      <c r="U94" s="37"/>
      <c r="V94" s="37"/>
      <c r="W94" s="37"/>
      <c r="X94" s="37"/>
      <c r="Y94" s="37"/>
      <c r="Z94" s="40"/>
      <c r="AA94" s="41"/>
      <c r="AB94" s="37"/>
      <c r="AC94" s="37"/>
      <c r="AD94" s="37"/>
      <c r="AE94" s="36"/>
      <c r="AF94" s="37"/>
      <c r="AG94" s="37"/>
      <c r="AH94" s="36"/>
      <c r="AI94" s="36"/>
      <c r="AJ94" s="42"/>
      <c r="AK94" s="42"/>
      <c r="AL94" s="42"/>
      <c r="AM94" s="73">
        <f t="shared" si="15"/>
        <v>0</v>
      </c>
      <c r="AN94" s="71" t="str">
        <f>+IF($I94&gt;0,VLOOKUP($I94,'Lista de Precios'!$A$3:$H$2883,4,0),"")</f>
        <v/>
      </c>
      <c r="AO94" s="68" t="str">
        <f t="shared" si="21"/>
        <v/>
      </c>
      <c r="AP94" s="7" t="str">
        <f>IF($I94&gt;0,VLOOKUP($I94,'Lista de Precios'!$A$3:$K$2883,10,0),"")</f>
        <v/>
      </c>
      <c r="AQ94" s="7" t="str">
        <f>IF($I94&gt;0,VLOOKUP($I94,'Lista de Precios'!$A$3:$M$4893,13,0),"")</f>
        <v/>
      </c>
      <c r="HQ94" s="134"/>
      <c r="HR94" s="134"/>
      <c r="HS94" s="134"/>
      <c r="HT94" s="134"/>
      <c r="HU94" s="134"/>
      <c r="HV94" s="134"/>
      <c r="HW94" s="134"/>
      <c r="HX94" s="134"/>
      <c r="HY94" s="134"/>
      <c r="HZ94" s="134"/>
      <c r="IA94" s="134"/>
      <c r="IB94" s="134"/>
      <c r="ID94" s="134"/>
      <c r="IE94" s="134"/>
      <c r="IF94" s="134"/>
      <c r="IG94" s="134"/>
      <c r="IH94" s="134"/>
      <c r="II94" s="134"/>
      <c r="IJ94" s="134"/>
      <c r="IK94" s="134"/>
      <c r="IL94" s="134"/>
      <c r="IM94" s="135"/>
      <c r="IN94" s="135"/>
      <c r="IO94" s="135"/>
      <c r="XEO94" s="7" t="str">
        <f t="shared" si="16"/>
        <v/>
      </c>
      <c r="XEP94" s="7" t="str">
        <f t="shared" si="17"/>
        <v/>
      </c>
      <c r="XEQ94" s="7" t="str">
        <f t="shared" si="18"/>
        <v/>
      </c>
      <c r="XER94" s="7" t="str">
        <f t="shared" si="19"/>
        <v/>
      </c>
    </row>
    <row r="95" spans="1:249 16369:16372" ht="23.25" customHeight="1" x14ac:dyDescent="0.25">
      <c r="A95" s="74">
        <f>IF($I95&gt;0,VLOOKUP(I95,'Lista de Precios'!$A$3:$L$2883,9,0),0)</f>
        <v>0</v>
      </c>
      <c r="B95" s="74">
        <f>IF($I95&gt;0,VLOOKUP(I95,'Lista de Precios'!$A$3:$H$2883,7,0),0)</f>
        <v>0</v>
      </c>
      <c r="C95" s="7" t="str">
        <f>IF($I95&gt;0,VLOOKUP(I95,'Lista de Precios'!$A$3:$H$2883,2,0),"")</f>
        <v/>
      </c>
      <c r="D95" s="7" t="str">
        <f>IF($I95&gt;0,VLOOKUP(I95,'Lista de Precios'!$A$3:$H$2883,3,0),"")</f>
        <v/>
      </c>
      <c r="E95" s="76" t="str">
        <f>IF($I95&gt;0,VLOOKUP(I95,'Lista de Precios'!$A$3:$H$2883,6,0),"")</f>
        <v/>
      </c>
      <c r="F95" s="76" t="str">
        <f>IF($I95&gt;0,VLOOKUP(I95,'Lista de Precios'!$A$3:$H$2883,8,0),"")</f>
        <v/>
      </c>
      <c r="G95" s="101" t="str">
        <f t="shared" si="20"/>
        <v/>
      </c>
      <c r="H95" s="20" t="s">
        <v>3</v>
      </c>
      <c r="I95" s="18"/>
      <c r="J95" s="28" t="str">
        <f t="shared" si="22"/>
        <v/>
      </c>
      <c r="K95" s="24">
        <f>+IF($I95&gt;0,VLOOKUP($I95,'Lista de Precios'!$A$3:$H$2883,5,0),0)</f>
        <v>0</v>
      </c>
      <c r="L95" s="37"/>
      <c r="M95" s="37"/>
      <c r="N95" s="37"/>
      <c r="O95" s="37"/>
      <c r="P95" s="40"/>
      <c r="Q95" s="39"/>
      <c r="R95" s="37"/>
      <c r="S95" s="37"/>
      <c r="T95" s="37"/>
      <c r="U95" s="37"/>
      <c r="V95" s="37"/>
      <c r="W95" s="37"/>
      <c r="X95" s="37"/>
      <c r="Y95" s="37"/>
      <c r="Z95" s="40"/>
      <c r="AA95" s="41"/>
      <c r="AB95" s="37"/>
      <c r="AC95" s="37"/>
      <c r="AD95" s="37"/>
      <c r="AE95" s="36"/>
      <c r="AF95" s="37"/>
      <c r="AG95" s="37"/>
      <c r="AH95" s="36"/>
      <c r="AI95" s="36"/>
      <c r="AJ95" s="42"/>
      <c r="AK95" s="42"/>
      <c r="AL95" s="42"/>
      <c r="AM95" s="73">
        <f t="shared" si="15"/>
        <v>0</v>
      </c>
      <c r="AN95" s="71" t="str">
        <f>+IF($I95&gt;0,VLOOKUP($I95,'Lista de Precios'!$A$3:$H$2883,4,0),"")</f>
        <v/>
      </c>
      <c r="AO95" s="68" t="str">
        <f t="shared" si="21"/>
        <v/>
      </c>
      <c r="AP95" s="7" t="str">
        <f>IF($I95&gt;0,VLOOKUP($I95,'Lista de Precios'!$A$3:$K$2883,10,0),"")</f>
        <v/>
      </c>
      <c r="AQ95" s="7" t="str">
        <f>IF($I95&gt;0,VLOOKUP($I95,'Lista de Precios'!$A$3:$M$4893,13,0),"")</f>
        <v/>
      </c>
      <c r="HQ95" s="134"/>
      <c r="HR95" s="134"/>
      <c r="HS95" s="134"/>
      <c r="HT95" s="134"/>
      <c r="HU95" s="134"/>
      <c r="HV95" s="134"/>
      <c r="HW95" s="134"/>
      <c r="HX95" s="134"/>
      <c r="HY95" s="134"/>
      <c r="HZ95" s="134"/>
      <c r="IA95" s="134"/>
      <c r="IB95" s="134"/>
      <c r="ID95" s="134"/>
      <c r="IE95" s="134"/>
      <c r="IF95" s="134"/>
      <c r="IG95" s="134"/>
      <c r="IH95" s="134"/>
      <c r="II95" s="134"/>
      <c r="IJ95" s="134"/>
      <c r="IK95" s="134"/>
      <c r="IL95" s="134"/>
      <c r="IM95" s="135"/>
      <c r="IN95" s="135"/>
      <c r="IO95" s="135"/>
    </row>
    <row r="96" spans="1:249 16369:16372" ht="23.25" customHeight="1" x14ac:dyDescent="0.25">
      <c r="A96" s="74">
        <f>IF($I96&gt;0,VLOOKUP(I96,'Lista de Precios'!$A$3:$L$2883,9,0),0)</f>
        <v>0</v>
      </c>
      <c r="B96" s="74">
        <f>IF($I96&gt;0,VLOOKUP(I96,'Lista de Precios'!$A$3:$H$2883,7,0),0)</f>
        <v>0</v>
      </c>
      <c r="C96" s="7" t="str">
        <f>IF($I96&gt;0,VLOOKUP(I96,'Lista de Precios'!$A$3:$H$2883,2,0),"")</f>
        <v/>
      </c>
      <c r="D96" s="7" t="str">
        <f>IF($I96&gt;0,VLOOKUP(I96,'Lista de Precios'!$A$3:$H$2883,3,0),"")</f>
        <v/>
      </c>
      <c r="E96" s="76" t="str">
        <f>IF($I96&gt;0,VLOOKUP(I96,'Lista de Precios'!$A$3:$H$2883,6,0),"")</f>
        <v/>
      </c>
      <c r="F96" s="76" t="str">
        <f>IF($I96&gt;0,VLOOKUP(I96,'Lista de Precios'!$A$3:$H$2883,8,0),"")</f>
        <v/>
      </c>
      <c r="G96" s="101" t="str">
        <f t="shared" si="20"/>
        <v/>
      </c>
      <c r="H96" s="20" t="s">
        <v>3</v>
      </c>
      <c r="I96" s="18"/>
      <c r="J96" s="28" t="str">
        <f t="shared" si="22"/>
        <v/>
      </c>
      <c r="K96" s="24">
        <f>+IF($I96&gt;0,VLOOKUP($I96,'Lista de Precios'!$A$3:$H$2883,5,0),0)</f>
        <v>0</v>
      </c>
      <c r="L96" s="37"/>
      <c r="M96" s="37"/>
      <c r="N96" s="37"/>
      <c r="O96" s="37"/>
      <c r="P96" s="40"/>
      <c r="Q96" s="39"/>
      <c r="R96" s="37"/>
      <c r="S96" s="37"/>
      <c r="T96" s="37"/>
      <c r="U96" s="37"/>
      <c r="V96" s="37"/>
      <c r="W96" s="37"/>
      <c r="X96" s="37"/>
      <c r="Y96" s="37"/>
      <c r="Z96" s="40"/>
      <c r="AA96" s="41"/>
      <c r="AB96" s="37"/>
      <c r="AC96" s="37"/>
      <c r="AD96" s="37"/>
      <c r="AE96" s="37"/>
      <c r="AF96" s="37"/>
      <c r="AG96" s="57"/>
      <c r="AH96" s="54"/>
      <c r="AI96" s="54"/>
      <c r="AJ96" s="54"/>
      <c r="AK96" s="54"/>
      <c r="AL96" s="54"/>
      <c r="AM96" s="73">
        <f t="shared" si="15"/>
        <v>0</v>
      </c>
      <c r="AN96" s="71" t="str">
        <f>+IF($I96&gt;0,VLOOKUP($I96,'Lista de Precios'!$A$3:$H$2883,4,0),"")</f>
        <v/>
      </c>
      <c r="AO96" s="68" t="str">
        <f t="shared" si="21"/>
        <v/>
      </c>
      <c r="AP96" s="7" t="str">
        <f>IF($I96&gt;0,VLOOKUP($I96,'Lista de Precios'!$A$3:$K$2883,10,0),"")</f>
        <v/>
      </c>
      <c r="AQ96" s="7" t="str">
        <f>IF($I96&gt;0,VLOOKUP($I96,'Lista de Precios'!$A$3:$M$4893,13,0),"")</f>
        <v/>
      </c>
      <c r="HQ96" s="134"/>
      <c r="HR96" s="134"/>
      <c r="HS96" s="134"/>
      <c r="HT96" s="134"/>
      <c r="HU96" s="134"/>
      <c r="HV96" s="134"/>
      <c r="HW96" s="134"/>
      <c r="HX96" s="134"/>
      <c r="HY96" s="134"/>
      <c r="HZ96" s="134"/>
      <c r="IA96" s="134"/>
      <c r="IB96" s="134"/>
      <c r="ID96" s="134"/>
      <c r="IE96" s="134"/>
      <c r="IF96" s="134"/>
      <c r="IG96" s="134"/>
      <c r="IH96" s="134"/>
      <c r="II96" s="134"/>
      <c r="IJ96" s="134"/>
      <c r="IK96" s="134"/>
      <c r="IL96" s="134"/>
      <c r="IM96" s="135"/>
      <c r="IN96" s="135"/>
      <c r="IO96" s="135"/>
    </row>
    <row r="97" spans="1:249" ht="23.25" customHeight="1" x14ac:dyDescent="0.25">
      <c r="A97" s="74">
        <f>IF($I97&gt;0,VLOOKUP(I97,'Lista de Precios'!$A$3:$L$2883,9,0),0)</f>
        <v>0</v>
      </c>
      <c r="B97" s="74">
        <f>IF($I97&gt;0,VLOOKUP(I97,'Lista de Precios'!$A$3:$H$2883,7,0),0)</f>
        <v>0</v>
      </c>
      <c r="C97" s="7" t="str">
        <f>IF($I97&gt;0,VLOOKUP(I97,'Lista de Precios'!$A$3:$H$2883,2,0),"")</f>
        <v/>
      </c>
      <c r="D97" s="7" t="str">
        <f>IF($I97&gt;0,VLOOKUP(I97,'Lista de Precios'!$A$3:$H$2883,3,0),"")</f>
        <v/>
      </c>
      <c r="E97" s="76" t="str">
        <f>IF($I97&gt;0,VLOOKUP(I97,'Lista de Precios'!$A$3:$H$2883,6,0),"")</f>
        <v/>
      </c>
      <c r="F97" s="76" t="str">
        <f>IF($I97&gt;0,VLOOKUP(I97,'Lista de Precios'!$A$3:$H$2883,8,0),"")</f>
        <v/>
      </c>
      <c r="G97" s="101" t="str">
        <f t="shared" si="20"/>
        <v/>
      </c>
      <c r="H97" s="20" t="s">
        <v>3</v>
      </c>
      <c r="I97" s="18"/>
      <c r="J97" s="28" t="str">
        <f t="shared" si="22"/>
        <v/>
      </c>
      <c r="K97" s="24">
        <f>+IF($I97&gt;0,VLOOKUP($I97,'Lista de Precios'!$A$3:$H$2883,5,0),0)</f>
        <v>0</v>
      </c>
      <c r="L97" s="37"/>
      <c r="M97" s="37"/>
      <c r="N97" s="37"/>
      <c r="O97" s="37"/>
      <c r="P97" s="40"/>
      <c r="Q97" s="39"/>
      <c r="R97" s="37"/>
      <c r="S97" s="37"/>
      <c r="T97" s="37"/>
      <c r="U97" s="37"/>
      <c r="V97" s="37"/>
      <c r="W97" s="37"/>
      <c r="X97" s="37"/>
      <c r="Y97" s="37"/>
      <c r="Z97" s="40"/>
      <c r="AA97" s="41"/>
      <c r="AB97" s="37"/>
      <c r="AC97" s="37"/>
      <c r="AD97" s="37"/>
      <c r="AE97" s="37"/>
      <c r="AF97" s="37"/>
      <c r="AG97" s="57"/>
      <c r="AH97" s="54"/>
      <c r="AI97" s="54"/>
      <c r="AJ97" s="42"/>
      <c r="AK97" s="42"/>
      <c r="AL97" s="42"/>
      <c r="AM97" s="73">
        <f t="shared" si="15"/>
        <v>0</v>
      </c>
      <c r="AN97" s="71" t="str">
        <f>+IF($I97&gt;0,VLOOKUP($I97,'Lista de Precios'!$A$3:$H$2883,4,0),"")</f>
        <v/>
      </c>
      <c r="AO97" s="68" t="str">
        <f t="shared" si="21"/>
        <v/>
      </c>
      <c r="AP97" s="7" t="str">
        <f>IF($I97&gt;0,VLOOKUP($I97,'Lista de Precios'!$A$3:$K$2883,10,0),"")</f>
        <v/>
      </c>
      <c r="AQ97" s="7" t="str">
        <f>IF($I97&gt;0,VLOOKUP($I97,'Lista de Precios'!$A$3:$M$4893,13,0),"")</f>
        <v/>
      </c>
      <c r="HQ97" s="134"/>
      <c r="HR97" s="134"/>
      <c r="HS97" s="134"/>
      <c r="HT97" s="134"/>
      <c r="HU97" s="134"/>
      <c r="HV97" s="134"/>
      <c r="HW97" s="134"/>
      <c r="HX97" s="134"/>
      <c r="HY97" s="134"/>
      <c r="HZ97" s="134"/>
      <c r="IA97" s="134"/>
      <c r="IB97" s="134"/>
      <c r="ID97" s="134"/>
      <c r="IE97" s="134"/>
      <c r="IF97" s="134"/>
      <c r="IG97" s="134"/>
      <c r="IH97" s="134"/>
      <c r="II97" s="134"/>
      <c r="IJ97" s="134"/>
      <c r="IK97" s="134"/>
      <c r="IL97" s="134"/>
      <c r="IM97" s="135"/>
      <c r="IN97" s="135"/>
      <c r="IO97" s="135"/>
    </row>
    <row r="98" spans="1:249" ht="23.25" customHeight="1" x14ac:dyDescent="0.25">
      <c r="A98" s="74">
        <f>IF($I98&gt;0,VLOOKUP(I98,'Lista de Precios'!$A$3:$L$2883,9,0),0)</f>
        <v>0</v>
      </c>
      <c r="B98" s="74">
        <f>IF($I98&gt;0,VLOOKUP(I98,'Lista de Precios'!$A$3:$H$2883,7,0),0)</f>
        <v>0</v>
      </c>
      <c r="C98" s="7" t="str">
        <f>IF($I98&gt;0,VLOOKUP(I98,'Lista de Precios'!$A$3:$H$2883,2,0),"")</f>
        <v/>
      </c>
      <c r="D98" s="7" t="str">
        <f>IF($I98&gt;0,VLOOKUP(I98,'Lista de Precios'!$A$3:$H$2883,3,0),"")</f>
        <v/>
      </c>
      <c r="E98" s="76" t="str">
        <f>IF($I98&gt;0,VLOOKUP(I98,'Lista de Precios'!$A$3:$H$2883,6,0),"")</f>
        <v/>
      </c>
      <c r="F98" s="76" t="str">
        <f>IF($I98&gt;0,VLOOKUP(I98,'Lista de Precios'!$A$3:$H$2883,8,0),"")</f>
        <v/>
      </c>
      <c r="G98" s="101" t="str">
        <f t="shared" si="20"/>
        <v/>
      </c>
      <c r="H98" s="20" t="s">
        <v>3</v>
      </c>
      <c r="I98" s="18"/>
      <c r="J98" s="28" t="str">
        <f t="shared" si="22"/>
        <v/>
      </c>
      <c r="K98" s="24">
        <f>+IF($I98&gt;0,VLOOKUP($I98,'Lista de Precios'!$A$3:$H$2883,5,0),0)</f>
        <v>0</v>
      </c>
      <c r="L98" s="37"/>
      <c r="M98" s="37"/>
      <c r="N98" s="37"/>
      <c r="O98" s="37"/>
      <c r="P98" s="40"/>
      <c r="Q98" s="39"/>
      <c r="R98" s="37"/>
      <c r="S98" s="37"/>
      <c r="T98" s="37"/>
      <c r="U98" s="37"/>
      <c r="V98" s="37"/>
      <c r="W98" s="37"/>
      <c r="X98" s="37"/>
      <c r="Y98" s="37"/>
      <c r="Z98" s="40"/>
      <c r="AA98" s="41"/>
      <c r="AB98" s="37"/>
      <c r="AC98" s="37"/>
      <c r="AD98" s="37"/>
      <c r="AE98" s="37"/>
      <c r="AF98" s="37"/>
      <c r="AG98" s="37"/>
      <c r="AH98" s="42"/>
      <c r="AI98" s="42"/>
      <c r="AJ98" s="43"/>
      <c r="AK98" s="43"/>
      <c r="AL98" s="43"/>
      <c r="AM98" s="73">
        <f t="shared" si="15"/>
        <v>0</v>
      </c>
      <c r="AN98" s="71" t="str">
        <f>+IF($I98&gt;0,VLOOKUP($I98,'Lista de Precios'!$A$3:$H$2883,4,0),"")</f>
        <v/>
      </c>
      <c r="AO98" s="68" t="str">
        <f t="shared" si="21"/>
        <v/>
      </c>
      <c r="AP98" s="7" t="str">
        <f>IF($I98&gt;0,VLOOKUP($I98,'Lista de Precios'!$A$3:$K$2883,10,0),"")</f>
        <v/>
      </c>
      <c r="AQ98" s="7" t="str">
        <f>IF($I98&gt;0,VLOOKUP($I98,'Lista de Precios'!$A$3:$M$4893,13,0),"")</f>
        <v/>
      </c>
      <c r="HQ98" s="134"/>
      <c r="HR98" s="134"/>
      <c r="HS98" s="134"/>
      <c r="HT98" s="134"/>
      <c r="HU98" s="134"/>
      <c r="HV98" s="134"/>
      <c r="HW98" s="134"/>
      <c r="HX98" s="134"/>
      <c r="HY98" s="134"/>
      <c r="HZ98" s="134"/>
      <c r="IA98" s="134"/>
      <c r="IB98" s="134"/>
      <c r="ID98" s="134"/>
      <c r="IE98" s="134"/>
      <c r="IF98" s="134"/>
      <c r="IG98" s="134"/>
      <c r="IH98" s="134"/>
      <c r="II98" s="134"/>
      <c r="IJ98" s="134"/>
      <c r="IK98" s="134"/>
      <c r="IL98" s="134"/>
      <c r="IM98" s="135"/>
      <c r="IN98" s="135"/>
      <c r="IO98" s="135"/>
    </row>
    <row r="99" spans="1:249" ht="23.25" customHeight="1" x14ac:dyDescent="0.25">
      <c r="A99" s="74">
        <f>IF($I99&gt;0,VLOOKUP(I99,'Lista de Precios'!$A$3:$L$2883,9,0),0)</f>
        <v>0</v>
      </c>
      <c r="B99" s="74">
        <f>IF($I99&gt;0,VLOOKUP(I99,'Lista de Precios'!$A$3:$H$2883,7,0),0)</f>
        <v>0</v>
      </c>
      <c r="C99" s="7" t="str">
        <f>IF($I99&gt;0,VLOOKUP(I99,'Lista de Precios'!$A$3:$H$2883,2,0),"")</f>
        <v/>
      </c>
      <c r="D99" s="7" t="str">
        <f>IF($I99&gt;0,VLOOKUP(I99,'Lista de Precios'!$A$3:$H$2883,3,0),"")</f>
        <v/>
      </c>
      <c r="E99" s="76" t="str">
        <f>IF($I99&gt;0,VLOOKUP(I99,'Lista de Precios'!$A$3:$H$2883,6,0),"")</f>
        <v/>
      </c>
      <c r="F99" s="76" t="str">
        <f>IF($I99&gt;0,VLOOKUP(I99,'Lista de Precios'!$A$3:$H$2883,8,0),"")</f>
        <v/>
      </c>
      <c r="G99" s="101" t="str">
        <f t="shared" si="20"/>
        <v/>
      </c>
      <c r="H99" s="20" t="s">
        <v>3</v>
      </c>
      <c r="I99" s="18"/>
      <c r="J99" s="28" t="str">
        <f t="shared" si="22"/>
        <v/>
      </c>
      <c r="K99" s="24">
        <f>+IF($I99&gt;0,VLOOKUP($I99,'Lista de Precios'!$A$3:$H$2883,5,0),0)</f>
        <v>0</v>
      </c>
      <c r="L99" s="36"/>
      <c r="M99" s="36"/>
      <c r="N99" s="36"/>
      <c r="O99" s="37"/>
      <c r="P99" s="38"/>
      <c r="Q99" s="39"/>
      <c r="R99" s="37"/>
      <c r="S99" s="37"/>
      <c r="T99" s="37"/>
      <c r="U99" s="37"/>
      <c r="V99" s="37"/>
      <c r="W99" s="37"/>
      <c r="X99" s="37"/>
      <c r="Y99" s="37"/>
      <c r="Z99" s="40"/>
      <c r="AA99" s="41"/>
      <c r="AB99" s="37"/>
      <c r="AC99" s="37"/>
      <c r="AD99" s="37"/>
      <c r="AE99" s="37"/>
      <c r="AF99" s="37"/>
      <c r="AG99" s="37"/>
      <c r="AH99" s="42"/>
      <c r="AI99" s="42"/>
      <c r="AJ99" s="43"/>
      <c r="AK99" s="43"/>
      <c r="AL99" s="43"/>
      <c r="AM99" s="73">
        <f t="shared" si="15"/>
        <v>0</v>
      </c>
      <c r="AN99" s="71" t="str">
        <f>+IF($I99&gt;0,VLOOKUP($I99,'Lista de Precios'!$A$3:$H$2883,4,0),"")</f>
        <v/>
      </c>
      <c r="AO99" s="68" t="str">
        <f t="shared" si="21"/>
        <v/>
      </c>
      <c r="AP99" s="7" t="str">
        <f>IF($I99&gt;0,VLOOKUP($I99,'Lista de Precios'!$A$3:$K$2883,10,0),"")</f>
        <v/>
      </c>
      <c r="AQ99" s="7" t="str">
        <f>IF($I99&gt;0,VLOOKUP($I99,'Lista de Precios'!$A$3:$M$4893,13,0),"")</f>
        <v/>
      </c>
      <c r="HQ99" s="134"/>
      <c r="HR99" s="134"/>
      <c r="HS99" s="134"/>
      <c r="HT99" s="134"/>
      <c r="HU99" s="134"/>
      <c r="HV99" s="134"/>
      <c r="HW99" s="134"/>
      <c r="HX99" s="134"/>
      <c r="HY99" s="134"/>
      <c r="HZ99" s="134"/>
      <c r="IA99" s="134"/>
      <c r="IB99" s="134"/>
      <c r="ID99" s="134"/>
      <c r="IE99" s="134"/>
      <c r="IF99" s="134"/>
      <c r="IG99" s="134"/>
      <c r="IH99" s="134"/>
      <c r="II99" s="134"/>
      <c r="IJ99" s="134"/>
      <c r="IK99" s="134"/>
      <c r="IL99" s="134"/>
      <c r="IM99" s="135"/>
      <c r="IN99" s="135"/>
      <c r="IO99" s="135"/>
    </row>
    <row r="100" spans="1:249" ht="23.25" customHeight="1" x14ac:dyDescent="0.25">
      <c r="A100" s="74">
        <f>IF($I100&gt;0,VLOOKUP(I100,'Lista de Precios'!$A$3:$L$2883,9,0),0)</f>
        <v>0</v>
      </c>
      <c r="B100" s="74">
        <f>IF($I100&gt;0,VLOOKUP(I100,'Lista de Precios'!$A$3:$H$2883,7,0),0)</f>
        <v>0</v>
      </c>
      <c r="C100" s="7" t="str">
        <f>IF($I100&gt;0,VLOOKUP(I100,'Lista de Precios'!$A$3:$H$2883,2,0),"")</f>
        <v/>
      </c>
      <c r="D100" s="7" t="str">
        <f>IF($I100&gt;0,VLOOKUP(I100,'Lista de Precios'!$A$3:$H$2883,3,0),"")</f>
        <v/>
      </c>
      <c r="E100" s="76" t="str">
        <f>IF($I100&gt;0,VLOOKUP(I100,'Lista de Precios'!$A$3:$H$2883,6,0),"")</f>
        <v/>
      </c>
      <c r="F100" s="76" t="str">
        <f>IF($I100&gt;0,VLOOKUP(I100,'Lista de Precios'!$A$3:$H$2883,8,0),"")</f>
        <v/>
      </c>
      <c r="G100" s="101" t="str">
        <f t="shared" si="20"/>
        <v/>
      </c>
      <c r="H100" s="20" t="s">
        <v>3</v>
      </c>
      <c r="I100" s="18"/>
      <c r="J100" s="28" t="str">
        <f t="shared" si="22"/>
        <v/>
      </c>
      <c r="K100" s="24">
        <f>+IF($I100&gt;0,VLOOKUP($I100,'Lista de Precios'!$A$3:$H$2883,5,0),0)</f>
        <v>0</v>
      </c>
      <c r="L100" s="37"/>
      <c r="M100" s="37"/>
      <c r="N100" s="37"/>
      <c r="O100" s="37"/>
      <c r="P100" s="40"/>
      <c r="Q100" s="39"/>
      <c r="R100" s="37"/>
      <c r="S100" s="37"/>
      <c r="T100" s="37"/>
      <c r="U100" s="37"/>
      <c r="V100" s="37"/>
      <c r="W100" s="37"/>
      <c r="X100" s="37"/>
      <c r="Y100" s="37"/>
      <c r="Z100" s="40"/>
      <c r="AA100" s="41"/>
      <c r="AB100" s="37"/>
      <c r="AC100" s="43"/>
      <c r="AD100" s="43"/>
      <c r="AE100" s="43"/>
      <c r="AF100" s="43"/>
      <c r="AG100" s="43"/>
      <c r="AH100" s="42"/>
      <c r="AI100" s="42"/>
      <c r="AJ100" s="42"/>
      <c r="AK100" s="42"/>
      <c r="AL100" s="43"/>
      <c r="AM100" s="73">
        <f t="shared" si="15"/>
        <v>0</v>
      </c>
      <c r="AN100" s="71" t="str">
        <f>+IF($I100&gt;0,VLOOKUP($I100,'Lista de Precios'!$A$3:$H$2883,4,0),"")</f>
        <v/>
      </c>
      <c r="AO100" s="68" t="str">
        <f t="shared" si="21"/>
        <v/>
      </c>
      <c r="AP100" s="7" t="str">
        <f>IF($I100&gt;0,VLOOKUP($I100,'Lista de Precios'!$A$3:$K$2883,10,0),"")</f>
        <v/>
      </c>
      <c r="AQ100" s="7" t="str">
        <f>IF($I100&gt;0,VLOOKUP($I100,'Lista de Precios'!$A$3:$M$4893,13,0),"")</f>
        <v/>
      </c>
      <c r="HQ100" s="134"/>
      <c r="HR100" s="134"/>
      <c r="HS100" s="134"/>
      <c r="HT100" s="134"/>
      <c r="HU100" s="134"/>
      <c r="HV100" s="134"/>
      <c r="HW100" s="134"/>
      <c r="HX100" s="134"/>
      <c r="HY100" s="134"/>
      <c r="HZ100" s="134"/>
      <c r="IA100" s="134"/>
      <c r="IB100" s="134"/>
      <c r="ID100" s="134"/>
      <c r="IE100" s="134"/>
      <c r="IF100" s="134"/>
      <c r="IG100" s="134"/>
      <c r="IH100" s="134"/>
      <c r="II100" s="134"/>
      <c r="IJ100" s="134"/>
      <c r="IK100" s="134"/>
      <c r="IL100" s="134"/>
      <c r="IM100" s="135"/>
      <c r="IN100" s="135"/>
      <c r="IO100" s="135"/>
    </row>
    <row r="101" spans="1:249" ht="23.25" customHeight="1" x14ac:dyDescent="0.25">
      <c r="A101" s="74">
        <f>IF($I101&gt;0,VLOOKUP(I101,'Lista de Precios'!$A$3:$L$2883,9,0),0)</f>
        <v>0</v>
      </c>
      <c r="B101" s="74">
        <f>IF($I101&gt;0,VLOOKUP(I101,'Lista de Precios'!$A$3:$H$2883,7,0),0)</f>
        <v>0</v>
      </c>
      <c r="C101" s="7" t="str">
        <f>IF($I101&gt;0,VLOOKUP(I101,'Lista de Precios'!$A$3:$H$2883,2,0),"")</f>
        <v/>
      </c>
      <c r="D101" s="7" t="str">
        <f>IF($I101&gt;0,VLOOKUP(I101,'Lista de Precios'!$A$3:$H$2883,3,0),"")</f>
        <v/>
      </c>
      <c r="E101" s="76" t="str">
        <f>IF($I101&gt;0,VLOOKUP(I101,'Lista de Precios'!$A$3:$H$2883,6,0),"")</f>
        <v/>
      </c>
      <c r="F101" s="76" t="str">
        <f>IF($I101&gt;0,VLOOKUP(I101,'Lista de Precios'!$A$3:$H$2883,8,0),"")</f>
        <v/>
      </c>
      <c r="G101" s="101" t="str">
        <f t="shared" ref="G101" si="23">IF(AN101="","",AN101*1.87)</f>
        <v/>
      </c>
      <c r="H101" s="20" t="s">
        <v>3</v>
      </c>
      <c r="I101" s="18"/>
      <c r="J101" s="28" t="str">
        <f t="shared" ref="J101" si="24">+E101</f>
        <v/>
      </c>
      <c r="K101" s="24">
        <f>+IF($I101&gt;0,VLOOKUP($I101,'Lista de Precios'!$A$3:$H$2883,5,0),0)</f>
        <v>0</v>
      </c>
      <c r="L101" s="37"/>
      <c r="M101" s="37"/>
      <c r="N101" s="37"/>
      <c r="O101" s="37"/>
      <c r="P101" s="40"/>
      <c r="Q101" s="39"/>
      <c r="R101" s="37"/>
      <c r="S101" s="37"/>
      <c r="T101" s="37"/>
      <c r="U101" s="37"/>
      <c r="V101" s="37"/>
      <c r="W101" s="37"/>
      <c r="X101" s="37"/>
      <c r="Y101" s="37"/>
      <c r="Z101" s="40"/>
      <c r="AA101" s="41"/>
      <c r="AB101" s="37"/>
      <c r="AC101" s="43"/>
      <c r="AD101" s="43"/>
      <c r="AE101" s="43"/>
      <c r="AF101" s="43"/>
      <c r="AG101" s="43"/>
      <c r="AH101" s="42"/>
      <c r="AI101" s="42"/>
      <c r="AJ101" s="42"/>
      <c r="AK101" s="42"/>
      <c r="AL101" s="43"/>
      <c r="AM101" s="73">
        <f t="shared" si="15"/>
        <v>0</v>
      </c>
      <c r="AN101" s="71" t="str">
        <f>+IF($I101&gt;0,VLOOKUP($I101,'Lista de Precios'!$A$3:$H$2883,4,0),"")</f>
        <v/>
      </c>
      <c r="AO101" s="68" t="str">
        <f t="shared" ref="AO101" si="25">+IF(AM101&gt;0,AN101*AM101,"")</f>
        <v/>
      </c>
      <c r="AP101" s="7" t="str">
        <f>IF($I101&gt;0,VLOOKUP($I101,'Lista de Precios'!$A$3:$K$2883,10,0),"")</f>
        <v/>
      </c>
      <c r="AQ101" s="7" t="str">
        <f>IF($I101&gt;0,VLOOKUP($I101,'Lista de Precios'!$A$3:$M$4893,13,0),"")</f>
        <v/>
      </c>
      <c r="HQ101" s="134"/>
      <c r="HR101" s="134"/>
      <c r="HS101" s="134"/>
      <c r="HT101" s="134"/>
      <c r="HU101" s="134"/>
      <c r="HV101" s="134"/>
      <c r="HW101" s="134"/>
      <c r="HX101" s="134"/>
      <c r="HY101" s="134"/>
      <c r="HZ101" s="134"/>
      <c r="IA101" s="134"/>
      <c r="IB101" s="134"/>
      <c r="ID101" s="134"/>
      <c r="IE101" s="134"/>
      <c r="IF101" s="134"/>
      <c r="IG101" s="134"/>
      <c r="IH101" s="134"/>
      <c r="II101" s="134"/>
      <c r="IJ101" s="134"/>
      <c r="IK101" s="134"/>
      <c r="IL101" s="134"/>
      <c r="IM101" s="135"/>
      <c r="IN101" s="135"/>
      <c r="IO101" s="135"/>
    </row>
  </sheetData>
  <mergeCells count="6">
    <mergeCell ref="H12:I12"/>
    <mergeCell ref="D5:J5"/>
    <mergeCell ref="I7:Q8"/>
    <mergeCell ref="J9:K9"/>
    <mergeCell ref="M9:Q9"/>
    <mergeCell ref="H11:I11"/>
  </mergeCells>
  <conditionalFormatting sqref="A14:B100">
    <cfRule type="cellIs" dxfId="169" priority="23" operator="greaterThan">
      <formula>0</formula>
    </cfRule>
    <cfRule type="cellIs" dxfId="168" priority="24" stopIfTrue="1" operator="greaterThan">
      <formula>0</formula>
    </cfRule>
    <cfRule type="cellIs" dxfId="167" priority="25" stopIfTrue="1" operator="equal">
      <formula>0</formula>
    </cfRule>
  </conditionalFormatting>
  <conditionalFormatting sqref="A14:B101">
    <cfRule type="cellIs" dxfId="166" priority="1" stopIfTrue="1" operator="greaterThan">
      <formula>0</formula>
    </cfRule>
    <cfRule type="cellIs" dxfId="165" priority="5" stopIfTrue="1" operator="equal">
      <formula>0</formula>
    </cfRule>
  </conditionalFormatting>
  <conditionalFormatting sqref="A101:B101">
    <cfRule type="cellIs" dxfId="164" priority="2" stopIfTrue="1" operator="equal">
      <formula>0</formula>
    </cfRule>
    <cfRule type="cellIs" dxfId="163" priority="3" operator="greaterThan">
      <formula>0</formula>
    </cfRule>
    <cfRule type="cellIs" dxfId="162" priority="4" stopIfTrue="1" operator="greaterThan">
      <formula>0</formula>
    </cfRule>
  </conditionalFormatting>
  <conditionalFormatting sqref="J14:J101">
    <cfRule type="cellIs" dxfId="161" priority="6" stopIfTrue="1" operator="lessThan">
      <formula>E14</formula>
    </cfRule>
  </conditionalFormatting>
  <printOptions horizontalCentered="1"/>
  <pageMargins left="0" right="0" top="0.39370078740157483" bottom="0.39370078740157483" header="0" footer="0"/>
  <pageSetup paperSize="5" scale="38" fitToHeight="2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/>
    <pageSetUpPr fitToPage="1"/>
  </sheetPr>
  <dimension ref="A1:XES102"/>
  <sheetViews>
    <sheetView showGridLines="0" zoomScale="60" zoomScaleNormal="60" workbookViewId="0">
      <pane xSplit="11" ySplit="13" topLeftCell="L14" activePane="bottomRight" state="frozen"/>
      <selection activeCell="I14" sqref="I14"/>
      <selection pane="topRight" activeCell="I14" sqref="I14"/>
      <selection pane="bottomLeft" activeCell="I14" sqref="I14"/>
      <selection pane="bottomRight" activeCell="D33" sqref="D33"/>
    </sheetView>
  </sheetViews>
  <sheetFormatPr baseColWidth="10" defaultColWidth="11.42578125" defaultRowHeight="12.75" x14ac:dyDescent="0.2"/>
  <cols>
    <col min="1" max="1" width="11.42578125" style="7"/>
    <col min="2" max="2" width="8.42578125" style="7" customWidth="1"/>
    <col min="3" max="3" width="40.7109375" style="7" customWidth="1"/>
    <col min="4" max="4" width="36" style="7" bestFit="1" customWidth="1"/>
    <col min="5" max="5" width="20.28515625" style="7" bestFit="1" customWidth="1"/>
    <col min="6" max="7" width="16.42578125" style="7" customWidth="1"/>
    <col min="8" max="8" width="3.42578125" style="7" customWidth="1"/>
    <col min="9" max="9" width="13" style="7" bestFit="1" customWidth="1"/>
    <col min="10" max="10" width="17.7109375" style="7" bestFit="1" customWidth="1"/>
    <col min="11" max="11" width="4.7109375" style="7" hidden="1" customWidth="1"/>
    <col min="12" max="39" width="7.28515625" style="7" customWidth="1"/>
    <col min="40" max="40" width="17.7109375" style="7" customWidth="1"/>
    <col min="41" max="41" width="21.5703125" style="7" customWidth="1"/>
    <col min="42" max="42" width="12.7109375" style="7" hidden="1" customWidth="1"/>
    <col min="43" max="43" width="19.42578125" style="7" hidden="1" customWidth="1"/>
    <col min="44" max="44" width="11.42578125" style="7" hidden="1" customWidth="1"/>
    <col min="45" max="45" width="11.7109375" style="7" customWidth="1"/>
    <col min="46" max="16371" width="11.42578125" style="7"/>
    <col min="16372" max="16376" width="0" style="7" hidden="1" customWidth="1"/>
    <col min="16377" max="16384" width="11.42578125" style="7"/>
  </cols>
  <sheetData>
    <row r="1" spans="1:250 16370:16373" ht="27.75" customHeight="1" x14ac:dyDescent="0.2">
      <c r="B1" s="75"/>
      <c r="C1" s="84" t="str">
        <f>+'ENE 26'!$C$1</f>
        <v>NOTA DE PEDIDO - 1° SEMESTRE 2026 (Enero - Junio)</v>
      </c>
      <c r="D1" s="85"/>
      <c r="E1" s="85"/>
      <c r="F1" s="85"/>
      <c r="G1" s="85"/>
      <c r="H1" s="85"/>
      <c r="I1" s="85"/>
      <c r="J1" s="85"/>
    </row>
    <row r="2" spans="1:250 16370:16373" ht="6" customHeight="1" x14ac:dyDescent="0.2"/>
    <row r="3" spans="1:250 16370:16373" ht="20.25" x14ac:dyDescent="0.2">
      <c r="C3" s="31" t="s">
        <v>54</v>
      </c>
      <c r="D3" s="83" t="s">
        <v>2</v>
      </c>
      <c r="I3" s="32"/>
      <c r="J3" s="32"/>
    </row>
    <row r="4" spans="1:250 16370:16373" ht="6" customHeight="1" x14ac:dyDescent="0.2"/>
    <row r="5" spans="1:250 16370:16373" ht="23.25" x14ac:dyDescent="0.2">
      <c r="C5" s="31" t="s">
        <v>4</v>
      </c>
      <c r="D5" s="305" t="str">
        <f>+IF(D7="","",(VLOOKUP(D7,AUX!$A$1:$B$5610,2,FALSE)))</f>
        <v/>
      </c>
      <c r="E5" s="306"/>
      <c r="F5" s="306"/>
      <c r="G5" s="306"/>
      <c r="H5" s="306"/>
      <c r="I5" s="306"/>
      <c r="J5" s="307"/>
    </row>
    <row r="6" spans="1:250 16370:16373" ht="6" customHeight="1" thickBot="1" x14ac:dyDescent="0.25"/>
    <row r="7" spans="1:250 16370:16373" ht="23.25" x14ac:dyDescent="0.35">
      <c r="C7" s="31" t="s">
        <v>53</v>
      </c>
      <c r="D7" s="86"/>
      <c r="E7" s="33"/>
      <c r="F7" s="33"/>
      <c r="G7" s="33"/>
      <c r="H7" s="34"/>
      <c r="I7" s="314" t="s">
        <v>55</v>
      </c>
      <c r="J7" s="315"/>
      <c r="K7" s="315"/>
      <c r="L7" s="315"/>
      <c r="M7" s="315"/>
      <c r="N7" s="315"/>
      <c r="O7" s="315"/>
      <c r="P7" s="315"/>
      <c r="Q7" s="316"/>
    </row>
    <row r="8" spans="1:250 16370:16373" ht="6" customHeight="1" thickBot="1" x14ac:dyDescent="0.25">
      <c r="I8" s="317"/>
      <c r="J8" s="318"/>
      <c r="K8" s="318"/>
      <c r="L8" s="318"/>
      <c r="M8" s="318"/>
      <c r="N8" s="318"/>
      <c r="O8" s="318"/>
      <c r="P8" s="318"/>
      <c r="Q8" s="326"/>
    </row>
    <row r="9" spans="1:250 16370:16373" ht="27" customHeight="1" thickBot="1" x14ac:dyDescent="0.25">
      <c r="C9" s="31"/>
      <c r="D9" s="126" t="str">
        <f>+AUX!J5</f>
        <v>MAR 2026</v>
      </c>
      <c r="I9" s="35" t="s">
        <v>52</v>
      </c>
      <c r="J9" s="332">
        <f>+AM9</f>
        <v>396</v>
      </c>
      <c r="K9" s="333"/>
      <c r="L9" s="35" t="s">
        <v>35</v>
      </c>
      <c r="M9" s="334">
        <f>+AO9</f>
        <v>15972406.4171123</v>
      </c>
      <c r="N9" s="335"/>
      <c r="O9" s="335"/>
      <c r="P9" s="335"/>
      <c r="Q9" s="336"/>
      <c r="AM9" s="77">
        <f>SUM(AM14:AM101)</f>
        <v>396</v>
      </c>
      <c r="AN9" s="27"/>
      <c r="AO9" s="78">
        <f>SUM(AO14:AO101)</f>
        <v>15972406.4171123</v>
      </c>
    </row>
    <row r="10" spans="1:250 16370:16373" ht="6" customHeight="1" thickBot="1" x14ac:dyDescent="0.25"/>
    <row r="11" spans="1:250 16370:16373" ht="21" thickBot="1" x14ac:dyDescent="0.25">
      <c r="C11" s="1"/>
      <c r="D11" s="1"/>
      <c r="E11" s="1"/>
      <c r="F11" s="1"/>
      <c r="G11" s="1"/>
      <c r="H11" s="308" t="s">
        <v>6</v>
      </c>
      <c r="I11" s="309"/>
      <c r="J11" s="3" t="s">
        <v>51</v>
      </c>
      <c r="K11" s="4">
        <v>1</v>
      </c>
      <c r="L11" s="5" t="s">
        <v>7</v>
      </c>
      <c r="M11" s="6" t="s">
        <v>8</v>
      </c>
      <c r="N11" s="6" t="s">
        <v>9</v>
      </c>
      <c r="O11" s="6" t="s">
        <v>10</v>
      </c>
      <c r="P11" s="6" t="s">
        <v>11</v>
      </c>
      <c r="Q11" s="5" t="s">
        <v>12</v>
      </c>
      <c r="R11" s="6" t="s">
        <v>13</v>
      </c>
      <c r="S11" s="6" t="s">
        <v>14</v>
      </c>
      <c r="T11" s="6" t="s">
        <v>15</v>
      </c>
      <c r="U11" s="6" t="s">
        <v>16</v>
      </c>
      <c r="V11" s="6" t="s">
        <v>17</v>
      </c>
      <c r="W11" s="6" t="s">
        <v>18</v>
      </c>
      <c r="X11" s="6" t="s">
        <v>19</v>
      </c>
      <c r="Y11" s="6" t="s">
        <v>20</v>
      </c>
      <c r="Z11" s="6" t="s">
        <v>21</v>
      </c>
      <c r="AA11" s="5" t="s">
        <v>22</v>
      </c>
      <c r="AB11" s="6" t="s">
        <v>23</v>
      </c>
      <c r="AC11" s="6" t="s">
        <v>24</v>
      </c>
      <c r="AD11" s="6" t="s">
        <v>25</v>
      </c>
      <c r="AE11" s="6" t="s">
        <v>26</v>
      </c>
      <c r="AF11" s="6" t="s">
        <v>27</v>
      </c>
      <c r="AG11" s="6" t="s">
        <v>28</v>
      </c>
      <c r="AH11" s="6" t="s">
        <v>29</v>
      </c>
      <c r="AI11" s="6" t="s">
        <v>30</v>
      </c>
      <c r="AJ11" s="6" t="s">
        <v>31</v>
      </c>
      <c r="AK11" s="6" t="s">
        <v>32</v>
      </c>
      <c r="AL11" s="6" t="s">
        <v>33</v>
      </c>
      <c r="AM11" s="81" t="s">
        <v>34</v>
      </c>
      <c r="AN11" s="2" t="s">
        <v>5</v>
      </c>
      <c r="AO11" s="79" t="s">
        <v>35</v>
      </c>
    </row>
    <row r="12" spans="1:250 16370:16373" ht="21" thickBot="1" x14ac:dyDescent="0.25">
      <c r="H12" s="310" t="s">
        <v>37</v>
      </c>
      <c r="I12" s="311"/>
      <c r="J12" s="9" t="s">
        <v>670</v>
      </c>
      <c r="K12" s="10">
        <v>2</v>
      </c>
      <c r="L12" s="226"/>
      <c r="M12" s="189"/>
      <c r="N12" s="189"/>
      <c r="O12" s="189"/>
      <c r="P12" s="189"/>
      <c r="Q12" s="95"/>
      <c r="R12" s="189"/>
      <c r="S12" s="189"/>
      <c r="T12" s="189"/>
      <c r="U12" s="227"/>
      <c r="V12" s="189"/>
      <c r="W12" s="189"/>
      <c r="X12" s="189"/>
      <c r="Y12" s="189"/>
      <c r="Z12" s="228"/>
      <c r="AA12" s="229"/>
      <c r="AB12" s="189"/>
      <c r="AC12" s="189"/>
      <c r="AD12" s="189"/>
      <c r="AE12" s="189"/>
      <c r="AF12" s="230"/>
      <c r="AG12" s="230"/>
      <c r="AH12" s="230"/>
      <c r="AI12" s="231"/>
      <c r="AJ12" s="95"/>
      <c r="AK12" s="230"/>
      <c r="AL12" s="230"/>
      <c r="AM12" s="82" t="s">
        <v>38</v>
      </c>
      <c r="AN12" s="8" t="s">
        <v>36</v>
      </c>
      <c r="AO12" s="80" t="s">
        <v>38</v>
      </c>
      <c r="HR12" s="123"/>
      <c r="HS12" s="123"/>
      <c r="HT12" s="123"/>
      <c r="HU12" s="123"/>
      <c r="HV12" s="123"/>
      <c r="HW12" s="123"/>
      <c r="HX12" s="123"/>
      <c r="HY12" s="123"/>
      <c r="HZ12" s="123"/>
      <c r="IA12" s="123"/>
      <c r="IB12" s="123"/>
      <c r="IC12" s="123"/>
      <c r="IE12" s="123"/>
      <c r="IF12" s="123"/>
      <c r="IG12" s="123"/>
      <c r="IH12" s="123"/>
      <c r="II12" s="123"/>
      <c r="IJ12" s="123"/>
      <c r="IK12" s="123"/>
      <c r="IL12" s="123"/>
      <c r="IM12" s="123"/>
      <c r="IN12" s="123"/>
      <c r="IO12" s="123"/>
      <c r="IP12" s="123"/>
      <c r="XEP12" s="7">
        <f>+SUM(XEP14:XEP94)</f>
        <v>182</v>
      </c>
      <c r="XEQ12" s="7">
        <f t="shared" ref="XEQ12:XES12" si="0">+SUM(XEQ14:XEQ94)</f>
        <v>0</v>
      </c>
      <c r="XER12" s="7">
        <f t="shared" si="0"/>
        <v>0</v>
      </c>
      <c r="XES12" s="7">
        <f t="shared" si="0"/>
        <v>56</v>
      </c>
    </row>
    <row r="13" spans="1:250 16370:16373" ht="21" thickBot="1" x14ac:dyDescent="0.25">
      <c r="A13" s="75" t="s">
        <v>437</v>
      </c>
      <c r="B13" s="75"/>
      <c r="C13" s="75" t="s">
        <v>39</v>
      </c>
      <c r="D13" s="75" t="s">
        <v>40</v>
      </c>
      <c r="E13" s="75" t="s">
        <v>56</v>
      </c>
      <c r="F13" s="75" t="s">
        <v>373</v>
      </c>
      <c r="G13" s="75" t="s">
        <v>380</v>
      </c>
      <c r="H13" s="12"/>
      <c r="I13" s="13"/>
      <c r="J13" s="23"/>
      <c r="K13" s="14"/>
      <c r="L13" s="270"/>
      <c r="M13" s="271"/>
      <c r="N13" s="95"/>
      <c r="O13" s="96"/>
      <c r="P13" s="97"/>
      <c r="Q13" s="98"/>
      <c r="R13" s="95"/>
      <c r="S13" s="95"/>
      <c r="T13" s="95"/>
      <c r="U13" s="95"/>
      <c r="V13" s="95"/>
      <c r="W13" s="95"/>
      <c r="X13" s="95"/>
      <c r="Y13" s="96"/>
      <c r="Z13" s="97"/>
      <c r="AA13" s="99"/>
      <c r="AB13" s="95"/>
      <c r="AC13" s="95"/>
      <c r="AD13" s="95"/>
      <c r="AE13" s="95"/>
      <c r="AF13" s="95"/>
      <c r="AG13" s="95"/>
      <c r="AH13" s="95"/>
      <c r="AI13" s="100"/>
      <c r="AJ13" s="95"/>
      <c r="AK13" s="95"/>
      <c r="AL13" s="95"/>
      <c r="AM13" s="15"/>
      <c r="AN13" s="11"/>
      <c r="AO13" s="16"/>
      <c r="AP13" s="75" t="s">
        <v>442</v>
      </c>
      <c r="AQ13" s="75" t="s">
        <v>616</v>
      </c>
      <c r="IA13" s="123"/>
      <c r="IB13" s="123"/>
      <c r="IC13" s="123"/>
      <c r="IN13" s="123"/>
      <c r="IO13" s="123"/>
      <c r="IP13" s="123"/>
      <c r="XEP13" s="7" t="s">
        <v>451</v>
      </c>
      <c r="XEQ13" s="7" t="s">
        <v>617</v>
      </c>
      <c r="XER13" s="7" t="s">
        <v>618</v>
      </c>
      <c r="XES13" s="7" t="s">
        <v>453</v>
      </c>
    </row>
    <row r="14" spans="1:250 16370:16373" ht="23.25" customHeight="1" x14ac:dyDescent="0.25">
      <c r="A14" s="104" t="str">
        <f>IF($I14&gt;0,VLOOKUP(I14,'Lista de Precios'!$A$3:$L$2883,9,0),0)</f>
        <v>Hombre</v>
      </c>
      <c r="B14" s="74" t="str">
        <f>IF($I14&gt;0,VLOOKUP(I14,'Lista de Precios'!$A$3:$H$2883,7,0),0)</f>
        <v>CONT</v>
      </c>
      <c r="C14" s="7" t="str">
        <f>IF($I14&gt;0,VLOOKUP(I14,'Lista de Precios'!$A$3:$H$2883,2,0),"")</f>
        <v>WIND 5</v>
      </c>
      <c r="D14" s="7" t="str">
        <f>IF($I14&gt;0,VLOOKUP($I14,'Lista de Precios'!$A$3:$H$2883,3,0),"")</f>
        <v>NEGRO/GRIS</v>
      </c>
      <c r="E14" s="76" t="str">
        <f>IF($I14&gt;0,VLOOKUP(I14,'Lista de Precios'!$A$3:$H$2883,6,0),"")</f>
        <v>ENERO</v>
      </c>
      <c r="F14" s="76" t="str">
        <f>IF($I14&gt;0,VLOOKUP(I14,'Lista de Precios'!$A$3:$H$2883,8,0),"")</f>
        <v>35 AL 45</v>
      </c>
      <c r="G14" s="101">
        <f>IF(AN14="","",AN14*1.87)</f>
        <v>68900</v>
      </c>
      <c r="H14" s="19" t="s">
        <v>3</v>
      </c>
      <c r="I14" s="18">
        <v>25787</v>
      </c>
      <c r="J14" s="28" t="str">
        <f>+E14</f>
        <v>ENERO</v>
      </c>
      <c r="K14" s="24">
        <f>+IF($I14&gt;0,VLOOKUP($I14,'Lista de Precios'!$A$3:$H$2883,5,0),0)</f>
        <v>1</v>
      </c>
      <c r="L14" s="36"/>
      <c r="M14" s="36"/>
      <c r="N14" s="36"/>
      <c r="O14" s="37"/>
      <c r="P14" s="38"/>
      <c r="Q14" s="39"/>
      <c r="R14" s="37"/>
      <c r="S14" s="37"/>
      <c r="T14" s="37"/>
      <c r="U14" s="37"/>
      <c r="V14" s="37"/>
      <c r="W14" s="37"/>
      <c r="X14" s="37"/>
      <c r="Y14" s="37"/>
      <c r="Z14" s="40"/>
      <c r="AA14" s="41"/>
      <c r="AB14" s="37"/>
      <c r="AC14" s="37">
        <v>4</v>
      </c>
      <c r="AD14" s="37">
        <v>4</v>
      </c>
      <c r="AE14" s="37">
        <v>6</v>
      </c>
      <c r="AF14" s="37">
        <v>6</v>
      </c>
      <c r="AG14" s="37"/>
      <c r="AH14" s="36"/>
      <c r="AI14" s="36"/>
      <c r="AJ14" s="43"/>
      <c r="AK14" s="43"/>
      <c r="AL14" s="43"/>
      <c r="AM14" s="73">
        <f t="shared" ref="AM14:AM46" si="1">+IF(I14&gt;0,SUM(L14:AL14),0)</f>
        <v>20</v>
      </c>
      <c r="AN14" s="70">
        <f>+IF($I14&gt;0,VLOOKUP($I14,'Lista de Precios'!$A$3:$H$2883,4,0),"")</f>
        <v>36844.919786096252</v>
      </c>
      <c r="AO14" s="67">
        <f>+IF(AM14&gt;0,AN14*AM14,"")</f>
        <v>736898.39572192507</v>
      </c>
      <c r="AP14" s="7" t="str">
        <f>IF($I14&gt;0,VLOOKUP($I14,'Lista de Precios'!$A$3:$K$2883,10,0),"")</f>
        <v>Running</v>
      </c>
      <c r="AQ14" s="7" t="str">
        <f>IF($I14&gt;0,VLOOKUP($I14,'Lista de Precios'!$A$3:$M$4893,13,0),"")</f>
        <v>Running+Training</v>
      </c>
      <c r="AR14" s="7" t="str">
        <f>IF($I14&gt;0,VLOOKUP(I14,'Lista de Precios'!$A$3:$M$2883,13,0),"")</f>
        <v>Running+Training</v>
      </c>
      <c r="HR14" s="134"/>
      <c r="HS14" s="134"/>
      <c r="HT14" s="134"/>
      <c r="HU14" s="134"/>
      <c r="HV14" s="134"/>
      <c r="HW14" s="134"/>
      <c r="HX14" s="134"/>
      <c r="HY14" s="134"/>
      <c r="HZ14" s="134"/>
      <c r="IA14" s="134"/>
      <c r="IB14" s="134"/>
      <c r="IC14" s="134"/>
      <c r="IE14" s="134"/>
      <c r="IF14" s="134"/>
      <c r="IG14" s="134"/>
      <c r="IH14" s="134"/>
      <c r="II14" s="134"/>
      <c r="IJ14" s="134"/>
      <c r="IK14" s="134"/>
      <c r="IL14" s="134"/>
      <c r="IM14" s="134"/>
      <c r="IN14" s="135"/>
      <c r="IO14" s="135"/>
      <c r="IP14" s="135"/>
      <c r="XEP14" s="7" t="str">
        <f>+IF($AQ14=$XEP$13,$AM14,"")</f>
        <v/>
      </c>
      <c r="XEQ14" s="7" t="str">
        <f>+IF($AQ14=$XEQ$13,$AM14,"")</f>
        <v/>
      </c>
      <c r="XER14" s="7" t="str">
        <f>+IF($AQ14=$XER$13,$AM14,"")</f>
        <v/>
      </c>
      <c r="XES14" s="7" t="str">
        <f>+IF($AQ14=$XES$13,$AM14,"")</f>
        <v/>
      </c>
    </row>
    <row r="15" spans="1:250 16370:16373" ht="23.25" customHeight="1" x14ac:dyDescent="0.25">
      <c r="A15" s="74" t="str">
        <f>IF($I15&gt;0,VLOOKUP(I15,'Lista de Precios'!$A$3:$L$2883,9,0),0)</f>
        <v>Mujer</v>
      </c>
      <c r="B15" s="74" t="str">
        <f>IF($I15&gt;0,VLOOKUP(I15,'Lista de Precios'!$A$3:$H$2883,7,0),0)</f>
        <v>LANZ</v>
      </c>
      <c r="C15" s="7" t="str">
        <f>IF($I15&gt;0,VLOOKUP(I15,'Lista de Precios'!$A$3:$H$2883,2,0),"")</f>
        <v>KALYAN</v>
      </c>
      <c r="D15" s="7" t="str">
        <f>IF($I15&gt;0,VLOOKUP(I15,'Lista de Precios'!$A$3:$H$2883,3,0),"")</f>
        <v>NEGRO/FUCSIA DIVA</v>
      </c>
      <c r="E15" s="76" t="str">
        <f>IF($I15&gt;0,VLOOKUP(I15,'Lista de Precios'!$A$3:$H$2883,6,0),"")</f>
        <v>MARZO</v>
      </c>
      <c r="F15" s="76" t="str">
        <f>IF($I15&gt;0,VLOOKUP(I15,'Lista de Precios'!$A$3:$H$2883,8,0),"")</f>
        <v>35 AL 40</v>
      </c>
      <c r="G15" s="101">
        <f t="shared" ref="G15:G79" si="2">IF(AN15="","",AN15*1.87)</f>
        <v>59900</v>
      </c>
      <c r="H15" s="20" t="s">
        <v>3</v>
      </c>
      <c r="I15" s="18">
        <v>27342</v>
      </c>
      <c r="J15" s="28" t="str">
        <f>+E15</f>
        <v>MARZO</v>
      </c>
      <c r="K15" s="24">
        <f>+IF($I15&gt;0,VLOOKUP($I15,'Lista de Precios'!$A$3:$H$2883,5,0),0)</f>
        <v>1</v>
      </c>
      <c r="L15" s="36"/>
      <c r="M15" s="36"/>
      <c r="N15" s="36"/>
      <c r="O15" s="37"/>
      <c r="P15" s="38"/>
      <c r="Q15" s="39"/>
      <c r="R15" s="37"/>
      <c r="S15" s="37"/>
      <c r="T15" s="37"/>
      <c r="U15" s="37"/>
      <c r="V15" s="37"/>
      <c r="W15" s="37"/>
      <c r="X15" s="37"/>
      <c r="Y15" s="37"/>
      <c r="Z15" s="40"/>
      <c r="AA15" s="41"/>
      <c r="AB15" s="37">
        <v>2</v>
      </c>
      <c r="AC15" s="37">
        <v>4</v>
      </c>
      <c r="AD15" s="37">
        <v>8</v>
      </c>
      <c r="AE15" s="37">
        <v>8</v>
      </c>
      <c r="AF15" s="37">
        <v>6</v>
      </c>
      <c r="AG15" s="37"/>
      <c r="AH15" s="36"/>
      <c r="AI15" s="36"/>
      <c r="AJ15" s="43"/>
      <c r="AK15" s="43"/>
      <c r="AL15" s="43"/>
      <c r="AM15" s="73">
        <f t="shared" si="1"/>
        <v>28</v>
      </c>
      <c r="AN15" s="71">
        <f>+IF($I15&gt;0,VLOOKUP($I15,'Lista de Precios'!$A$3:$H$2883,4,0),"")</f>
        <v>32032.085561497326</v>
      </c>
      <c r="AO15" s="68">
        <f t="shared" ref="AO15:AO79" si="3">+IF(AM15&gt;0,AN15*AM15,"")</f>
        <v>896898.39572192519</v>
      </c>
      <c r="AP15" s="7" t="str">
        <f>IF($I15&gt;0,VLOOKUP($I15,'Lista de Precios'!$A$3:$K$2883,10,0),"")</f>
        <v>Running</v>
      </c>
      <c r="AQ15" s="7" t="str">
        <f>IF($I15&gt;0,VLOOKUP($I15,'Lista de Precios'!$A$3:$M$4893,13,0),"")</f>
        <v>Running+Training</v>
      </c>
      <c r="AR15" s="7" t="str">
        <f>IF($I15&gt;0,VLOOKUP(I15,'Lista de Precios'!$A$3:$M$2883,13,0),"")</f>
        <v>Running+Training</v>
      </c>
      <c r="HR15" s="134"/>
      <c r="HS15" s="134"/>
      <c r="HT15" s="134"/>
      <c r="HU15" s="134"/>
      <c r="HV15" s="134"/>
      <c r="HW15" s="134"/>
      <c r="HX15" s="134"/>
      <c r="HY15" s="134"/>
      <c r="HZ15" s="134"/>
      <c r="IA15" s="134"/>
      <c r="IB15" s="134"/>
      <c r="IC15" s="134"/>
      <c r="IE15" s="134"/>
      <c r="IF15" s="134"/>
      <c r="IG15" s="134"/>
      <c r="IH15" s="134"/>
      <c r="II15" s="134"/>
      <c r="IJ15" s="134"/>
      <c r="IK15" s="134"/>
      <c r="IL15" s="134"/>
      <c r="IM15" s="134"/>
      <c r="IN15" s="135"/>
      <c r="IO15" s="135"/>
      <c r="IP15" s="135"/>
      <c r="XEP15" s="7" t="str">
        <f t="shared" ref="XEP15:XEP79" si="4">+IF($AQ15=$XEP$13,$AM15,"")</f>
        <v/>
      </c>
      <c r="XEQ15" s="7" t="str">
        <f t="shared" ref="XEQ15:XEQ79" si="5">+IF($AQ15=$XEQ$13,$AM15,"")</f>
        <v/>
      </c>
      <c r="XER15" s="7" t="str">
        <f t="shared" ref="XER15:XER79" si="6">+IF($AQ15=$XER$13,$AM15,"")</f>
        <v/>
      </c>
      <c r="XES15" s="7" t="str">
        <f t="shared" ref="XES15:XES79" si="7">+IF($AQ15=$XES$13,$AM15,"")</f>
        <v/>
      </c>
    </row>
    <row r="16" spans="1:250 16370:16373" ht="23.25" customHeight="1" x14ac:dyDescent="0.25">
      <c r="A16" s="74" t="str">
        <f>IF($I16&gt;0,VLOOKUP(I16,'Lista de Precios'!$A$3:$L$2883,9,0),0)</f>
        <v>Mujer</v>
      </c>
      <c r="B16" s="74" t="str">
        <f>IF($I16&gt;0,VLOOKUP(I16,'Lista de Precios'!$A$3:$H$2883,7,0),0)</f>
        <v>LANZ</v>
      </c>
      <c r="C16" s="7" t="str">
        <f>IF($I16&gt;0,VLOOKUP(I16,'Lista de Precios'!$A$3:$H$2883,2,0),"")</f>
        <v>KALYAN</v>
      </c>
      <c r="D16" s="7" t="str">
        <f>IF($I16&gt;0,VLOOKUP(I16,'Lista de Precios'!$A$3:$H$2883,3,0),"")</f>
        <v>VIOLETA HUCKLE/ROSA GRAY</v>
      </c>
      <c r="E16" s="76" t="str">
        <f>IF($I16&gt;0,VLOOKUP(I16,'Lista de Precios'!$A$3:$H$2883,6,0),"")</f>
        <v>MARZO</v>
      </c>
      <c r="F16" s="76" t="str">
        <f>IF($I16&gt;0,VLOOKUP(I16,'Lista de Precios'!$A$3:$H$2883,8,0),"")</f>
        <v>35 AL 40</v>
      </c>
      <c r="G16" s="101">
        <f t="shared" si="2"/>
        <v>59900</v>
      </c>
      <c r="H16" s="20" t="s">
        <v>3</v>
      </c>
      <c r="I16" s="18">
        <v>27341</v>
      </c>
      <c r="J16" s="28" t="str">
        <f t="shared" ref="J16:J80" si="8">+E16</f>
        <v>MARZO</v>
      </c>
      <c r="K16" s="24">
        <f>+IF($I16&gt;0,VLOOKUP($I16,'Lista de Precios'!$A$3:$H$2883,5,0),0)</f>
        <v>1</v>
      </c>
      <c r="L16" s="36"/>
      <c r="M16" s="36"/>
      <c r="N16" s="36"/>
      <c r="O16" s="37"/>
      <c r="P16" s="38"/>
      <c r="Q16" s="39"/>
      <c r="R16" s="37"/>
      <c r="S16" s="37"/>
      <c r="T16" s="37"/>
      <c r="U16" s="37"/>
      <c r="V16" s="37"/>
      <c r="W16" s="37"/>
      <c r="X16" s="37"/>
      <c r="Y16" s="37"/>
      <c r="Z16" s="40"/>
      <c r="AA16" s="41"/>
      <c r="AB16" s="37">
        <v>2</v>
      </c>
      <c r="AC16" s="37">
        <v>4</v>
      </c>
      <c r="AD16" s="37">
        <v>6</v>
      </c>
      <c r="AE16" s="37">
        <v>6</v>
      </c>
      <c r="AF16" s="37">
        <v>4</v>
      </c>
      <c r="AG16" s="37"/>
      <c r="AH16" s="36"/>
      <c r="AI16" s="36"/>
      <c r="AJ16" s="43"/>
      <c r="AK16" s="43"/>
      <c r="AL16" s="43"/>
      <c r="AM16" s="73">
        <f t="shared" si="1"/>
        <v>22</v>
      </c>
      <c r="AN16" s="71">
        <f>+IF($I16&gt;0,VLOOKUP($I16,'Lista de Precios'!$A$3:$H$2883,4,0),"")</f>
        <v>32032.085561497326</v>
      </c>
      <c r="AO16" s="68">
        <f t="shared" si="3"/>
        <v>704705.8823529412</v>
      </c>
      <c r="AP16" s="7" t="str">
        <f>IF($I16&gt;0,VLOOKUP($I16,'Lista de Precios'!$A$3:$K$2883,10,0),"")</f>
        <v>Running</v>
      </c>
      <c r="AQ16" s="7" t="str">
        <f>IF($I16&gt;0,VLOOKUP($I16,'Lista de Precios'!$A$3:$M$4893,13,0),"")</f>
        <v>Running+Training</v>
      </c>
      <c r="AR16" s="7" t="str">
        <f>IF($I16&gt;0,VLOOKUP(I16,'Lista de Precios'!$A$3:$M$2883,13,0),"")</f>
        <v>Running+Training</v>
      </c>
      <c r="HR16" s="134"/>
      <c r="HS16" s="134"/>
      <c r="HT16" s="134"/>
      <c r="HU16" s="134"/>
      <c r="HV16" s="134"/>
      <c r="HW16" s="134"/>
      <c r="HX16" s="134"/>
      <c r="HY16" s="134"/>
      <c r="HZ16" s="134"/>
      <c r="IA16" s="134"/>
      <c r="IB16" s="134"/>
      <c r="IC16" s="134"/>
      <c r="IE16" s="134"/>
      <c r="IF16" s="134"/>
      <c r="IG16" s="134"/>
      <c r="IH16" s="134"/>
      <c r="II16" s="134"/>
      <c r="IJ16" s="134"/>
      <c r="IK16" s="134"/>
      <c r="IL16" s="134"/>
      <c r="IM16" s="134"/>
      <c r="IN16" s="135"/>
      <c r="IO16" s="135"/>
      <c r="IP16" s="135"/>
      <c r="XEP16" s="7" t="str">
        <f t="shared" si="4"/>
        <v/>
      </c>
      <c r="XEQ16" s="7" t="str">
        <f t="shared" si="5"/>
        <v/>
      </c>
      <c r="XER16" s="7" t="str">
        <f t="shared" si="6"/>
        <v/>
      </c>
      <c r="XES16" s="7" t="str">
        <f t="shared" si="7"/>
        <v/>
      </c>
    </row>
    <row r="17" spans="1:250 16369:16373" ht="23.25" customHeight="1" x14ac:dyDescent="0.25">
      <c r="A17" s="74" t="str">
        <f>IF($I17&gt;0,VLOOKUP(I17,'Lista de Precios'!$A$3:$L$2883,9,0),0)</f>
        <v>Hombre</v>
      </c>
      <c r="B17" s="74" t="str">
        <f>IF($I17&gt;0,VLOOKUP(I17,'Lista de Precios'!$A$3:$H$2883,7,0),0)</f>
        <v>LANZ</v>
      </c>
      <c r="C17" s="7" t="str">
        <f>IF($I17&gt;0,VLOOKUP(I17,'Lista de Precios'!$A$3:$H$2883,2,0),"")</f>
        <v>KALYAN</v>
      </c>
      <c r="D17" s="7" t="str">
        <f>IF($I17&gt;0,VLOOKUP(I17,'Lista de Precios'!$A$3:$H$2883,3,0),"")</f>
        <v>GRIS CITY/AMARILLO SAFE</v>
      </c>
      <c r="E17" s="76" t="str">
        <f>IF($I17&gt;0,VLOOKUP(I17,'Lista de Precios'!$A$3:$H$2883,6,0),"")</f>
        <v>MARZO</v>
      </c>
      <c r="F17" s="76" t="str">
        <f>IF($I17&gt;0,VLOOKUP(I17,'Lista de Precios'!$A$3:$H$2883,8,0),"")</f>
        <v>35 AL 45</v>
      </c>
      <c r="G17" s="101">
        <f t="shared" si="2"/>
        <v>59900</v>
      </c>
      <c r="H17" s="20" t="s">
        <v>3</v>
      </c>
      <c r="I17" s="18">
        <v>27340</v>
      </c>
      <c r="J17" s="28" t="str">
        <f t="shared" si="8"/>
        <v>MARZO</v>
      </c>
      <c r="K17" s="24">
        <f>+IF($I17&gt;0,VLOOKUP($I17,'Lista de Precios'!$A$3:$H$2883,5,0),0)</f>
        <v>1</v>
      </c>
      <c r="L17" s="36"/>
      <c r="M17" s="36"/>
      <c r="N17" s="36"/>
      <c r="O17" s="37"/>
      <c r="P17" s="38"/>
      <c r="Q17" s="39"/>
      <c r="R17" s="37"/>
      <c r="S17" s="37"/>
      <c r="T17" s="37"/>
      <c r="U17" s="37"/>
      <c r="V17" s="37"/>
      <c r="W17" s="37"/>
      <c r="X17" s="37"/>
      <c r="Y17" s="37"/>
      <c r="Z17" s="40"/>
      <c r="AA17" s="41"/>
      <c r="AB17" s="37"/>
      <c r="AC17" s="37"/>
      <c r="AD17" s="37"/>
      <c r="AE17" s="37">
        <v>2</v>
      </c>
      <c r="AF17" s="37">
        <v>4</v>
      </c>
      <c r="AG17" s="37">
        <v>8</v>
      </c>
      <c r="AH17" s="36">
        <v>6</v>
      </c>
      <c r="AI17" s="36">
        <v>4</v>
      </c>
      <c r="AJ17" s="43">
        <v>2</v>
      </c>
      <c r="AK17" s="43">
        <v>2</v>
      </c>
      <c r="AL17" s="43"/>
      <c r="AM17" s="73">
        <f t="shared" si="1"/>
        <v>28</v>
      </c>
      <c r="AN17" s="71">
        <f>+IF($I17&gt;0,VLOOKUP($I17,'Lista de Precios'!$A$3:$H$2883,4,0),"")</f>
        <v>32032.085561497326</v>
      </c>
      <c r="AO17" s="68">
        <f t="shared" si="3"/>
        <v>896898.39572192519</v>
      </c>
      <c r="AP17" s="7" t="str">
        <f>IF($I17&gt;0,VLOOKUP($I17,'Lista de Precios'!$A$3:$K$2883,10,0),"")</f>
        <v>Running</v>
      </c>
      <c r="AQ17" s="7" t="str">
        <f>IF($I17&gt;0,VLOOKUP($I17,'Lista de Precios'!$A$3:$M$4893,13,0),"")</f>
        <v>Running+Training</v>
      </c>
      <c r="AR17" s="7" t="str">
        <f>IF($I17&gt;0,VLOOKUP(I17,'Lista de Precios'!$A$3:$M$2883,13,0),"")</f>
        <v>Running+Training</v>
      </c>
      <c r="HR17" s="134"/>
      <c r="HS17" s="134"/>
      <c r="HT17" s="134"/>
      <c r="HU17" s="134"/>
      <c r="HV17" s="134"/>
      <c r="HW17" s="134"/>
      <c r="HX17" s="134"/>
      <c r="HY17" s="134"/>
      <c r="HZ17" s="134"/>
      <c r="IA17" s="134"/>
      <c r="IB17" s="134"/>
      <c r="IC17" s="134"/>
      <c r="IE17" s="134"/>
      <c r="IF17" s="134"/>
      <c r="IG17" s="134"/>
      <c r="IH17" s="134"/>
      <c r="II17" s="134"/>
      <c r="IJ17" s="134"/>
      <c r="IK17" s="134"/>
      <c r="IL17" s="134"/>
      <c r="IM17" s="134"/>
      <c r="IN17" s="135"/>
      <c r="IO17" s="135"/>
      <c r="IP17" s="135"/>
      <c r="XEP17" s="7" t="str">
        <f t="shared" si="4"/>
        <v/>
      </c>
      <c r="XEQ17" s="7" t="str">
        <f t="shared" si="5"/>
        <v/>
      </c>
      <c r="XER17" s="7" t="str">
        <f t="shared" si="6"/>
        <v/>
      </c>
      <c r="XES17" s="7" t="str">
        <f t="shared" si="7"/>
        <v/>
      </c>
    </row>
    <row r="18" spans="1:250 16369:16373" ht="23.25" customHeight="1" x14ac:dyDescent="0.25">
      <c r="A18" s="74" t="str">
        <f>IF($I18&gt;0,VLOOKUP(I18,'Lista de Precios'!$A$3:$L$2883,9,0),0)</f>
        <v>Unisex</v>
      </c>
      <c r="B18" s="74" t="str">
        <f>IF($I18&gt;0,VLOOKUP(I18,'Lista de Precios'!$A$3:$H$2883,7,0),0)</f>
        <v>CONT</v>
      </c>
      <c r="C18" s="7" t="str">
        <f>IF($I18&gt;0,VLOOKUP(I18,'Lista de Precios'!$A$3:$H$2883,2,0),"")</f>
        <v>CAMPAZ</v>
      </c>
      <c r="D18" s="7" t="str">
        <f>IF($I18&gt;0,VLOOKUP(I18,'Lista de Precios'!$A$3:$H$2883,3,0),"")</f>
        <v>OLIVA OSCURO/OLIVA MOSS</v>
      </c>
      <c r="E18" s="76" t="str">
        <f>IF($I18&gt;0,VLOOKUP(I18,'Lista de Precios'!$A$3:$H$2883,6,0),"")</f>
        <v>FEBRERO</v>
      </c>
      <c r="F18" s="76" t="str">
        <f>IF($I18&gt;0,VLOOKUP(I18,'Lista de Precios'!$A$3:$H$2883,8,0),"")</f>
        <v>35 AL 45</v>
      </c>
      <c r="G18" s="101">
        <f t="shared" si="2"/>
        <v>94400</v>
      </c>
      <c r="H18" s="20" t="s">
        <v>3</v>
      </c>
      <c r="I18" s="18">
        <v>25766</v>
      </c>
      <c r="J18" s="28" t="str">
        <f t="shared" si="8"/>
        <v>FEBRERO</v>
      </c>
      <c r="K18" s="24">
        <f>+IF($I18&gt;0,VLOOKUP($I18,'Lista de Precios'!$A$3:$H$2883,5,0),0)</f>
        <v>1</v>
      </c>
      <c r="L18" s="36"/>
      <c r="M18" s="36"/>
      <c r="N18" s="36"/>
      <c r="O18" s="37"/>
      <c r="P18" s="38"/>
      <c r="Q18" s="39"/>
      <c r="R18" s="37"/>
      <c r="S18" s="37"/>
      <c r="T18" s="37"/>
      <c r="U18" s="37"/>
      <c r="V18" s="37"/>
      <c r="W18" s="37"/>
      <c r="X18" s="37"/>
      <c r="Y18" s="37"/>
      <c r="Z18" s="40"/>
      <c r="AA18" s="41"/>
      <c r="AB18" s="37"/>
      <c r="AC18" s="37"/>
      <c r="AD18" s="37"/>
      <c r="AE18" s="37"/>
      <c r="AF18" s="37"/>
      <c r="AG18" s="37">
        <v>6</v>
      </c>
      <c r="AH18" s="42">
        <v>4</v>
      </c>
      <c r="AI18" s="42">
        <v>2</v>
      </c>
      <c r="AJ18" s="43">
        <v>2</v>
      </c>
      <c r="AK18" s="43">
        <v>2</v>
      </c>
      <c r="AL18" s="43"/>
      <c r="AM18" s="73">
        <f t="shared" si="1"/>
        <v>16</v>
      </c>
      <c r="AN18" s="71">
        <f>+IF($I18&gt;0,VLOOKUP($I18,'Lista de Precios'!$A$3:$H$2883,4,0),"")</f>
        <v>50481.283422459892</v>
      </c>
      <c r="AO18" s="68">
        <f t="shared" si="3"/>
        <v>807700.53475935827</v>
      </c>
      <c r="AP18" s="7" t="str">
        <f>IF($I18&gt;0,VLOOKUP($I18,'Lista de Precios'!$A$3:$K$2883,10,0),"")</f>
        <v>Casual</v>
      </c>
      <c r="AQ18" s="7" t="str">
        <f>IF($I18&gt;0,VLOOKUP($I18,'Lista de Precios'!$A$3:$M$4893,13,0),"")</f>
        <v>Casual</v>
      </c>
      <c r="AR18" s="7" t="str">
        <f>IF($I18&gt;0,VLOOKUP(I18,'Lista de Precios'!$A$3:$M$2883,13,0),"")</f>
        <v>Casual</v>
      </c>
      <c r="HR18" s="134"/>
      <c r="HS18" s="134"/>
      <c r="HT18" s="134"/>
      <c r="HU18" s="134"/>
      <c r="HV18" s="134"/>
      <c r="HW18" s="134"/>
      <c r="HX18" s="134"/>
      <c r="HY18" s="134"/>
      <c r="HZ18" s="134"/>
      <c r="IA18" s="134"/>
      <c r="IB18" s="134"/>
      <c r="IC18" s="134"/>
      <c r="IE18" s="134"/>
      <c r="IF18" s="134"/>
      <c r="IG18" s="134"/>
      <c r="IH18" s="134"/>
      <c r="II18" s="134"/>
      <c r="IJ18" s="134"/>
      <c r="IK18" s="134"/>
      <c r="IL18" s="134"/>
      <c r="IM18" s="134"/>
      <c r="IN18" s="135"/>
      <c r="IO18" s="135"/>
      <c r="IP18" s="135"/>
      <c r="XEP18" s="7">
        <f t="shared" si="4"/>
        <v>16</v>
      </c>
      <c r="XEQ18" s="7" t="str">
        <f t="shared" si="5"/>
        <v/>
      </c>
      <c r="XER18" s="7" t="str">
        <f t="shared" si="6"/>
        <v/>
      </c>
      <c r="XES18" s="7" t="str">
        <f t="shared" si="7"/>
        <v/>
      </c>
    </row>
    <row r="19" spans="1:250 16369:16373" ht="23.25" customHeight="1" x14ac:dyDescent="0.25">
      <c r="A19" s="74" t="str">
        <f>IF($I19&gt;0,VLOOKUP(I19,'Lista de Precios'!$A$3:$L$2883,9,0),0)</f>
        <v>Unisex</v>
      </c>
      <c r="B19" s="74" t="str">
        <f>IF($I19&gt;0,VLOOKUP(I19,'Lista de Precios'!$A$3:$H$2883,7,0),0)</f>
        <v>CONT</v>
      </c>
      <c r="C19" s="7" t="str">
        <f>IF($I19&gt;0,VLOOKUP(I19,'Lista de Precios'!$A$3:$H$2883,2,0),"")</f>
        <v>CAMPAZ</v>
      </c>
      <c r="D19" s="7" t="str">
        <f>IF($I19&gt;0,VLOOKUP(I19,'Lista de Precios'!$A$3:$H$2883,3,0),"")</f>
        <v>GRIS CITY/GRIS MAGNET/NARANJA JAFFA</v>
      </c>
      <c r="E19" s="76" t="str">
        <f>IF($I19&gt;0,VLOOKUP(I19,'Lista de Precios'!$A$3:$H$2883,6,0),"")</f>
        <v>FEBRERO</v>
      </c>
      <c r="F19" s="76" t="str">
        <f>IF($I19&gt;0,VLOOKUP(I19,'Lista de Precios'!$A$3:$H$2883,8,0),"")</f>
        <v>35 AL 45</v>
      </c>
      <c r="G19" s="101">
        <f t="shared" si="2"/>
        <v>94400</v>
      </c>
      <c r="H19" s="20" t="s">
        <v>3</v>
      </c>
      <c r="I19" s="18">
        <v>25765</v>
      </c>
      <c r="J19" s="28" t="str">
        <f t="shared" si="8"/>
        <v>FEBRERO</v>
      </c>
      <c r="K19" s="24">
        <f>+IF($I19&gt;0,VLOOKUP($I19,'Lista de Precios'!$A$3:$H$2883,5,0),0)</f>
        <v>1</v>
      </c>
      <c r="L19" s="36"/>
      <c r="M19" s="36"/>
      <c r="N19" s="36"/>
      <c r="O19" s="37"/>
      <c r="P19" s="38"/>
      <c r="Q19" s="39"/>
      <c r="R19" s="37"/>
      <c r="S19" s="37"/>
      <c r="T19" s="37"/>
      <c r="U19" s="37"/>
      <c r="V19" s="37"/>
      <c r="W19" s="37"/>
      <c r="X19" s="37"/>
      <c r="Y19" s="37"/>
      <c r="Z19" s="40"/>
      <c r="AA19" s="41"/>
      <c r="AB19" s="37"/>
      <c r="AC19" s="37"/>
      <c r="AD19" s="37"/>
      <c r="AE19" s="37"/>
      <c r="AF19" s="37"/>
      <c r="AG19" s="37">
        <v>6</v>
      </c>
      <c r="AH19" s="42">
        <v>4</v>
      </c>
      <c r="AI19" s="42">
        <v>2</v>
      </c>
      <c r="AJ19" s="43">
        <v>2</v>
      </c>
      <c r="AK19" s="43">
        <v>2</v>
      </c>
      <c r="AL19" s="43"/>
      <c r="AM19" s="73">
        <f t="shared" si="1"/>
        <v>16</v>
      </c>
      <c r="AN19" s="71">
        <f>+IF($I19&gt;0,VLOOKUP($I19,'Lista de Precios'!$A$3:$H$2883,4,0),"")</f>
        <v>50481.283422459892</v>
      </c>
      <c r="AO19" s="68">
        <f t="shared" si="3"/>
        <v>807700.53475935827</v>
      </c>
      <c r="AP19" s="7" t="str">
        <f>IF($I19&gt;0,VLOOKUP($I19,'Lista de Precios'!$A$3:$K$2883,10,0),"")</f>
        <v>Casual</v>
      </c>
      <c r="AQ19" s="7" t="str">
        <f>IF($I19&gt;0,VLOOKUP($I19,'Lista de Precios'!$A$3:$M$4893,13,0),"")</f>
        <v>Casual</v>
      </c>
      <c r="AR19" s="7" t="str">
        <f>IF($I19&gt;0,VLOOKUP(I19,'Lista de Precios'!$A$3:$M$2883,13,0),"")</f>
        <v>Casual</v>
      </c>
      <c r="HR19" s="134"/>
      <c r="HS19" s="134"/>
      <c r="HT19" s="134"/>
      <c r="HU19" s="134"/>
      <c r="HV19" s="134"/>
      <c r="HW19" s="134"/>
      <c r="HX19" s="134"/>
      <c r="HY19" s="134"/>
      <c r="HZ19" s="134"/>
      <c r="IA19" s="134"/>
      <c r="IB19" s="134"/>
      <c r="IC19" s="134"/>
      <c r="IE19" s="134"/>
      <c r="IF19" s="134"/>
      <c r="IG19" s="134"/>
      <c r="IH19" s="134"/>
      <c r="II19" s="134"/>
      <c r="IJ19" s="134"/>
      <c r="IK19" s="134"/>
      <c r="IL19" s="134"/>
      <c r="IM19" s="134"/>
      <c r="IN19" s="135"/>
      <c r="IO19" s="135"/>
      <c r="IP19" s="135"/>
      <c r="XEP19" s="7">
        <f t="shared" si="4"/>
        <v>16</v>
      </c>
      <c r="XEQ19" s="7" t="str">
        <f t="shared" si="5"/>
        <v/>
      </c>
      <c r="XER19" s="7" t="str">
        <f t="shared" si="6"/>
        <v/>
      </c>
      <c r="XES19" s="7" t="str">
        <f t="shared" si="7"/>
        <v/>
      </c>
    </row>
    <row r="20" spans="1:250 16369:16373" ht="23.25" customHeight="1" x14ac:dyDescent="0.25">
      <c r="A20" s="74" t="str">
        <f>IF($I20&gt;0,VLOOKUP(I20,'Lista de Precios'!$A$3:$L$2883,9,0),0)</f>
        <v>Kids</v>
      </c>
      <c r="B20" s="74" t="str">
        <f>IF($I20&gt;0,VLOOKUP(I20,'Lista de Precios'!$A$3:$H$2883,7,0),0)</f>
        <v>NC</v>
      </c>
      <c r="C20" s="7" t="str">
        <f>IF($I20&gt;0,VLOOKUP(I20,'Lista de Precios'!$A$3:$H$2883,2,0),"")</f>
        <v>ITEN KIDS</v>
      </c>
      <c r="D20" s="7" t="str">
        <f>IF($I20&gt;0,VLOOKUP(I20,'Lista de Precios'!$A$3:$H$2883,3,0),"")</f>
        <v>GRIS LUNAR / ROSA SUGAR / AMARILLO DROP</v>
      </c>
      <c r="E20" s="76" t="str">
        <f>IF($I20&gt;0,VLOOKUP(I20,'Lista de Precios'!$A$3:$H$2883,6,0),"")</f>
        <v>MARZO</v>
      </c>
      <c r="F20" s="76" t="str">
        <f>IF($I20&gt;0,VLOOKUP(I20,'Lista de Precios'!$A$3:$H$2883,8,0),"")</f>
        <v>25 AL 34</v>
      </c>
      <c r="G20" s="101">
        <f t="shared" si="2"/>
        <v>61899.999999999993</v>
      </c>
      <c r="H20" s="20" t="s">
        <v>3</v>
      </c>
      <c r="I20" s="18">
        <v>52513</v>
      </c>
      <c r="J20" s="28" t="str">
        <f t="shared" si="8"/>
        <v>MARZO</v>
      </c>
      <c r="K20" s="24">
        <f>+IF($I20&gt;0,VLOOKUP($I20,'Lista de Precios'!$A$3:$H$2883,5,0),0)</f>
        <v>1</v>
      </c>
      <c r="L20" s="36"/>
      <c r="M20" s="36"/>
      <c r="N20" s="36"/>
      <c r="O20" s="37"/>
      <c r="P20" s="38"/>
      <c r="Q20" s="39"/>
      <c r="R20" s="37">
        <v>4</v>
      </c>
      <c r="S20" s="37">
        <v>2</v>
      </c>
      <c r="T20" s="37">
        <v>4</v>
      </c>
      <c r="U20" s="37">
        <v>2</v>
      </c>
      <c r="V20" s="37">
        <v>6</v>
      </c>
      <c r="W20" s="37">
        <v>6</v>
      </c>
      <c r="X20" s="37">
        <v>2</v>
      </c>
      <c r="Y20" s="37">
        <v>2</v>
      </c>
      <c r="Z20" s="40">
        <v>2</v>
      </c>
      <c r="AA20" s="41"/>
      <c r="AB20" s="37"/>
      <c r="AC20" s="37"/>
      <c r="AD20" s="37"/>
      <c r="AE20" s="37"/>
      <c r="AF20" s="37"/>
      <c r="AG20" s="37"/>
      <c r="AH20" s="42"/>
      <c r="AI20" s="42"/>
      <c r="AJ20" s="43"/>
      <c r="AK20" s="43"/>
      <c r="AL20" s="43"/>
      <c r="AM20" s="73">
        <f t="shared" si="1"/>
        <v>30</v>
      </c>
      <c r="AN20" s="71">
        <f>+IF($I20&gt;0,VLOOKUP($I20,'Lista de Precios'!$A$3:$H$2883,4,0),"")</f>
        <v>33101.604278074861</v>
      </c>
      <c r="AO20" s="68">
        <f t="shared" si="3"/>
        <v>993048.12834224582</v>
      </c>
      <c r="AP20" s="7" t="str">
        <f>IF($I20&gt;0,VLOOKUP($I20,'Lista de Precios'!$A$3:$K$2883,10,0),"")</f>
        <v>Running</v>
      </c>
      <c r="AQ20" s="7" t="str">
        <f>IF($I20&gt;0,VLOOKUP($I20,'Lista de Precios'!$A$3:$M$4893,13,0),"")</f>
        <v>Kids</v>
      </c>
      <c r="AR20" s="7" t="str">
        <f>IF($I20&gt;0,VLOOKUP(I20,'Lista de Precios'!$A$3:$M$2883,13,0),"")</f>
        <v>Kids</v>
      </c>
      <c r="HR20" s="134"/>
      <c r="HS20" s="134"/>
      <c r="HT20" s="134"/>
      <c r="HU20" s="134"/>
      <c r="HV20" s="134"/>
      <c r="HW20" s="134"/>
      <c r="HX20" s="134"/>
      <c r="HY20" s="134"/>
      <c r="HZ20" s="134"/>
      <c r="IA20" s="134"/>
      <c r="IB20" s="134"/>
      <c r="IC20" s="134"/>
      <c r="IE20" s="134"/>
      <c r="IF20" s="134"/>
      <c r="IG20" s="134"/>
      <c r="IH20" s="134"/>
      <c r="II20" s="134"/>
      <c r="IJ20" s="134"/>
      <c r="IK20" s="134"/>
      <c r="IL20" s="134"/>
      <c r="IM20" s="134"/>
      <c r="IN20" s="135"/>
      <c r="IO20" s="135"/>
      <c r="IP20" s="135"/>
      <c r="XEP20" s="7" t="str">
        <f t="shared" si="4"/>
        <v/>
      </c>
      <c r="XEQ20" s="7" t="str">
        <f t="shared" si="5"/>
        <v/>
      </c>
      <c r="XER20" s="7" t="str">
        <f t="shared" si="6"/>
        <v/>
      </c>
      <c r="XES20" s="7">
        <f t="shared" si="7"/>
        <v>30</v>
      </c>
    </row>
    <row r="21" spans="1:250 16369:16373" ht="23.25" customHeight="1" x14ac:dyDescent="0.25">
      <c r="A21" s="74"/>
      <c r="B21" s="74"/>
      <c r="E21" s="76"/>
      <c r="F21" s="76"/>
      <c r="G21" s="101"/>
      <c r="H21" s="20"/>
      <c r="I21" s="18"/>
      <c r="J21" s="28"/>
      <c r="K21" s="24"/>
      <c r="L21" s="36"/>
      <c r="M21" s="36"/>
      <c r="N21" s="36"/>
      <c r="O21" s="37"/>
      <c r="P21" s="38"/>
      <c r="Q21" s="39"/>
      <c r="R21" s="37"/>
      <c r="S21" s="37"/>
      <c r="T21" s="37"/>
      <c r="U21" s="37"/>
      <c r="V21" s="37"/>
      <c r="W21" s="37"/>
      <c r="X21" s="37"/>
      <c r="Y21" s="37"/>
      <c r="Z21" s="40"/>
      <c r="AA21" s="41"/>
      <c r="AB21" s="37"/>
      <c r="AC21" s="37"/>
      <c r="AD21" s="37"/>
      <c r="AE21" s="37"/>
      <c r="AF21" s="37"/>
      <c r="AG21" s="37"/>
      <c r="AH21" s="42"/>
      <c r="AI21" s="42"/>
      <c r="AJ21" s="43"/>
      <c r="AK21" s="43"/>
      <c r="AL21" s="43"/>
      <c r="AM21" s="73"/>
      <c r="AN21" s="71"/>
      <c r="AO21" s="68"/>
      <c r="HR21" s="134"/>
      <c r="HS21" s="134"/>
      <c r="HT21" s="134"/>
      <c r="HU21" s="134"/>
      <c r="HV21" s="134"/>
      <c r="HW21" s="134"/>
      <c r="HX21" s="134"/>
      <c r="HY21" s="134"/>
      <c r="HZ21" s="134"/>
      <c r="IA21" s="134"/>
      <c r="IB21" s="134"/>
      <c r="IC21" s="134"/>
      <c r="IE21" s="134"/>
      <c r="IF21" s="134"/>
      <c r="IG21" s="134"/>
      <c r="IH21" s="134"/>
      <c r="II21" s="134"/>
      <c r="IJ21" s="134"/>
      <c r="IK21" s="134"/>
      <c r="IL21" s="134"/>
      <c r="IM21" s="134"/>
      <c r="IN21" s="135"/>
      <c r="IO21" s="135"/>
      <c r="IP21" s="135"/>
    </row>
    <row r="22" spans="1:250 16369:16373" ht="23.25" customHeight="1" x14ac:dyDescent="0.25">
      <c r="A22" s="74" t="str">
        <f>IF($I22&gt;0,VLOOKUP(I22,'Lista de Precios'!$A$3:$L$2883,9,0),0)</f>
        <v>Mujer</v>
      </c>
      <c r="B22" s="74" t="str">
        <f>IF($I22&gt;0,VLOOKUP(I22,'Lista de Precios'!$A$3:$H$2883,7,0),0)</f>
        <v>NC</v>
      </c>
      <c r="C22" s="7" t="str">
        <f>IF($I22&gt;0,VLOOKUP(I22,'Lista de Precios'!$A$3:$H$2883,2,0),"")</f>
        <v>DRIVE 2</v>
      </c>
      <c r="D22" s="7" t="str">
        <f>IF($I22&gt;0,VLOOKUP(I22,'Lista de Precios'!$A$3:$H$2883,3,0),"")</f>
        <v>ROSA STOOL/VIOLETA HUCKLE</v>
      </c>
      <c r="E22" s="76" t="str">
        <f>IF($I22&gt;0,VLOOKUP(I22,'Lista de Precios'!$A$3:$H$2883,6,0),"")</f>
        <v>FEBRERO</v>
      </c>
      <c r="F22" s="76" t="str">
        <f>IF($I22&gt;0,VLOOKUP(I22,'Lista de Precios'!$A$3:$H$2883,8,0),"")</f>
        <v>35 AL 40</v>
      </c>
      <c r="G22" s="101">
        <f t="shared" si="2"/>
        <v>78900</v>
      </c>
      <c r="H22" s="20" t="s">
        <v>3</v>
      </c>
      <c r="I22" s="18">
        <v>27351</v>
      </c>
      <c r="J22" s="28" t="str">
        <f t="shared" si="8"/>
        <v>FEBRERO</v>
      </c>
      <c r="K22" s="24">
        <f>+IF($I22&gt;0,VLOOKUP($I22,'Lista de Precios'!$A$3:$H$2883,5,0),0)</f>
        <v>1</v>
      </c>
      <c r="L22" s="36"/>
      <c r="M22" s="36"/>
      <c r="N22" s="36"/>
      <c r="O22" s="37"/>
      <c r="P22" s="38"/>
      <c r="Q22" s="39"/>
      <c r="R22" s="37"/>
      <c r="S22" s="37"/>
      <c r="T22" s="37"/>
      <c r="U22" s="37"/>
      <c r="V22" s="37"/>
      <c r="W22" s="37"/>
      <c r="X22" s="37"/>
      <c r="Y22" s="37"/>
      <c r="Z22" s="40"/>
      <c r="AA22" s="41">
        <v>2</v>
      </c>
      <c r="AB22" s="37">
        <v>2</v>
      </c>
      <c r="AC22" s="37">
        <v>4</v>
      </c>
      <c r="AD22" s="37">
        <v>8</v>
      </c>
      <c r="AE22" s="37">
        <v>8</v>
      </c>
      <c r="AF22" s="37">
        <v>6</v>
      </c>
      <c r="AG22" s="37"/>
      <c r="AH22" s="42"/>
      <c r="AI22" s="42"/>
      <c r="AJ22" s="43"/>
      <c r="AK22" s="43"/>
      <c r="AL22" s="43"/>
      <c r="AM22" s="73">
        <f t="shared" si="1"/>
        <v>30</v>
      </c>
      <c r="AN22" s="71">
        <f>+IF($I22&gt;0,VLOOKUP($I22,'Lista de Precios'!$A$3:$H$2883,4,0),"")</f>
        <v>42192.513368983957</v>
      </c>
      <c r="AO22" s="68">
        <f t="shared" si="3"/>
        <v>1265775.4010695186</v>
      </c>
      <c r="AP22" s="7" t="str">
        <f>IF($I22&gt;0,VLOOKUP($I22,'Lista de Precios'!$A$3:$K$2883,10,0),"")</f>
        <v>Training</v>
      </c>
      <c r="AQ22" s="7" t="str">
        <f>IF($I22&gt;0,VLOOKUP($I22,'Lista de Precios'!$A$3:$M$4893,13,0),"")</f>
        <v>Running+Training</v>
      </c>
      <c r="AR22" s="7" t="str">
        <f>IF($I22&gt;0,VLOOKUP(I22,'Lista de Precios'!$A$3:$M$2883,13,0),"")</f>
        <v>Running+Training</v>
      </c>
      <c r="HR22" s="134"/>
      <c r="HS22" s="134"/>
      <c r="HT22" s="134"/>
      <c r="HU22" s="134"/>
      <c r="HV22" s="134"/>
      <c r="HW22" s="134"/>
      <c r="HX22" s="134"/>
      <c r="HY22" s="134"/>
      <c r="HZ22" s="134"/>
      <c r="IA22" s="134"/>
      <c r="IB22" s="134"/>
      <c r="IC22" s="134"/>
      <c r="IE22" s="134"/>
      <c r="IF22" s="134"/>
      <c r="IG22" s="134"/>
      <c r="IH22" s="134"/>
      <c r="II22" s="134"/>
      <c r="IJ22" s="134"/>
      <c r="IK22" s="134"/>
      <c r="IL22" s="134"/>
      <c r="IM22" s="134"/>
      <c r="IN22" s="135"/>
      <c r="IO22" s="135"/>
      <c r="IP22" s="135"/>
      <c r="XEP22" s="7" t="str">
        <f t="shared" si="4"/>
        <v/>
      </c>
      <c r="XEQ22" s="7" t="str">
        <f t="shared" si="5"/>
        <v/>
      </c>
      <c r="XER22" s="7" t="str">
        <f t="shared" si="6"/>
        <v/>
      </c>
      <c r="XES22" s="7" t="str">
        <f t="shared" si="7"/>
        <v/>
      </c>
    </row>
    <row r="23" spans="1:250 16369:16373" ht="23.25" customHeight="1" x14ac:dyDescent="0.25">
      <c r="A23" s="74" t="str">
        <f>IF($I23&gt;0,VLOOKUP(I23,'Lista de Precios'!$A$3:$L$2883,9,0),0)</f>
        <v>Hombre</v>
      </c>
      <c r="B23" s="74" t="str">
        <f>IF($I23&gt;0,VLOOKUP(I23,'Lista de Precios'!$A$3:$H$2883,7,0),0)</f>
        <v>CONT</v>
      </c>
      <c r="C23" s="7" t="str">
        <f>IF($I23&gt;0,VLOOKUP(I23,'Lista de Precios'!$A$3:$H$2883,2,0),"")</f>
        <v>STRONG PACE III</v>
      </c>
      <c r="D23" s="7" t="str">
        <f>IF($I23&gt;0,VLOOKUP(I23,'Lista de Precios'!$A$3:$H$2883,3,0),"")</f>
        <v>NEGRO/LIMA SPRING</v>
      </c>
      <c r="E23" s="76" t="str">
        <f>IF($I23&gt;0,VLOOKUP(I23,'Lista de Precios'!$A$3:$H$2883,6,0),"")</f>
        <v>ENERO</v>
      </c>
      <c r="F23" s="76" t="str">
        <f>IF($I23&gt;0,VLOOKUP(I23,'Lista de Precios'!$A$3:$H$2883,8,0),"")</f>
        <v>35 AL 46</v>
      </c>
      <c r="G23" s="101">
        <f t="shared" si="2"/>
        <v>62899.999999999993</v>
      </c>
      <c r="H23" s="20" t="s">
        <v>3</v>
      </c>
      <c r="I23" s="18">
        <v>26205</v>
      </c>
      <c r="J23" s="28" t="str">
        <f t="shared" si="8"/>
        <v>ENERO</v>
      </c>
      <c r="K23" s="24">
        <f>+IF($I23&gt;0,VLOOKUP($I23,'Lista de Precios'!$A$3:$H$2883,5,0),0)</f>
        <v>1</v>
      </c>
      <c r="L23" s="36"/>
      <c r="M23" s="36"/>
      <c r="N23" s="36"/>
      <c r="O23" s="37"/>
      <c r="P23" s="38"/>
      <c r="Q23" s="39"/>
      <c r="R23" s="37"/>
      <c r="S23" s="37"/>
      <c r="T23" s="37"/>
      <c r="U23" s="37"/>
      <c r="V23" s="37"/>
      <c r="W23" s="37"/>
      <c r="X23" s="37"/>
      <c r="Y23" s="37"/>
      <c r="Z23" s="40"/>
      <c r="AA23" s="41"/>
      <c r="AB23" s="37"/>
      <c r="AC23" s="37"/>
      <c r="AD23" s="37"/>
      <c r="AE23" s="37"/>
      <c r="AF23" s="37">
        <v>4</v>
      </c>
      <c r="AG23" s="37">
        <v>6</v>
      </c>
      <c r="AH23" s="42">
        <v>4</v>
      </c>
      <c r="AI23" s="42">
        <v>4</v>
      </c>
      <c r="AJ23" s="43"/>
      <c r="AK23" s="43"/>
      <c r="AL23" s="43"/>
      <c r="AM23" s="73">
        <f t="shared" si="1"/>
        <v>18</v>
      </c>
      <c r="AN23" s="71">
        <f>+IF($I23&gt;0,VLOOKUP($I23,'Lista de Precios'!$A$3:$H$2883,4,0),"")</f>
        <v>33636.363636363632</v>
      </c>
      <c r="AO23" s="68">
        <f t="shared" si="3"/>
        <v>605454.54545454541</v>
      </c>
      <c r="AP23" s="7" t="str">
        <f>IF($I23&gt;0,VLOOKUP($I23,'Lista de Precios'!$A$3:$K$2883,10,0),"")</f>
        <v>Training</v>
      </c>
      <c r="AQ23" s="7" t="str">
        <f>IF($I23&gt;0,VLOOKUP($I23,'Lista de Precios'!$A$3:$M$4893,13,0),"")</f>
        <v>Running+Training</v>
      </c>
      <c r="AR23" s="7" t="str">
        <f>IF($I23&gt;0,VLOOKUP(I23,'Lista de Precios'!$A$3:$M$2883,13,0),"")</f>
        <v>Running+Training</v>
      </c>
      <c r="HR23" s="134"/>
      <c r="HS23" s="134"/>
      <c r="HT23" s="134"/>
      <c r="HU23" s="134"/>
      <c r="HV23" s="134"/>
      <c r="HW23" s="134"/>
      <c r="HX23" s="134"/>
      <c r="HY23" s="134"/>
      <c r="HZ23" s="134"/>
      <c r="IA23" s="134"/>
      <c r="IB23" s="134"/>
      <c r="IC23" s="134"/>
      <c r="IE23" s="134"/>
      <c r="IF23" s="134"/>
      <c r="IG23" s="134"/>
      <c r="IH23" s="134"/>
      <c r="II23" s="134"/>
      <c r="IJ23" s="134"/>
      <c r="IK23" s="134"/>
      <c r="IL23" s="134"/>
      <c r="IM23" s="134"/>
      <c r="IN23" s="135"/>
      <c r="IO23" s="135"/>
      <c r="IP23" s="135"/>
      <c r="XEP23" s="7" t="str">
        <f t="shared" si="4"/>
        <v/>
      </c>
      <c r="XEQ23" s="7" t="str">
        <f t="shared" si="5"/>
        <v/>
      </c>
      <c r="XER23" s="7" t="str">
        <f t="shared" si="6"/>
        <v/>
      </c>
      <c r="XES23" s="7" t="str">
        <f t="shared" si="7"/>
        <v/>
      </c>
    </row>
    <row r="24" spans="1:250 16369:16373" ht="23.25" customHeight="1" x14ac:dyDescent="0.25">
      <c r="A24" s="74">
        <f>IF($I24&gt;0,VLOOKUP(I24,'Lista de Precios'!$A$3:$L$2883,9,0),0)</f>
        <v>0</v>
      </c>
      <c r="B24" s="74">
        <f>IF($I24&gt;0,VLOOKUP(I24,'Lista de Precios'!$A$3:$H$2883,7,0),0)</f>
        <v>0</v>
      </c>
      <c r="C24" s="7" t="str">
        <f>IF($I24&gt;0,VLOOKUP(I24,'Lista de Precios'!$A$3:$H$2883,2,0),"")</f>
        <v/>
      </c>
      <c r="D24" s="7" t="str">
        <f>IF($I24&gt;0,VLOOKUP(I24,'Lista de Precios'!$A$3:$H$2883,3,0),"")</f>
        <v/>
      </c>
      <c r="E24" s="76" t="str">
        <f>IF($I24&gt;0,VLOOKUP(I24,'Lista de Precios'!$A$3:$H$2883,6,0),"")</f>
        <v/>
      </c>
      <c r="F24" s="76" t="str">
        <f>IF($I24&gt;0,VLOOKUP(I24,'Lista de Precios'!$A$3:$H$2883,8,0),"")</f>
        <v/>
      </c>
      <c r="G24" s="101" t="str">
        <f t="shared" si="2"/>
        <v/>
      </c>
      <c r="H24" s="20" t="s">
        <v>3</v>
      </c>
      <c r="I24" s="18"/>
      <c r="J24" s="28" t="str">
        <f t="shared" si="8"/>
        <v/>
      </c>
      <c r="K24" s="24">
        <f>+IF($I24&gt;0,VLOOKUP($I24,'Lista de Precios'!$A$3:$H$2883,5,0),0)</f>
        <v>0</v>
      </c>
      <c r="L24" s="36"/>
      <c r="M24" s="36"/>
      <c r="N24" s="36"/>
      <c r="O24" s="37"/>
      <c r="P24" s="38"/>
      <c r="Q24" s="39"/>
      <c r="R24" s="37"/>
      <c r="S24" s="37"/>
      <c r="T24" s="37"/>
      <c r="U24" s="37"/>
      <c r="V24" s="37"/>
      <c r="W24" s="37"/>
      <c r="X24" s="37"/>
      <c r="Y24" s="37"/>
      <c r="Z24" s="40"/>
      <c r="AA24" s="41"/>
      <c r="AB24" s="37"/>
      <c r="AC24" s="37"/>
      <c r="AD24" s="37"/>
      <c r="AE24" s="37"/>
      <c r="AF24" s="37"/>
      <c r="AG24" s="37"/>
      <c r="AH24" s="42"/>
      <c r="AI24" s="42"/>
      <c r="AJ24" s="43"/>
      <c r="AK24" s="43"/>
      <c r="AL24" s="43"/>
      <c r="AM24" s="73">
        <f t="shared" si="1"/>
        <v>0</v>
      </c>
      <c r="AN24" s="71" t="str">
        <f>+IF($I24&gt;0,VLOOKUP($I24,'Lista de Precios'!$A$3:$H$2883,4,0),"")</f>
        <v/>
      </c>
      <c r="AO24" s="68" t="str">
        <f t="shared" si="3"/>
        <v/>
      </c>
      <c r="AP24" s="7" t="str">
        <f>IF($I24&gt;0,VLOOKUP($I24,'Lista de Precios'!$A$3:$K$2883,10,0),"")</f>
        <v/>
      </c>
      <c r="AQ24" s="7" t="str">
        <f>IF($I24&gt;0,VLOOKUP($I24,'Lista de Precios'!$A$3:$M$4893,13,0),"")</f>
        <v/>
      </c>
      <c r="AR24" s="7" t="str">
        <f>IF($I24&gt;0,VLOOKUP(I24,'Lista de Precios'!$A$3:$M$2883,13,0),"")</f>
        <v/>
      </c>
      <c r="HR24" s="134"/>
      <c r="HS24" s="134"/>
      <c r="HT24" s="134"/>
      <c r="HU24" s="134"/>
      <c r="HV24" s="134"/>
      <c r="HW24" s="134"/>
      <c r="HX24" s="134"/>
      <c r="HY24" s="134"/>
      <c r="HZ24" s="134"/>
      <c r="IA24" s="134"/>
      <c r="IB24" s="134"/>
      <c r="IC24" s="134"/>
      <c r="IE24" s="134"/>
      <c r="IF24" s="134"/>
      <c r="IG24" s="134"/>
      <c r="IH24" s="134"/>
      <c r="II24" s="134"/>
      <c r="IJ24" s="134"/>
      <c r="IK24" s="134"/>
      <c r="IL24" s="134"/>
      <c r="IM24" s="134"/>
      <c r="IN24" s="135"/>
      <c r="IO24" s="135"/>
      <c r="IP24" s="135"/>
      <c r="XEP24" s="7" t="str">
        <f t="shared" si="4"/>
        <v/>
      </c>
      <c r="XEQ24" s="7" t="str">
        <f t="shared" si="5"/>
        <v/>
      </c>
      <c r="XER24" s="7" t="str">
        <f t="shared" si="6"/>
        <v/>
      </c>
      <c r="XES24" s="7" t="str">
        <f t="shared" si="7"/>
        <v/>
      </c>
    </row>
    <row r="25" spans="1:250 16369:16373" ht="23.25" customHeight="1" x14ac:dyDescent="0.25">
      <c r="A25" s="74" t="str">
        <f>IF($I25&gt;0,VLOOKUP(I25,'Lista de Precios'!$A$3:$L$2883,9,0),0)</f>
        <v>Hombre</v>
      </c>
      <c r="B25" s="74" t="str">
        <f>IF($I25&gt;0,VLOOKUP(I25,'Lista de Precios'!$A$3:$H$2883,7,0),0)</f>
        <v>CONT</v>
      </c>
      <c r="C25" s="7" t="str">
        <f>IF($I25&gt;0,VLOOKUP(I25,'Lista de Precios'!$A$3:$H$2883,2,0),"")</f>
        <v>SAN CIRO V TF</v>
      </c>
      <c r="D25" s="7" t="str">
        <f>IF($I25&gt;0,VLOOKUP(I25,'Lista de Precios'!$A$3:$H$2883,3,0),"")</f>
        <v>NEGRO</v>
      </c>
      <c r="E25" s="76" t="str">
        <f>IF($I25&gt;0,VLOOKUP(I25,'Lista de Precios'!$A$3:$H$2883,6,0),"")</f>
        <v>ENERO</v>
      </c>
      <c r="F25" s="76" t="str">
        <f>IF($I25&gt;0,VLOOKUP(I25,'Lista de Precios'!$A$3:$H$2883,8,0),"")</f>
        <v>35 AL 46</v>
      </c>
      <c r="G25" s="101">
        <f t="shared" si="2"/>
        <v>61899.999999999993</v>
      </c>
      <c r="H25" s="20" t="s">
        <v>3</v>
      </c>
      <c r="I25" s="18">
        <v>25886</v>
      </c>
      <c r="J25" s="28" t="str">
        <f t="shared" si="8"/>
        <v>ENERO</v>
      </c>
      <c r="K25" s="24">
        <f>+IF($I25&gt;0,VLOOKUP($I25,'Lista de Precios'!$A$3:$H$2883,5,0),0)</f>
        <v>1</v>
      </c>
      <c r="L25" s="36"/>
      <c r="M25" s="36"/>
      <c r="N25" s="36"/>
      <c r="O25" s="37"/>
      <c r="P25" s="38"/>
      <c r="Q25" s="39"/>
      <c r="R25" s="37"/>
      <c r="S25" s="37"/>
      <c r="T25" s="37"/>
      <c r="U25" s="37"/>
      <c r="V25" s="37"/>
      <c r="W25" s="37"/>
      <c r="X25" s="37"/>
      <c r="Y25" s="37"/>
      <c r="Z25" s="40"/>
      <c r="AA25" s="41"/>
      <c r="AB25" s="37"/>
      <c r="AC25" s="37"/>
      <c r="AD25" s="37"/>
      <c r="AE25" s="37"/>
      <c r="AF25" s="37">
        <v>2</v>
      </c>
      <c r="AG25" s="37">
        <v>2</v>
      </c>
      <c r="AH25" s="42">
        <v>4</v>
      </c>
      <c r="AI25" s="42">
        <v>2</v>
      </c>
      <c r="AJ25" s="43"/>
      <c r="AK25" s="43"/>
      <c r="AL25" s="43"/>
      <c r="AM25" s="73">
        <f t="shared" si="1"/>
        <v>10</v>
      </c>
      <c r="AN25" s="71">
        <f>+IF($I25&gt;0,VLOOKUP($I25,'Lista de Precios'!$A$3:$H$2883,4,0),"")</f>
        <v>33101.604278074861</v>
      </c>
      <c r="AO25" s="68">
        <f t="shared" si="3"/>
        <v>331016.04278074863</v>
      </c>
      <c r="AP25" s="7" t="str">
        <f>IF($I25&gt;0,VLOOKUP($I25,'Lista de Precios'!$A$3:$K$2883,10,0),"")</f>
        <v>Futbol</v>
      </c>
      <c r="AQ25" s="7" t="str">
        <f>IF($I25&gt;0,VLOOKUP($I25,'Lista de Precios'!$A$3:$M$4893,13,0),"")</f>
        <v>Multideporte</v>
      </c>
      <c r="AR25" s="7" t="str">
        <f>IF($I25&gt;0,VLOOKUP(I25,'Lista de Precios'!$A$3:$M$2883,13,0),"")</f>
        <v>Multideporte</v>
      </c>
      <c r="HR25" s="134"/>
      <c r="HS25" s="134"/>
      <c r="HT25" s="134"/>
      <c r="HU25" s="134"/>
      <c r="HV25" s="134"/>
      <c r="HW25" s="134"/>
      <c r="HX25" s="134"/>
      <c r="HY25" s="134"/>
      <c r="HZ25" s="134"/>
      <c r="IA25" s="134"/>
      <c r="IB25" s="134"/>
      <c r="IC25" s="134"/>
      <c r="IE25" s="134"/>
      <c r="IF25" s="134"/>
      <c r="IG25" s="134"/>
      <c r="IH25" s="134"/>
      <c r="II25" s="134"/>
      <c r="IJ25" s="134"/>
      <c r="IK25" s="134"/>
      <c r="IL25" s="134"/>
      <c r="IM25" s="134"/>
      <c r="IN25" s="135"/>
      <c r="IO25" s="135"/>
      <c r="IP25" s="135"/>
      <c r="XEP25" s="7" t="str">
        <f t="shared" si="4"/>
        <v/>
      </c>
      <c r="XEQ25" s="7" t="str">
        <f t="shared" si="5"/>
        <v/>
      </c>
      <c r="XER25" s="7" t="str">
        <f t="shared" si="6"/>
        <v/>
      </c>
      <c r="XES25" s="7" t="str">
        <f t="shared" si="7"/>
        <v/>
      </c>
    </row>
    <row r="26" spans="1:250 16369:16373" ht="23.25" customHeight="1" x14ac:dyDescent="0.25">
      <c r="A26" s="74" t="str">
        <f>IF($I26&gt;0,VLOOKUP(I26,'Lista de Precios'!$A$3:$L$2883,9,0),0)</f>
        <v>Hombre</v>
      </c>
      <c r="B26" s="74" t="str">
        <f>IF($I26&gt;0,VLOOKUP(I26,'Lista de Precios'!$A$3:$H$2883,7,0),0)</f>
        <v>CONT</v>
      </c>
      <c r="C26" s="7" t="str">
        <f>IF($I26&gt;0,VLOOKUP(I26,'Lista de Precios'!$A$3:$H$2883,2,0),"")</f>
        <v>SAN CIRO V TF</v>
      </c>
      <c r="D26" s="7" t="str">
        <f>IF($I26&gt;0,VLOOKUP(I26,'Lista de Precios'!$A$3:$H$2883,3,0),"")</f>
        <v>BLANCO / NEGRO</v>
      </c>
      <c r="E26" s="76" t="str">
        <f>IF($I26&gt;0,VLOOKUP(I26,'Lista de Precios'!$A$3:$H$2883,6,0),"")</f>
        <v>ENERO</v>
      </c>
      <c r="F26" s="76" t="str">
        <f>IF($I26&gt;0,VLOOKUP(I26,'Lista de Precios'!$A$3:$H$2883,8,0),"")</f>
        <v>35 AL 46</v>
      </c>
      <c r="G26" s="101">
        <f t="shared" si="2"/>
        <v>61899.999999999993</v>
      </c>
      <c r="H26" s="20" t="s">
        <v>3</v>
      </c>
      <c r="I26" s="18">
        <v>26459</v>
      </c>
      <c r="J26" s="28" t="str">
        <f t="shared" si="8"/>
        <v>ENERO</v>
      </c>
      <c r="K26" s="24">
        <f>+IF($I26&gt;0,VLOOKUP($I26,'Lista de Precios'!$A$3:$H$2883,5,0),0)</f>
        <v>1</v>
      </c>
      <c r="L26" s="36"/>
      <c r="M26" s="36"/>
      <c r="N26" s="36"/>
      <c r="O26" s="37"/>
      <c r="P26" s="38"/>
      <c r="Q26" s="39"/>
      <c r="R26" s="37"/>
      <c r="S26" s="37"/>
      <c r="T26" s="37"/>
      <c r="U26" s="37"/>
      <c r="V26" s="37"/>
      <c r="W26" s="37"/>
      <c r="X26" s="37"/>
      <c r="Y26" s="37"/>
      <c r="Z26" s="40"/>
      <c r="AA26" s="41"/>
      <c r="AB26" s="37"/>
      <c r="AC26" s="37"/>
      <c r="AD26" s="37"/>
      <c r="AE26" s="37"/>
      <c r="AF26" s="37"/>
      <c r="AG26" s="37"/>
      <c r="AH26" s="42">
        <v>2</v>
      </c>
      <c r="AI26" s="42"/>
      <c r="AJ26" s="43"/>
      <c r="AK26" s="43"/>
      <c r="AL26" s="43"/>
      <c r="AM26" s="73">
        <f t="shared" si="1"/>
        <v>2</v>
      </c>
      <c r="AN26" s="71">
        <f>+IF($I26&gt;0,VLOOKUP($I26,'Lista de Precios'!$A$3:$H$2883,4,0),"")</f>
        <v>33101.604278074861</v>
      </c>
      <c r="AO26" s="68">
        <f t="shared" si="3"/>
        <v>66203.208556149722</v>
      </c>
      <c r="AP26" s="7" t="str">
        <f>IF($I26&gt;0,VLOOKUP($I26,'Lista de Precios'!$A$3:$K$2883,10,0),"")</f>
        <v>Futbol</v>
      </c>
      <c r="AQ26" s="7" t="str">
        <f>IF($I26&gt;0,VLOOKUP($I26,'Lista de Precios'!$A$3:$M$4893,13,0),"")</f>
        <v>Multideporte</v>
      </c>
      <c r="AR26" s="7" t="str">
        <f>IF($I26&gt;0,VLOOKUP(I26,'Lista de Precios'!$A$3:$M$2883,13,0),"")</f>
        <v>Multideporte</v>
      </c>
      <c r="HR26" s="134"/>
      <c r="HS26" s="134"/>
      <c r="HT26" s="134"/>
      <c r="HU26" s="134"/>
      <c r="HV26" s="134"/>
      <c r="HW26" s="134"/>
      <c r="HX26" s="134"/>
      <c r="HY26" s="134"/>
      <c r="HZ26" s="134"/>
      <c r="IA26" s="134"/>
      <c r="IB26" s="134"/>
      <c r="IC26" s="134"/>
      <c r="IE26" s="134"/>
      <c r="IF26" s="134"/>
      <c r="IG26" s="134"/>
      <c r="IH26" s="134"/>
      <c r="II26" s="134"/>
      <c r="IJ26" s="134"/>
      <c r="IK26" s="134"/>
      <c r="IL26" s="134"/>
      <c r="IM26" s="134"/>
      <c r="IN26" s="135"/>
      <c r="IO26" s="135"/>
      <c r="IP26" s="135"/>
      <c r="XEP26" s="7" t="str">
        <f t="shared" si="4"/>
        <v/>
      </c>
      <c r="XEQ26" s="7" t="str">
        <f t="shared" si="5"/>
        <v/>
      </c>
      <c r="XER26" s="7" t="str">
        <f t="shared" si="6"/>
        <v/>
      </c>
      <c r="XES26" s="7" t="str">
        <f t="shared" si="7"/>
        <v/>
      </c>
    </row>
    <row r="27" spans="1:250 16369:16373" ht="23.25" customHeight="1" x14ac:dyDescent="0.25">
      <c r="A27" s="74" t="str">
        <f>IF($I27&gt;0,VLOOKUP(I27,'Lista de Precios'!$A$3:$L$2883,9,0),0)</f>
        <v>Kids</v>
      </c>
      <c r="B27" s="74" t="str">
        <f>IF($I27&gt;0,VLOOKUP(I27,'Lista de Precios'!$A$3:$H$2883,7,0),0)</f>
        <v>CONT</v>
      </c>
      <c r="C27" s="7" t="str">
        <f>IF($I27&gt;0,VLOOKUP(I27,'Lista de Precios'!$A$3:$H$2883,2,0),"")</f>
        <v>SAN CIRO V TF KIDS</v>
      </c>
      <c r="D27" s="7" t="str">
        <f>IF($I27&gt;0,VLOOKUP(I27,'Lista de Precios'!$A$3:$H$2883,3,0),"")</f>
        <v>NEGRO</v>
      </c>
      <c r="E27" s="76" t="str">
        <f>IF($I27&gt;0,VLOOKUP(I27,'Lista de Precios'!$A$3:$H$2883,6,0),"")</f>
        <v>ENERO</v>
      </c>
      <c r="F27" s="76" t="str">
        <f>IF($I27&gt;0,VLOOKUP(I27,'Lista de Precios'!$A$3:$H$2883,8,0),"")</f>
        <v>25 AL 34</v>
      </c>
      <c r="G27" s="101">
        <f t="shared" si="2"/>
        <v>46900</v>
      </c>
      <c r="H27" s="20" t="s">
        <v>3</v>
      </c>
      <c r="I27" s="18">
        <v>25528</v>
      </c>
      <c r="J27" s="28" t="str">
        <f t="shared" si="8"/>
        <v>ENERO</v>
      </c>
      <c r="K27" s="24">
        <f>+IF($I27&gt;0,VLOOKUP($I27,'Lista de Precios'!$A$3:$H$2883,5,0),0)</f>
        <v>1</v>
      </c>
      <c r="L27" s="36"/>
      <c r="M27" s="36"/>
      <c r="N27" s="36"/>
      <c r="O27" s="37"/>
      <c r="P27" s="38"/>
      <c r="Q27" s="39"/>
      <c r="R27" s="37"/>
      <c r="S27" s="37">
        <v>2</v>
      </c>
      <c r="T27" s="37">
        <v>2</v>
      </c>
      <c r="U27" s="37"/>
      <c r="V27" s="37">
        <v>4</v>
      </c>
      <c r="W27" s="37"/>
      <c r="X27" s="37"/>
      <c r="Y27" s="37"/>
      <c r="Z27" s="40"/>
      <c r="AA27" s="41"/>
      <c r="AB27" s="37"/>
      <c r="AC27" s="37"/>
      <c r="AD27" s="37"/>
      <c r="AE27" s="37"/>
      <c r="AF27" s="37"/>
      <c r="AG27" s="37"/>
      <c r="AH27" s="42"/>
      <c r="AI27" s="42"/>
      <c r="AJ27" s="43"/>
      <c r="AK27" s="43"/>
      <c r="AL27" s="43"/>
      <c r="AM27" s="73">
        <f t="shared" si="1"/>
        <v>8</v>
      </c>
      <c r="AN27" s="71">
        <f>+IF($I27&gt;0,VLOOKUP($I27,'Lista de Precios'!$A$3:$H$2883,4,0),"")</f>
        <v>25080.213903743315</v>
      </c>
      <c r="AO27" s="68">
        <f t="shared" si="3"/>
        <v>200641.71122994652</v>
      </c>
      <c r="AP27" s="7" t="str">
        <f>IF($I27&gt;0,VLOOKUP($I27,'Lista de Precios'!$A$3:$K$2883,10,0),"")</f>
        <v>Futbol</v>
      </c>
      <c r="AQ27" s="7" t="str">
        <f>IF($I27&gt;0,VLOOKUP($I27,'Lista de Precios'!$A$3:$M$4893,13,0),"")</f>
        <v>Kids</v>
      </c>
      <c r="AR27" s="7" t="str">
        <f>IF($I27&gt;0,VLOOKUP(I27,'Lista de Precios'!$A$3:$M$2883,13,0),"")</f>
        <v>Kids</v>
      </c>
      <c r="HR27" s="134"/>
      <c r="HS27" s="134"/>
      <c r="HT27" s="134"/>
      <c r="HU27" s="134"/>
      <c r="HV27" s="134"/>
      <c r="HW27" s="134"/>
      <c r="HX27" s="134"/>
      <c r="HY27" s="134"/>
      <c r="HZ27" s="134"/>
      <c r="IA27" s="134"/>
      <c r="IB27" s="134"/>
      <c r="IC27" s="134"/>
      <c r="IE27" s="134"/>
      <c r="IF27" s="134"/>
      <c r="IG27" s="134"/>
      <c r="IH27" s="134"/>
      <c r="II27" s="134"/>
      <c r="IJ27" s="134"/>
      <c r="IK27" s="134"/>
      <c r="IL27" s="134"/>
      <c r="IM27" s="134"/>
      <c r="IN27" s="135"/>
      <c r="IO27" s="135"/>
      <c r="IP27" s="135"/>
      <c r="XEP27" s="7" t="str">
        <f t="shared" si="4"/>
        <v/>
      </c>
      <c r="XEQ27" s="7" t="str">
        <f t="shared" si="5"/>
        <v/>
      </c>
      <c r="XER27" s="7" t="str">
        <f t="shared" si="6"/>
        <v/>
      </c>
      <c r="XES27" s="7">
        <f t="shared" si="7"/>
        <v>8</v>
      </c>
    </row>
    <row r="28" spans="1:250 16369:16373" ht="23.25" customHeight="1" x14ac:dyDescent="0.25">
      <c r="A28" s="74">
        <f>IF($I28&gt;0,VLOOKUP(I28,'Lista de Precios'!$A$3:$L$2883,9,0),0)</f>
        <v>0</v>
      </c>
      <c r="B28" s="74">
        <f>IF($I28&gt;0,VLOOKUP(I28,'Lista de Precios'!$A$3:$H$2883,7,0),0)</f>
        <v>0</v>
      </c>
      <c r="C28" s="7" t="str">
        <f>IF($I28&gt;0,VLOOKUP(I28,'Lista de Precios'!$A$3:$H$2883,2,0),"")</f>
        <v/>
      </c>
      <c r="D28" s="7" t="str">
        <f>IF($I28&gt;0,VLOOKUP(I28,'Lista de Precios'!$A$3:$H$2883,3,0),"")</f>
        <v/>
      </c>
      <c r="E28" s="76" t="str">
        <f>IF($I28&gt;0,VLOOKUP(I28,'Lista de Precios'!$A$3:$H$2883,6,0),"")</f>
        <v/>
      </c>
      <c r="F28" s="76" t="str">
        <f>IF($I28&gt;0,VLOOKUP(I28,'Lista de Precios'!$A$3:$H$2883,8,0),"")</f>
        <v/>
      </c>
      <c r="G28" s="101" t="str">
        <f t="shared" si="2"/>
        <v/>
      </c>
      <c r="H28" s="20" t="s">
        <v>3</v>
      </c>
      <c r="I28" s="18"/>
      <c r="J28" s="28" t="str">
        <f t="shared" si="8"/>
        <v/>
      </c>
      <c r="K28" s="24">
        <f>+IF($I28&gt;0,VLOOKUP($I28,'Lista de Precios'!$A$3:$H$2883,5,0),0)</f>
        <v>0</v>
      </c>
      <c r="L28" s="36"/>
      <c r="M28" s="36"/>
      <c r="N28" s="36"/>
      <c r="O28" s="37"/>
      <c r="P28" s="38"/>
      <c r="Q28" s="39"/>
      <c r="R28" s="37"/>
      <c r="S28" s="37"/>
      <c r="T28" s="37"/>
      <c r="U28" s="37"/>
      <c r="V28" s="37"/>
      <c r="W28" s="37"/>
      <c r="X28" s="37"/>
      <c r="Y28" s="37"/>
      <c r="Z28" s="40"/>
      <c r="AA28" s="41"/>
      <c r="AB28" s="37"/>
      <c r="AC28" s="37"/>
      <c r="AD28" s="37"/>
      <c r="AE28" s="37"/>
      <c r="AF28" s="37"/>
      <c r="AG28" s="37"/>
      <c r="AH28" s="42"/>
      <c r="AI28" s="42"/>
      <c r="AJ28" s="43"/>
      <c r="AK28" s="43"/>
      <c r="AL28" s="43"/>
      <c r="AM28" s="73">
        <f t="shared" si="1"/>
        <v>0</v>
      </c>
      <c r="AN28" s="71" t="str">
        <f>+IF($I28&gt;0,VLOOKUP($I28,'Lista de Precios'!$A$3:$H$2883,4,0),"")</f>
        <v/>
      </c>
      <c r="AO28" s="68" t="str">
        <f t="shared" si="3"/>
        <v/>
      </c>
      <c r="AP28" s="7" t="str">
        <f>IF($I28&gt;0,VLOOKUP($I28,'Lista de Precios'!$A$3:$K$2883,10,0),"")</f>
        <v/>
      </c>
      <c r="AQ28" s="7" t="str">
        <f>IF($I28&gt;0,VLOOKUP($I28,'Lista de Precios'!$A$3:$M$4893,13,0),"")</f>
        <v/>
      </c>
      <c r="AR28" s="7" t="str">
        <f>IF($I28&gt;0,VLOOKUP(I28,'Lista de Precios'!$A$3:$M$2883,13,0),"")</f>
        <v/>
      </c>
      <c r="HR28" s="134"/>
      <c r="HS28" s="134"/>
      <c r="HT28" s="134"/>
      <c r="HU28" s="134"/>
      <c r="HV28" s="134"/>
      <c r="HW28" s="134"/>
      <c r="HX28" s="134"/>
      <c r="HY28" s="134"/>
      <c r="HZ28" s="134"/>
      <c r="IA28" s="134"/>
      <c r="IB28" s="134"/>
      <c r="IC28" s="134"/>
      <c r="IE28" s="134"/>
      <c r="IF28" s="134"/>
      <c r="IG28" s="134"/>
      <c r="IH28" s="134"/>
      <c r="II28" s="134"/>
      <c r="IJ28" s="134"/>
      <c r="IK28" s="134"/>
      <c r="IL28" s="134"/>
      <c r="IM28" s="134"/>
      <c r="IN28" s="135"/>
      <c r="IO28" s="135"/>
      <c r="IP28" s="135"/>
      <c r="XEP28" s="7" t="str">
        <f t="shared" si="4"/>
        <v/>
      </c>
      <c r="XEQ28" s="7" t="str">
        <f t="shared" si="5"/>
        <v/>
      </c>
      <c r="XER28" s="7" t="str">
        <f t="shared" si="6"/>
        <v/>
      </c>
      <c r="XES28" s="7" t="str">
        <f t="shared" si="7"/>
        <v/>
      </c>
    </row>
    <row r="29" spans="1:250 16369:16373" ht="23.25" customHeight="1" x14ac:dyDescent="0.25">
      <c r="A29" s="74" t="str">
        <f>IF($I29&gt;0,VLOOKUP(I29,'Lista de Precios'!$A$3:$L$2883,9,0),0)</f>
        <v>Kids</v>
      </c>
      <c r="B29" s="74" t="str">
        <f>IF($I29&gt;0,VLOOKUP(I29,'Lista de Precios'!$A$3:$H$2883,7,0),0)</f>
        <v>CONT</v>
      </c>
      <c r="C29" s="7" t="str">
        <f>IF($I29&gt;0,VLOOKUP(I29,'Lista de Precios'!$A$3:$H$2883,2,0),"")</f>
        <v>GONDOR III KIDS</v>
      </c>
      <c r="D29" s="7" t="str">
        <f>IF($I29&gt;0,VLOOKUP(I29,'Lista de Precios'!$A$3:$H$2883,3,0),"")</f>
        <v>NEGRO / BLANCO</v>
      </c>
      <c r="E29" s="76" t="str">
        <f>IF($I29&gt;0,VLOOKUP(I29,'Lista de Precios'!$A$3:$H$2883,6,0),"")</f>
        <v>ENERO</v>
      </c>
      <c r="F29" s="76" t="str">
        <f>IF($I29&gt;0,VLOOKUP(I29,'Lista de Precios'!$A$3:$H$2883,8,0),"")</f>
        <v>25 AL 34</v>
      </c>
      <c r="G29" s="101">
        <f t="shared" si="2"/>
        <v>62899.999999999993</v>
      </c>
      <c r="H29" s="20" t="s">
        <v>3</v>
      </c>
      <c r="I29" s="18">
        <v>25600</v>
      </c>
      <c r="J29" s="28" t="str">
        <f t="shared" si="8"/>
        <v>ENERO</v>
      </c>
      <c r="K29" s="24">
        <f>+IF($I29&gt;0,VLOOKUP($I29,'Lista de Precios'!$A$3:$H$2883,5,0),0)</f>
        <v>1</v>
      </c>
      <c r="L29" s="36"/>
      <c r="M29" s="36"/>
      <c r="N29" s="36"/>
      <c r="O29" s="37"/>
      <c r="P29" s="38"/>
      <c r="Q29" s="39">
        <v>2</v>
      </c>
      <c r="R29" s="37">
        <v>2</v>
      </c>
      <c r="S29" s="37"/>
      <c r="T29" s="37"/>
      <c r="U29" s="37"/>
      <c r="V29" s="37">
        <v>2</v>
      </c>
      <c r="W29" s="37">
        <v>4</v>
      </c>
      <c r="X29" s="37">
        <v>4</v>
      </c>
      <c r="Y29" s="37">
        <v>2</v>
      </c>
      <c r="Z29" s="40">
        <v>2</v>
      </c>
      <c r="AA29" s="41"/>
      <c r="AB29" s="37"/>
      <c r="AC29" s="37"/>
      <c r="AD29" s="37"/>
      <c r="AE29" s="37"/>
      <c r="AF29" s="37"/>
      <c r="AG29" s="37"/>
      <c r="AH29" s="42"/>
      <c r="AI29" s="42"/>
      <c r="AJ29" s="43"/>
      <c r="AK29" s="43"/>
      <c r="AL29" s="43"/>
      <c r="AM29" s="73">
        <f t="shared" si="1"/>
        <v>18</v>
      </c>
      <c r="AN29" s="71">
        <f>+IF($I29&gt;0,VLOOKUP($I29,'Lista de Precios'!$A$3:$H$2883,4,0),"")</f>
        <v>33636.363636363632</v>
      </c>
      <c r="AO29" s="68">
        <f t="shared" si="3"/>
        <v>605454.54545454541</v>
      </c>
      <c r="AP29" s="7" t="str">
        <f>IF($I29&gt;0,VLOOKUP($I29,'Lista de Precios'!$A$3:$K$2883,10,0),"")</f>
        <v>Outdoor</v>
      </c>
      <c r="AQ29" s="7" t="str">
        <f>IF($I29&gt;0,VLOOKUP($I29,'Lista de Precios'!$A$3:$M$4893,13,0),"")</f>
        <v>Kids</v>
      </c>
      <c r="AR29" s="7" t="str">
        <f>IF($I29&gt;0,VLOOKUP(I29,'Lista de Precios'!$A$3:$M$2883,13,0),"")</f>
        <v>Kids</v>
      </c>
      <c r="HR29" s="134"/>
      <c r="HS29" s="134"/>
      <c r="HT29" s="134"/>
      <c r="HU29" s="134"/>
      <c r="HV29" s="134"/>
      <c r="HW29" s="134"/>
      <c r="HX29" s="134"/>
      <c r="HY29" s="134"/>
      <c r="HZ29" s="134"/>
      <c r="IA29" s="134"/>
      <c r="IB29" s="134"/>
      <c r="IC29" s="134"/>
      <c r="IE29" s="134"/>
      <c r="IF29" s="134"/>
      <c r="IG29" s="134"/>
      <c r="IH29" s="134"/>
      <c r="II29" s="134"/>
      <c r="IJ29" s="134"/>
      <c r="IK29" s="134"/>
      <c r="IL29" s="134"/>
      <c r="IM29" s="134"/>
      <c r="IN29" s="135"/>
      <c r="IO29" s="135"/>
      <c r="IP29" s="135"/>
      <c r="XEP29" s="7" t="str">
        <f t="shared" si="4"/>
        <v/>
      </c>
      <c r="XEQ29" s="7" t="str">
        <f t="shared" si="5"/>
        <v/>
      </c>
      <c r="XER29" s="7" t="str">
        <f t="shared" si="6"/>
        <v/>
      </c>
      <c r="XES29" s="7">
        <f t="shared" si="7"/>
        <v>18</v>
      </c>
    </row>
    <row r="30" spans="1:250 16369:16373" ht="23.25" customHeight="1" x14ac:dyDescent="0.25">
      <c r="A30" s="74">
        <f>IF($I30&gt;0,VLOOKUP(I30,'Lista de Precios'!$A$3:$L$2883,9,0),0)</f>
        <v>0</v>
      </c>
      <c r="B30" s="74">
        <f>IF($I30&gt;0,VLOOKUP(I30,'Lista de Precios'!$A$3:$H$2883,7,0),0)</f>
        <v>0</v>
      </c>
      <c r="C30" s="7" t="str">
        <f>IF($I30&gt;0,VLOOKUP(I30,'Lista de Precios'!$A$3:$H$2883,2,0),"")</f>
        <v/>
      </c>
      <c r="D30" s="7" t="str">
        <f>IF($I30&gt;0,VLOOKUP(I30,'Lista de Precios'!$A$3:$H$2883,3,0),"")</f>
        <v/>
      </c>
      <c r="E30" s="76" t="str">
        <f>IF($I30&gt;0,VLOOKUP(I30,'Lista de Precios'!$A$3:$H$2883,6,0),"")</f>
        <v/>
      </c>
      <c r="F30" s="76" t="str">
        <f>IF($I30&gt;0,VLOOKUP(I30,'Lista de Precios'!$A$3:$H$2883,8,0),"")</f>
        <v/>
      </c>
      <c r="G30" s="101" t="str">
        <f t="shared" si="2"/>
        <v/>
      </c>
      <c r="H30" s="20" t="s">
        <v>3</v>
      </c>
      <c r="I30" s="18"/>
      <c r="J30" s="28" t="str">
        <f t="shared" si="8"/>
        <v/>
      </c>
      <c r="K30" s="24">
        <f>+IF($I30&gt;0,VLOOKUP($I30,'Lista de Precios'!$A$3:$H$2883,5,0),0)</f>
        <v>0</v>
      </c>
      <c r="L30" s="37"/>
      <c r="M30" s="37"/>
      <c r="N30" s="37"/>
      <c r="O30" s="37"/>
      <c r="P30" s="40"/>
      <c r="Q30" s="39"/>
      <c r="R30" s="37"/>
      <c r="S30" s="37"/>
      <c r="T30" s="37"/>
      <c r="U30" s="37"/>
      <c r="V30" s="37"/>
      <c r="W30" s="37"/>
      <c r="X30" s="37"/>
      <c r="Y30" s="37"/>
      <c r="Z30" s="40"/>
      <c r="AA30" s="41"/>
      <c r="AB30" s="37"/>
      <c r="AC30" s="37"/>
      <c r="AD30" s="37"/>
      <c r="AE30" s="37"/>
      <c r="AF30" s="43"/>
      <c r="AG30" s="43"/>
      <c r="AH30" s="42"/>
      <c r="AI30" s="42"/>
      <c r="AJ30" s="42"/>
      <c r="AK30" s="42"/>
      <c r="AL30" s="43"/>
      <c r="AM30" s="73">
        <f t="shared" si="1"/>
        <v>0</v>
      </c>
      <c r="AN30" s="71" t="str">
        <f>+IF($I30&gt;0,VLOOKUP($I30,'Lista de Precios'!$A$3:$H$2883,4,0),"")</f>
        <v/>
      </c>
      <c r="AO30" s="68" t="str">
        <f t="shared" si="3"/>
        <v/>
      </c>
      <c r="AP30" s="7" t="str">
        <f>IF($I30&gt;0,VLOOKUP($I30,'Lista de Precios'!$A$3:$K$2883,10,0),"")</f>
        <v/>
      </c>
      <c r="AQ30" s="7" t="str">
        <f>IF($I30&gt;0,VLOOKUP($I30,'Lista de Precios'!$A$3:$M$4893,13,0),"")</f>
        <v/>
      </c>
      <c r="AR30" s="7" t="str">
        <f>IF($I30&gt;0,VLOOKUP(I30,'Lista de Precios'!$A$3:$M$2883,13,0),"")</f>
        <v/>
      </c>
      <c r="HR30" s="134"/>
      <c r="HS30" s="134"/>
      <c r="HT30" s="134"/>
      <c r="HU30" s="134"/>
      <c r="HV30" s="134"/>
      <c r="HW30" s="134"/>
      <c r="HX30" s="134"/>
      <c r="HY30" s="134"/>
      <c r="HZ30" s="134"/>
      <c r="IA30" s="134"/>
      <c r="IB30" s="134"/>
      <c r="IC30" s="134"/>
      <c r="IE30" s="134"/>
      <c r="IF30" s="134"/>
      <c r="IG30" s="134"/>
      <c r="IH30" s="134"/>
      <c r="II30" s="134"/>
      <c r="IJ30" s="134"/>
      <c r="IK30" s="134"/>
      <c r="IL30" s="134"/>
      <c r="IM30" s="134"/>
      <c r="IN30" s="135"/>
      <c r="IO30" s="135"/>
      <c r="IP30" s="135"/>
      <c r="XEP30" s="7" t="str">
        <f t="shared" si="4"/>
        <v/>
      </c>
      <c r="XEQ30" s="7" t="str">
        <f t="shared" si="5"/>
        <v/>
      </c>
      <c r="XER30" s="7" t="str">
        <f t="shared" si="6"/>
        <v/>
      </c>
      <c r="XES30" s="7" t="str">
        <f t="shared" si="7"/>
        <v/>
      </c>
    </row>
    <row r="31" spans="1:250 16369:16373" ht="23.25" customHeight="1" x14ac:dyDescent="0.25">
      <c r="A31" s="74" t="str">
        <f>IF($I31&gt;0,VLOOKUP(I31,'Lista de Precios'!$A$3:$L$2883,9,0),0)</f>
        <v>Unisex</v>
      </c>
      <c r="B31" s="74" t="str">
        <f>IF($I31&gt;0,VLOOKUP(I31,'Lista de Precios'!$A$3:$H$2883,7,0),0)</f>
        <v>CONT</v>
      </c>
      <c r="C31" s="7" t="str">
        <f>IF($I31&gt;0,VLOOKUP(I31,'Lista de Precios'!$A$3:$H$2883,2,0),"")</f>
        <v>VALLARTA</v>
      </c>
      <c r="D31" s="7" t="str">
        <f>IF($I31&gt;0,VLOOKUP(I31,'Lista de Precios'!$A$3:$H$2883,3,0),"")</f>
        <v>BLANCO/GRIS CHIP/PLATA</v>
      </c>
      <c r="E31" s="76" t="str">
        <f>IF($I31&gt;0,VLOOKUP(I31,'Lista de Precios'!$A$3:$H$2883,6,0),"")</f>
        <v>MARZO</v>
      </c>
      <c r="F31" s="76" t="str">
        <f>IF($I31&gt;0,VLOOKUP(I31,'Lista de Precios'!$A$3:$H$2883,8,0),"")</f>
        <v>35 AL 45</v>
      </c>
      <c r="G31" s="101">
        <f t="shared" si="2"/>
        <v>88900</v>
      </c>
      <c r="H31" s="20" t="s">
        <v>3</v>
      </c>
      <c r="I31" s="18">
        <v>25642</v>
      </c>
      <c r="J31" s="28" t="str">
        <f t="shared" si="8"/>
        <v>MARZO</v>
      </c>
      <c r="K31" s="24"/>
      <c r="L31" s="37"/>
      <c r="M31" s="37"/>
      <c r="N31" s="37"/>
      <c r="O31" s="37"/>
      <c r="P31" s="40"/>
      <c r="Q31" s="39"/>
      <c r="R31" s="37"/>
      <c r="S31" s="37"/>
      <c r="T31" s="37"/>
      <c r="U31" s="37"/>
      <c r="V31" s="37"/>
      <c r="W31" s="37"/>
      <c r="X31" s="37"/>
      <c r="Y31" s="37"/>
      <c r="Z31" s="37"/>
      <c r="AA31" s="41"/>
      <c r="AB31" s="37"/>
      <c r="AC31" s="37"/>
      <c r="AD31" s="37">
        <v>8</v>
      </c>
      <c r="AE31" s="36">
        <v>4</v>
      </c>
      <c r="AF31" s="37">
        <v>4</v>
      </c>
      <c r="AG31" s="37">
        <v>4</v>
      </c>
      <c r="AH31" s="36"/>
      <c r="AI31" s="36"/>
      <c r="AJ31" s="42"/>
      <c r="AK31" s="42">
        <v>2</v>
      </c>
      <c r="AL31" s="42"/>
      <c r="AM31" s="73">
        <f t="shared" si="1"/>
        <v>22</v>
      </c>
      <c r="AN31" s="71">
        <f>+IF($I31&gt;0,VLOOKUP($I31,'Lista de Precios'!$A$3:$H$2883,4,0),"")</f>
        <v>47540.106951871654</v>
      </c>
      <c r="AO31" s="68">
        <f t="shared" si="3"/>
        <v>1045882.3529411764</v>
      </c>
      <c r="AP31" s="7" t="str">
        <f>IF($I31&gt;0,VLOOKUP($I31,'Lista de Precios'!$A$3:$K$2883,10,0),"")</f>
        <v>Casual</v>
      </c>
      <c r="AQ31" s="7" t="str">
        <f>IF($I31&gt;0,VLOOKUP($I31,'Lista de Precios'!$A$3:$M$49893,13,0),"")</f>
        <v>Casual</v>
      </c>
      <c r="HQ31" s="134"/>
      <c r="HR31" s="134"/>
      <c r="HS31" s="134"/>
      <c r="HT31" s="134"/>
      <c r="HU31" s="134"/>
      <c r="HV31" s="134"/>
      <c r="HW31" s="134"/>
      <c r="HX31" s="134"/>
      <c r="HY31" s="134"/>
      <c r="HZ31" s="134"/>
      <c r="IA31" s="134"/>
      <c r="IB31" s="134"/>
      <c r="ID31" s="134"/>
      <c r="IE31" s="134"/>
      <c r="IF31" s="134"/>
      <c r="IG31" s="134"/>
      <c r="IH31" s="134"/>
      <c r="II31" s="134"/>
      <c r="IJ31" s="134"/>
      <c r="IK31" s="134"/>
      <c r="IL31" s="134"/>
      <c r="IM31" s="135"/>
      <c r="IN31" s="135"/>
      <c r="IO31" s="135"/>
      <c r="XEO31" s="7" t="str">
        <f t="shared" ref="XEO31:XEO32" si="9">+IF($AQ31=$XEO$13,$AM31,"")</f>
        <v/>
      </c>
      <c r="XEP31" s="7">
        <f t="shared" si="4"/>
        <v>22</v>
      </c>
      <c r="XEQ31" s="7" t="str">
        <f t="shared" si="5"/>
        <v/>
      </c>
      <c r="XER31" s="7" t="str">
        <f t="shared" si="6"/>
        <v/>
      </c>
    </row>
    <row r="32" spans="1:250 16369:16373" ht="23.25" customHeight="1" x14ac:dyDescent="0.25">
      <c r="A32" s="74" t="str">
        <f>IF($I32&gt;0,VLOOKUP(I32,'Lista de Precios'!$A$3:$L$2883,9,0),0)</f>
        <v>Unisex</v>
      </c>
      <c r="B32" s="74" t="str">
        <f>IF($I32&gt;0,VLOOKUP(I32,'Lista de Precios'!$A$3:$H$2883,7,0),0)</f>
        <v>CONT</v>
      </c>
      <c r="C32" s="7" t="str">
        <f>IF($I32&gt;0,VLOOKUP(I32,'Lista de Precios'!$A$3:$H$2883,2,0),"")</f>
        <v>VALLARTA</v>
      </c>
      <c r="D32" s="7" t="str">
        <f>IF($I32&gt;0,VLOOKUP(I32,'Lista de Precios'!$A$3:$H$2883,3,0),"")</f>
        <v>NEGRO</v>
      </c>
      <c r="E32" s="76" t="str">
        <f>IF($I32&gt;0,VLOOKUP(I32,'Lista de Precios'!$A$3:$H$2883,6,0),"")</f>
        <v>MARZO</v>
      </c>
      <c r="F32" s="76" t="str">
        <f>IF($I32&gt;0,VLOOKUP(I32,'Lista de Precios'!$A$3:$H$2883,8,0),"")</f>
        <v>35 AL 45</v>
      </c>
      <c r="G32" s="101">
        <f t="shared" si="2"/>
        <v>88900</v>
      </c>
      <c r="H32" s="20" t="s">
        <v>3</v>
      </c>
      <c r="I32" s="18">
        <v>27363</v>
      </c>
      <c r="J32" s="28" t="str">
        <f t="shared" si="8"/>
        <v>MARZO</v>
      </c>
      <c r="K32" s="24"/>
      <c r="L32" s="37"/>
      <c r="M32" s="37"/>
      <c r="N32" s="37"/>
      <c r="O32" s="37"/>
      <c r="P32" s="40"/>
      <c r="Q32" s="39"/>
      <c r="R32" s="37"/>
      <c r="S32" s="37"/>
      <c r="T32" s="37"/>
      <c r="U32" s="37"/>
      <c r="V32" s="37"/>
      <c r="W32" s="37"/>
      <c r="X32" s="37"/>
      <c r="Y32" s="37"/>
      <c r="Z32" s="40"/>
      <c r="AA32" s="41"/>
      <c r="AB32" s="37"/>
      <c r="AC32" s="37">
        <v>2</v>
      </c>
      <c r="AD32" s="37">
        <v>2</v>
      </c>
      <c r="AE32" s="36">
        <v>6</v>
      </c>
      <c r="AF32" s="37">
        <v>2</v>
      </c>
      <c r="AG32" s="37"/>
      <c r="AH32" s="36"/>
      <c r="AI32" s="36"/>
      <c r="AJ32" s="42"/>
      <c r="AK32" s="42">
        <v>2</v>
      </c>
      <c r="AL32" s="42"/>
      <c r="AM32" s="73">
        <f t="shared" si="1"/>
        <v>14</v>
      </c>
      <c r="AN32" s="71">
        <f>+IF($I32&gt;0,VLOOKUP($I32,'Lista de Precios'!$A$3:$H$2883,4,0),"")</f>
        <v>47540.106951871654</v>
      </c>
      <c r="AO32" s="68">
        <f t="shared" si="3"/>
        <v>665561.49732620316</v>
      </c>
      <c r="AP32" s="7" t="str">
        <f>IF($I32&gt;0,VLOOKUP($I32,'Lista de Precios'!$A$3:$K$2883,10,0),"")</f>
        <v>Casual</v>
      </c>
      <c r="AQ32" s="7" t="str">
        <f>IF($I32&gt;0,VLOOKUP($I32,'Lista de Precios'!$A$3:$M$49893,13,0),"")</f>
        <v>Casual</v>
      </c>
      <c r="HQ32" s="134"/>
      <c r="HR32" s="134"/>
      <c r="HS32" s="134"/>
      <c r="HT32" s="134"/>
      <c r="HU32" s="134"/>
      <c r="HV32" s="134"/>
      <c r="HW32" s="134"/>
      <c r="HX32" s="134"/>
      <c r="HY32" s="134"/>
      <c r="HZ32" s="134"/>
      <c r="IA32" s="134"/>
      <c r="IB32" s="134"/>
      <c r="ID32" s="134"/>
      <c r="IE32" s="134"/>
      <c r="IF32" s="134"/>
      <c r="IG32" s="134"/>
      <c r="IH32" s="134"/>
      <c r="II32" s="134"/>
      <c r="IJ32" s="134"/>
      <c r="IK32" s="134"/>
      <c r="IL32" s="134"/>
      <c r="IM32" s="135"/>
      <c r="IN32" s="135"/>
      <c r="IO32" s="135"/>
      <c r="XEO32" s="7" t="str">
        <f t="shared" si="9"/>
        <v/>
      </c>
      <c r="XEP32" s="7">
        <f t="shared" si="4"/>
        <v>14</v>
      </c>
      <c r="XEQ32" s="7" t="str">
        <f t="shared" si="5"/>
        <v/>
      </c>
      <c r="XER32" s="7" t="str">
        <f t="shared" si="6"/>
        <v/>
      </c>
    </row>
    <row r="33" spans="1:250 16369:16373" ht="23.25" customHeight="1" x14ac:dyDescent="0.25">
      <c r="A33" s="74" t="str">
        <f>IF($I33&gt;0,VLOOKUP(I33,'Lista de Precios'!$A$3:$L$2883,9,0),0)</f>
        <v>Unisex</v>
      </c>
      <c r="B33" s="74" t="str">
        <f>IF($I33&gt;0,VLOOKUP(I33,'Lista de Precios'!$A$3:$H$2883,7,0),0)</f>
        <v>CONT</v>
      </c>
      <c r="C33" s="7" t="str">
        <f>IF($I33&gt;0,VLOOKUP(I33,'Lista de Precios'!$A$3:$H$2883,2,0),"")</f>
        <v>TERRANO II</v>
      </c>
      <c r="D33" s="7" t="str">
        <f>IF($I33&gt;0,VLOOKUP(I33,'Lista de Precios'!$A$3:$H$2883,3,0),"")</f>
        <v>NEGRO/CARAMELO</v>
      </c>
      <c r="E33" s="76" t="str">
        <f>IF($I33&gt;0,VLOOKUP(I33,'Lista de Precios'!$A$3:$H$2883,6,0),"")</f>
        <v>ENERO</v>
      </c>
      <c r="F33" s="76" t="str">
        <f>IF($I33&gt;0,VLOOKUP(I33,'Lista de Precios'!$A$3:$H$2883,8,0),"")</f>
        <v>35 AL 46</v>
      </c>
      <c r="G33" s="101">
        <f t="shared" si="2"/>
        <v>89500</v>
      </c>
      <c r="H33" s="20" t="s">
        <v>3</v>
      </c>
      <c r="I33" s="18">
        <v>26454</v>
      </c>
      <c r="J33" s="28" t="str">
        <f t="shared" si="8"/>
        <v>ENERO</v>
      </c>
      <c r="K33" s="24">
        <f>+IF($I33&gt;0,VLOOKUP($I33,'Lista de Precios'!$A$3:$H$2883,5,0),0)</f>
        <v>1</v>
      </c>
      <c r="L33" s="43"/>
      <c r="M33" s="43"/>
      <c r="N33" s="43"/>
      <c r="O33" s="43"/>
      <c r="P33" s="44"/>
      <c r="Q33" s="45"/>
      <c r="R33" s="43"/>
      <c r="S33" s="43"/>
      <c r="T33" s="43"/>
      <c r="U33" s="43"/>
      <c r="V33" s="43"/>
      <c r="W33" s="43"/>
      <c r="X33" s="43"/>
      <c r="Y33" s="37"/>
      <c r="Z33" s="40"/>
      <c r="AA33" s="41">
        <v>2</v>
      </c>
      <c r="AB33" s="37">
        <v>2</v>
      </c>
      <c r="AC33" s="37">
        <v>4</v>
      </c>
      <c r="AD33" s="37">
        <v>6</v>
      </c>
      <c r="AE33" s="37">
        <v>12</v>
      </c>
      <c r="AF33" s="43">
        <v>12</v>
      </c>
      <c r="AG33" s="43">
        <v>8</v>
      </c>
      <c r="AH33" s="42">
        <v>8</v>
      </c>
      <c r="AI33" s="42">
        <v>4</v>
      </c>
      <c r="AJ33" s="42">
        <v>2</v>
      </c>
      <c r="AK33" s="42"/>
      <c r="AL33" s="43"/>
      <c r="AM33" s="73">
        <f t="shared" si="1"/>
        <v>60</v>
      </c>
      <c r="AN33" s="71">
        <f>+IF($I33&gt;0,VLOOKUP($I33,'Lista de Precios'!$A$3:$H$2883,4,0),"")</f>
        <v>47860.962566844915</v>
      </c>
      <c r="AO33" s="68">
        <f t="shared" si="3"/>
        <v>2871657.754010695</v>
      </c>
      <c r="AP33" s="7" t="str">
        <f>IF($I33&gt;0,VLOOKUP($I33,'Lista de Precios'!$A$3:$K$2883,10,0),"")</f>
        <v>Casual</v>
      </c>
      <c r="AQ33" s="7" t="str">
        <f>IF($I33&gt;0,VLOOKUP($I33,'Lista de Precios'!$A$3:$M$4893,13,0),"")</f>
        <v>Casual</v>
      </c>
      <c r="AR33" s="7" t="str">
        <f>IF($I33&gt;0,VLOOKUP(I33,'Lista de Precios'!$A$3:$M$2883,13,0),"")</f>
        <v>Casual</v>
      </c>
      <c r="HR33" s="134"/>
      <c r="HS33" s="134"/>
      <c r="HT33" s="134"/>
      <c r="HU33" s="134"/>
      <c r="HV33" s="134"/>
      <c r="HW33" s="134"/>
      <c r="HX33" s="134"/>
      <c r="HY33" s="134"/>
      <c r="HZ33" s="134"/>
      <c r="IA33" s="134"/>
      <c r="IB33" s="134"/>
      <c r="IC33" s="134"/>
      <c r="IE33" s="134"/>
      <c r="IF33" s="134"/>
      <c r="IG33" s="134"/>
      <c r="IH33" s="134"/>
      <c r="II33" s="134"/>
      <c r="IJ33" s="134"/>
      <c r="IK33" s="134"/>
      <c r="IL33" s="134"/>
      <c r="IM33" s="134"/>
      <c r="IN33" s="135"/>
      <c r="IO33" s="135"/>
      <c r="IP33" s="135"/>
      <c r="XEP33" s="7">
        <f t="shared" si="4"/>
        <v>60</v>
      </c>
      <c r="XEQ33" s="7" t="str">
        <f t="shared" si="5"/>
        <v/>
      </c>
      <c r="XER33" s="7" t="str">
        <f t="shared" si="6"/>
        <v/>
      </c>
      <c r="XES33" s="7" t="str">
        <f t="shared" si="7"/>
        <v/>
      </c>
    </row>
    <row r="34" spans="1:250 16369:16373" ht="23.25" customHeight="1" x14ac:dyDescent="0.25">
      <c r="A34" s="74" t="str">
        <f>IF($I34&gt;0,VLOOKUP(I34,'Lista de Precios'!$A$3:$L$2883,9,0),0)</f>
        <v>Unisex</v>
      </c>
      <c r="B34" s="74" t="str">
        <f>IF($I34&gt;0,VLOOKUP(I34,'Lista de Precios'!$A$3:$H$2883,7,0),0)</f>
        <v>CONT</v>
      </c>
      <c r="C34" s="7" t="str">
        <f>IF($I34&gt;0,VLOOKUP(I34,'Lista de Precios'!$A$3:$H$2883,2,0),"")</f>
        <v>AKRON 2MIL</v>
      </c>
      <c r="D34" s="7" t="str">
        <f>IF($I34&gt;0,VLOOKUP(I34,'Lista de Precios'!$A$3:$H$2883,3,0),"")</f>
        <v>BLANCO/AZUL/PLATA</v>
      </c>
      <c r="E34" s="76" t="str">
        <f>IF($I34&gt;0,VLOOKUP(I34,'Lista de Precios'!$A$3:$H$2883,6,0),"")</f>
        <v>ENERO</v>
      </c>
      <c r="F34" s="76" t="str">
        <f>IF($I34&gt;0,VLOOKUP(I34,'Lista de Precios'!$A$3:$H$2883,8,0),"")</f>
        <v>35 AL 45</v>
      </c>
      <c r="G34" s="101">
        <f t="shared" si="2"/>
        <v>86900</v>
      </c>
      <c r="H34" s="20" t="s">
        <v>3</v>
      </c>
      <c r="I34" s="18">
        <v>52280</v>
      </c>
      <c r="J34" s="28" t="str">
        <f t="shared" si="8"/>
        <v>ENERO</v>
      </c>
      <c r="K34" s="24">
        <f>+IF($I34&gt;0,VLOOKUP($I34,'Lista de Precios'!$A$3:$H$2883,5,0),0)</f>
        <v>1</v>
      </c>
      <c r="L34" s="43"/>
      <c r="M34" s="43"/>
      <c r="N34" s="43"/>
      <c r="O34" s="37"/>
      <c r="P34" s="44"/>
      <c r="Q34" s="39"/>
      <c r="R34" s="37"/>
      <c r="S34" s="37"/>
      <c r="T34" s="37"/>
      <c r="U34" s="37"/>
      <c r="V34" s="37"/>
      <c r="W34" s="37"/>
      <c r="X34" s="37"/>
      <c r="Y34" s="37"/>
      <c r="Z34" s="40"/>
      <c r="AA34" s="41"/>
      <c r="AB34" s="37"/>
      <c r="AC34" s="37">
        <v>4</v>
      </c>
      <c r="AD34" s="37">
        <v>6</v>
      </c>
      <c r="AE34" s="37">
        <v>4</v>
      </c>
      <c r="AF34" s="43">
        <v>4</v>
      </c>
      <c r="AG34" s="43"/>
      <c r="AH34" s="42"/>
      <c r="AI34" s="42"/>
      <c r="AJ34" s="42"/>
      <c r="AK34" s="42"/>
      <c r="AL34" s="43"/>
      <c r="AM34" s="73">
        <f t="shared" si="1"/>
        <v>18</v>
      </c>
      <c r="AN34" s="71">
        <f>+IF($I34&gt;0,VLOOKUP($I34,'Lista de Precios'!$A$3:$H$2883,4,0),"")</f>
        <v>46470.588235294112</v>
      </c>
      <c r="AO34" s="68">
        <f t="shared" si="3"/>
        <v>836470.58823529398</v>
      </c>
      <c r="AP34" s="7" t="str">
        <f>IF($I34&gt;0,VLOOKUP($I34,'Lista de Precios'!$A$3:$K$2883,10,0),"")</f>
        <v>Casual</v>
      </c>
      <c r="AQ34" s="7" t="str">
        <f>IF($I34&gt;0,VLOOKUP($I34,'Lista de Precios'!$A$3:$M$4893,13,0),"")</f>
        <v>Casual</v>
      </c>
      <c r="AR34" s="7" t="str">
        <f>IF($I34&gt;0,VLOOKUP(I34,'Lista de Precios'!$A$3:$M$2883,13,0),"")</f>
        <v>Casual</v>
      </c>
      <c r="HR34" s="134"/>
      <c r="HS34" s="134"/>
      <c r="HT34" s="134"/>
      <c r="HU34" s="134"/>
      <c r="HV34" s="134"/>
      <c r="HW34" s="134"/>
      <c r="HX34" s="134"/>
      <c r="HY34" s="134"/>
      <c r="HZ34" s="134"/>
      <c r="IA34" s="134"/>
      <c r="IB34" s="134"/>
      <c r="IC34" s="134"/>
      <c r="IE34" s="134"/>
      <c r="IF34" s="134"/>
      <c r="IG34" s="134"/>
      <c r="IH34" s="134"/>
      <c r="II34" s="134"/>
      <c r="IJ34" s="134"/>
      <c r="IK34" s="134"/>
      <c r="IL34" s="134"/>
      <c r="IM34" s="134"/>
      <c r="IN34" s="135"/>
      <c r="IO34" s="135"/>
      <c r="IP34" s="135"/>
      <c r="XEP34" s="7">
        <f t="shared" si="4"/>
        <v>18</v>
      </c>
      <c r="XEQ34" s="7" t="str">
        <f t="shared" si="5"/>
        <v/>
      </c>
      <c r="XER34" s="7" t="str">
        <f t="shared" si="6"/>
        <v/>
      </c>
      <c r="XES34" s="7" t="str">
        <f t="shared" si="7"/>
        <v/>
      </c>
    </row>
    <row r="35" spans="1:250 16369:16373" ht="23.25" customHeight="1" x14ac:dyDescent="0.25">
      <c r="A35" s="74" t="str">
        <f>IF($I35&gt;0,VLOOKUP(I35,'Lista de Precios'!$A$3:$L$2883,9,0),0)</f>
        <v>Unisex</v>
      </c>
      <c r="B35" s="74" t="str">
        <f>IF($I35&gt;0,VLOOKUP(I35,'Lista de Precios'!$A$3:$H$2883,7,0),0)</f>
        <v>CONT</v>
      </c>
      <c r="C35" s="7" t="str">
        <f>IF($I35&gt;0,VLOOKUP(I35,'Lista de Precios'!$A$3:$H$2883,2,0),"")</f>
        <v>AKRON 2MIL</v>
      </c>
      <c r="D35" s="7" t="str">
        <f>IF($I35&gt;0,VLOOKUP(I35,'Lista de Precios'!$A$3:$H$2883,3,0),"")</f>
        <v>GRIS ANTAR/PLATEADO CLARO</v>
      </c>
      <c r="E35" s="76" t="str">
        <f>IF($I35&gt;0,VLOOKUP(I35,'Lista de Precios'!$A$3:$H$2883,6,0),"")</f>
        <v>ENERO</v>
      </c>
      <c r="F35" s="76" t="str">
        <f>IF($I35&gt;0,VLOOKUP(I35,'Lista de Precios'!$A$3:$H$2883,8,0),"")</f>
        <v>35 AL 45</v>
      </c>
      <c r="G35" s="101">
        <f t="shared" si="2"/>
        <v>86900</v>
      </c>
      <c r="H35" s="20" t="s">
        <v>3</v>
      </c>
      <c r="I35" s="18">
        <v>52224</v>
      </c>
      <c r="J35" s="28" t="str">
        <f t="shared" si="8"/>
        <v>ENERO</v>
      </c>
      <c r="K35" s="24">
        <f>+IF($I35&gt;0,VLOOKUP($I35,'Lista de Precios'!$A$3:$H$2883,5,0),0)</f>
        <v>1</v>
      </c>
      <c r="L35" s="43"/>
      <c r="M35" s="43"/>
      <c r="N35" s="43"/>
      <c r="O35" s="43"/>
      <c r="P35" s="44"/>
      <c r="Q35" s="45"/>
      <c r="R35" s="43"/>
      <c r="S35" s="43"/>
      <c r="T35" s="43"/>
      <c r="U35" s="43"/>
      <c r="V35" s="43"/>
      <c r="W35" s="43"/>
      <c r="X35" s="43"/>
      <c r="Y35" s="37"/>
      <c r="Z35" s="40"/>
      <c r="AA35" s="41"/>
      <c r="AB35" s="37"/>
      <c r="AC35" s="37">
        <v>2</v>
      </c>
      <c r="AD35" s="37">
        <v>4</v>
      </c>
      <c r="AE35" s="37">
        <v>4</v>
      </c>
      <c r="AF35" s="37">
        <v>2</v>
      </c>
      <c r="AG35" s="43"/>
      <c r="AH35" s="42"/>
      <c r="AI35" s="42"/>
      <c r="AJ35" s="49"/>
      <c r="AK35" s="49"/>
      <c r="AL35" s="49"/>
      <c r="AM35" s="73">
        <f t="shared" si="1"/>
        <v>12</v>
      </c>
      <c r="AN35" s="71">
        <f>+IF($I35&gt;0,VLOOKUP($I35,'Lista de Precios'!$A$3:$H$2883,4,0),"")</f>
        <v>46470.588235294112</v>
      </c>
      <c r="AO35" s="68">
        <f t="shared" si="3"/>
        <v>557647.0588235294</v>
      </c>
      <c r="AP35" s="7" t="str">
        <f>IF($I35&gt;0,VLOOKUP($I35,'Lista de Precios'!$A$3:$K$2883,10,0),"")</f>
        <v>Casual</v>
      </c>
      <c r="AQ35" s="7" t="str">
        <f>IF($I35&gt;0,VLOOKUP($I35,'Lista de Precios'!$A$3:$M$4893,13,0),"")</f>
        <v>Casual</v>
      </c>
      <c r="AR35" s="7" t="str">
        <f>IF($I35&gt;0,VLOOKUP(I35,'Lista de Precios'!$A$3:$M$2883,13,0),"")</f>
        <v>Casual</v>
      </c>
      <c r="HR35" s="134"/>
      <c r="HS35" s="134"/>
      <c r="HT35" s="134"/>
      <c r="HU35" s="134"/>
      <c r="HV35" s="134"/>
      <c r="HW35" s="134"/>
      <c r="HX35" s="134"/>
      <c r="HY35" s="134"/>
      <c r="HZ35" s="134"/>
      <c r="IA35" s="134"/>
      <c r="IB35" s="134"/>
      <c r="IC35" s="134"/>
      <c r="IE35" s="134"/>
      <c r="IF35" s="134"/>
      <c r="IG35" s="134"/>
      <c r="IH35" s="134"/>
      <c r="II35" s="134"/>
      <c r="IJ35" s="134"/>
      <c r="IK35" s="134"/>
      <c r="IL35" s="134"/>
      <c r="IM35" s="134"/>
      <c r="IN35" s="135"/>
      <c r="IO35" s="135"/>
      <c r="IP35" s="135"/>
      <c r="XEP35" s="7">
        <f t="shared" si="4"/>
        <v>12</v>
      </c>
      <c r="XEQ35" s="7" t="str">
        <f t="shared" si="5"/>
        <v/>
      </c>
      <c r="XER35" s="7" t="str">
        <f t="shared" si="6"/>
        <v/>
      </c>
      <c r="XES35" s="7" t="str">
        <f t="shared" si="7"/>
        <v/>
      </c>
    </row>
    <row r="36" spans="1:250 16369:16373" ht="23.25" customHeight="1" x14ac:dyDescent="0.25">
      <c r="A36" s="74" t="str">
        <f>IF($I36&gt;0,VLOOKUP(I36,'Lista de Precios'!$A$3:$L$2883,9,0),0)</f>
        <v>Unisex</v>
      </c>
      <c r="B36" s="74" t="str">
        <f>IF($I36&gt;0,VLOOKUP(I36,'Lista de Precios'!$A$3:$H$2883,7,0),0)</f>
        <v>NC</v>
      </c>
      <c r="C36" s="7" t="str">
        <f>IF($I36&gt;0,VLOOKUP(I36,'Lista de Precios'!$A$3:$H$2883,2,0),"")</f>
        <v>T-850</v>
      </c>
      <c r="D36" s="7" t="str">
        <f>IF($I36&gt;0,VLOOKUP(I36,'Lista de Precios'!$A$3:$H$2883,3,0),"")</f>
        <v>GRIS LUNAR/GRIS CITY/GRIS PE</v>
      </c>
      <c r="E36" s="76" t="str">
        <f>IF($I36&gt;0,VLOOKUP(I36,'Lista de Precios'!$A$3:$H$2883,6,0),"")</f>
        <v>FEBRERO</v>
      </c>
      <c r="F36" s="76" t="str">
        <f>IF($I36&gt;0,VLOOKUP(I36,'Lista de Precios'!$A$3:$H$2883,8,0),"")</f>
        <v>35 AL 45</v>
      </c>
      <c r="G36" s="101">
        <f t="shared" si="2"/>
        <v>83900</v>
      </c>
      <c r="H36" s="20" t="s">
        <v>3</v>
      </c>
      <c r="I36" s="18">
        <v>27364</v>
      </c>
      <c r="J36" s="28" t="str">
        <f t="shared" si="8"/>
        <v>FEBRERO</v>
      </c>
      <c r="K36" s="24"/>
      <c r="L36" s="37"/>
      <c r="M36" s="37"/>
      <c r="N36" s="37"/>
      <c r="O36" s="37"/>
      <c r="P36" s="40"/>
      <c r="Q36" s="39"/>
      <c r="R36" s="37"/>
      <c r="S36" s="37"/>
      <c r="T36" s="37"/>
      <c r="U36" s="37"/>
      <c r="V36" s="37"/>
      <c r="W36" s="37"/>
      <c r="X36" s="37"/>
      <c r="Y36" s="37"/>
      <c r="Z36" s="40"/>
      <c r="AA36" s="41"/>
      <c r="AB36" s="37"/>
      <c r="AC36" s="37"/>
      <c r="AD36" s="37">
        <v>2</v>
      </c>
      <c r="AE36" s="36">
        <v>2</v>
      </c>
      <c r="AF36" s="37">
        <v>2</v>
      </c>
      <c r="AG36" s="37">
        <v>4</v>
      </c>
      <c r="AH36" s="36">
        <v>6</v>
      </c>
      <c r="AI36" s="36">
        <v>4</v>
      </c>
      <c r="AJ36" s="42">
        <v>2</v>
      </c>
      <c r="AK36" s="42">
        <v>2</v>
      </c>
      <c r="AL36" s="42"/>
      <c r="AM36" s="73">
        <f t="shared" si="1"/>
        <v>24</v>
      </c>
      <c r="AN36" s="71">
        <f>+IF($I36&gt;0,VLOOKUP($I36,'Lista de Precios'!$A$3:$H$2883,4,0),"")</f>
        <v>44866.310160427805</v>
      </c>
      <c r="AO36" s="68">
        <f t="shared" si="3"/>
        <v>1076791.4438502672</v>
      </c>
      <c r="AP36" s="7" t="str">
        <f>IF($I36&gt;0,VLOOKUP($I36,'Lista de Precios'!$A$3:$K$2883,10,0),"")</f>
        <v>Casual</v>
      </c>
      <c r="AQ36" s="7" t="str">
        <f>IF($I36&gt;0,VLOOKUP($I36,'Lista de Precios'!$A$3:$M$49893,13,0),"")</f>
        <v>Casual</v>
      </c>
      <c r="HQ36" s="134"/>
      <c r="HR36" s="134"/>
      <c r="HS36" s="134"/>
      <c r="HT36" s="134"/>
      <c r="HU36" s="134"/>
      <c r="HV36" s="134"/>
      <c r="HW36" s="134"/>
      <c r="HX36" s="134"/>
      <c r="HY36" s="134"/>
      <c r="HZ36" s="134"/>
      <c r="IA36" s="134"/>
      <c r="IB36" s="134"/>
      <c r="ID36" s="134"/>
      <c r="IE36" s="134"/>
      <c r="IF36" s="134"/>
      <c r="IG36" s="134"/>
      <c r="IH36" s="134"/>
      <c r="II36" s="134"/>
      <c r="IJ36" s="134"/>
      <c r="IK36" s="134"/>
      <c r="IL36" s="134"/>
      <c r="IM36" s="135"/>
      <c r="IN36" s="135"/>
      <c r="IO36" s="135"/>
      <c r="XEO36" s="7" t="str">
        <f t="shared" ref="XEO36" si="10">+IF($AQ36=$XEO$13,$AM36,"")</f>
        <v/>
      </c>
      <c r="XEP36" s="7">
        <f t="shared" si="4"/>
        <v>24</v>
      </c>
      <c r="XEQ36" s="7" t="str">
        <f t="shared" si="5"/>
        <v/>
      </c>
      <c r="XER36" s="7" t="str">
        <f t="shared" si="6"/>
        <v/>
      </c>
    </row>
    <row r="37" spans="1:250 16369:16373" ht="23.25" customHeight="1" x14ac:dyDescent="0.25">
      <c r="A37" s="74">
        <f>IF($I37&gt;0,VLOOKUP(I37,'Lista de Precios'!$A$3:$L$2883,9,0),0)</f>
        <v>0</v>
      </c>
      <c r="B37" s="74">
        <f>IF($I37&gt;0,VLOOKUP(I37,'Lista de Precios'!$A$3:$H$2883,7,0),0)</f>
        <v>0</v>
      </c>
      <c r="C37" s="7" t="str">
        <f>IF($I37&gt;0,VLOOKUP(I37,'Lista de Precios'!$A$3:$H$2883,2,0),"")</f>
        <v/>
      </c>
      <c r="D37" s="7" t="str">
        <f>IF($I37&gt;0,VLOOKUP(I37,'Lista de Precios'!$A$3:$H$2883,3,0),"")</f>
        <v/>
      </c>
      <c r="E37" s="76" t="str">
        <f>IF($I37&gt;0,VLOOKUP(I37,'Lista de Precios'!$A$3:$H$2883,6,0),"")</f>
        <v/>
      </c>
      <c r="F37" s="76" t="str">
        <f>IF($I37&gt;0,VLOOKUP(I37,'Lista de Precios'!$A$3:$H$2883,8,0),"")</f>
        <v/>
      </c>
      <c r="G37" s="101" t="str">
        <f t="shared" si="2"/>
        <v/>
      </c>
      <c r="H37" s="20" t="s">
        <v>3</v>
      </c>
      <c r="I37" s="18"/>
      <c r="J37" s="28" t="str">
        <f t="shared" si="8"/>
        <v/>
      </c>
      <c r="K37" s="24">
        <f>+IF($I37&gt;0,VLOOKUP($I37,'Lista de Precios'!$A$3:$H$2883,5,0),0)</f>
        <v>0</v>
      </c>
      <c r="L37" s="51"/>
      <c r="M37" s="51"/>
      <c r="N37" s="51"/>
      <c r="O37" s="48"/>
      <c r="P37" s="52"/>
      <c r="Q37" s="50"/>
      <c r="R37" s="43"/>
      <c r="S37" s="43"/>
      <c r="T37" s="43"/>
      <c r="U37" s="43"/>
      <c r="V37" s="43"/>
      <c r="W37" s="43"/>
      <c r="X37" s="43"/>
      <c r="Y37" s="43"/>
      <c r="Z37" s="44"/>
      <c r="AA37" s="41"/>
      <c r="AB37" s="37"/>
      <c r="AC37" s="37"/>
      <c r="AD37" s="37"/>
      <c r="AE37" s="37"/>
      <c r="AF37" s="48"/>
      <c r="AG37" s="54"/>
      <c r="AH37" s="54"/>
      <c r="AI37" s="54"/>
      <c r="AJ37" s="54"/>
      <c r="AK37" s="54"/>
      <c r="AL37" s="54"/>
      <c r="AM37" s="73">
        <f t="shared" si="1"/>
        <v>0</v>
      </c>
      <c r="AN37" s="71" t="str">
        <f>+IF($I37&gt;0,VLOOKUP($I37,'Lista de Precios'!$A$3:$H$2883,4,0),"")</f>
        <v/>
      </c>
      <c r="AO37" s="68" t="str">
        <f t="shared" si="3"/>
        <v/>
      </c>
      <c r="AP37" s="7" t="str">
        <f>IF($I37&gt;0,VLOOKUP($I37,'Lista de Precios'!$A$3:$K$2883,10,0),"")</f>
        <v/>
      </c>
      <c r="AQ37" s="7" t="str">
        <f>IF($I37&gt;0,VLOOKUP($I37,'Lista de Precios'!$A$3:$M$4893,13,0),"")</f>
        <v/>
      </c>
      <c r="AR37" s="7" t="str">
        <f>IF($I37&gt;0,VLOOKUP(I37,'Lista de Precios'!$A$3:$M$2883,13,0),"")</f>
        <v/>
      </c>
      <c r="HR37" s="134"/>
      <c r="HS37" s="134"/>
      <c r="HT37" s="134"/>
      <c r="HU37" s="134"/>
      <c r="HV37" s="134"/>
      <c r="HW37" s="134"/>
      <c r="HX37" s="134"/>
      <c r="HY37" s="134"/>
      <c r="HZ37" s="134"/>
      <c r="IA37" s="134"/>
      <c r="IB37" s="134"/>
      <c r="IC37" s="134"/>
      <c r="IE37" s="134"/>
      <c r="IF37" s="134"/>
      <c r="IG37" s="134"/>
      <c r="IH37" s="134"/>
      <c r="II37" s="134"/>
      <c r="IJ37" s="134"/>
      <c r="IK37" s="134"/>
      <c r="IL37" s="134"/>
      <c r="IM37" s="134"/>
      <c r="IN37" s="135"/>
      <c r="IO37" s="135"/>
      <c r="IP37" s="135"/>
      <c r="XEP37" s="7" t="str">
        <f t="shared" si="4"/>
        <v/>
      </c>
      <c r="XEQ37" s="7" t="str">
        <f t="shared" si="5"/>
        <v/>
      </c>
      <c r="XER37" s="7" t="str">
        <f t="shared" si="6"/>
        <v/>
      </c>
      <c r="XES37" s="7" t="str">
        <f t="shared" si="7"/>
        <v/>
      </c>
    </row>
    <row r="38" spans="1:250 16369:16373" ht="23.25" customHeight="1" x14ac:dyDescent="0.25">
      <c r="A38" s="74">
        <f>IF($I38&gt;0,VLOOKUP(I38,'Lista de Precios'!$A$3:$L$2883,9,0),0)</f>
        <v>0</v>
      </c>
      <c r="B38" s="74">
        <f>IF($I38&gt;0,VLOOKUP(I38,'Lista de Precios'!$A$3:$H$2883,7,0),0)</f>
        <v>0</v>
      </c>
      <c r="C38" s="7" t="str">
        <f>IF($I38&gt;0,VLOOKUP(I38,'Lista de Precios'!$A$3:$H$2883,2,0),"")</f>
        <v/>
      </c>
      <c r="D38" s="7" t="str">
        <f>IF($I38&gt;0,VLOOKUP(I38,'Lista de Precios'!$A$3:$H$2883,3,0),"")</f>
        <v/>
      </c>
      <c r="E38" s="76" t="str">
        <f>IF($I38&gt;0,VLOOKUP(I38,'Lista de Precios'!$A$3:$H$2883,6,0),"")</f>
        <v/>
      </c>
      <c r="F38" s="76" t="str">
        <f>IF($I38&gt;0,VLOOKUP(I38,'Lista de Precios'!$A$3:$H$2883,8,0),"")</f>
        <v/>
      </c>
      <c r="G38" s="101" t="str">
        <f t="shared" si="2"/>
        <v/>
      </c>
      <c r="H38" s="20" t="s">
        <v>3</v>
      </c>
      <c r="I38" s="18"/>
      <c r="J38" s="28" t="str">
        <f t="shared" si="8"/>
        <v/>
      </c>
      <c r="K38" s="24">
        <f>+IF($I38&gt;0,VLOOKUP($I38,'Lista de Precios'!$A$3:$H$2883,5,0),0)</f>
        <v>0</v>
      </c>
      <c r="L38" s="54"/>
      <c r="M38" s="54"/>
      <c r="N38" s="54"/>
      <c r="O38" s="48"/>
      <c r="P38" s="55"/>
      <c r="Q38" s="50"/>
      <c r="R38" s="43"/>
      <c r="S38" s="43"/>
      <c r="T38" s="43"/>
      <c r="U38" s="43"/>
      <c r="V38" s="43"/>
      <c r="W38" s="43"/>
      <c r="X38" s="43"/>
      <c r="Y38" s="43"/>
      <c r="Z38" s="44"/>
      <c r="AA38" s="41"/>
      <c r="AB38" s="37"/>
      <c r="AC38" s="37"/>
      <c r="AD38" s="37"/>
      <c r="AE38" s="37"/>
      <c r="AF38" s="48"/>
      <c r="AG38" s="54"/>
      <c r="AH38" s="54"/>
      <c r="AI38" s="54"/>
      <c r="AJ38" s="54"/>
      <c r="AK38" s="54"/>
      <c r="AL38" s="54"/>
      <c r="AM38" s="73">
        <f t="shared" si="1"/>
        <v>0</v>
      </c>
      <c r="AN38" s="71" t="str">
        <f>+IF($I38&gt;0,VLOOKUP($I38,'Lista de Precios'!$A$3:$H$2883,4,0),"")</f>
        <v/>
      </c>
      <c r="AO38" s="68" t="str">
        <f t="shared" si="3"/>
        <v/>
      </c>
      <c r="AP38" s="7" t="str">
        <f>IF($I38&gt;0,VLOOKUP($I38,'Lista de Precios'!$A$3:$K$2883,10,0),"")</f>
        <v/>
      </c>
      <c r="AQ38" s="7" t="str">
        <f>IF($I38&gt;0,VLOOKUP($I38,'Lista de Precios'!$A$3:$M$4893,13,0),"")</f>
        <v/>
      </c>
      <c r="AR38" s="7" t="str">
        <f>IF($I38&gt;0,VLOOKUP(I38,'Lista de Precios'!$A$3:$M$2883,13,0),"")</f>
        <v/>
      </c>
      <c r="HR38" s="134"/>
      <c r="HS38" s="134"/>
      <c r="HT38" s="134"/>
      <c r="HU38" s="134"/>
      <c r="HV38" s="134"/>
      <c r="HW38" s="134"/>
      <c r="HX38" s="134"/>
      <c r="HY38" s="134"/>
      <c r="HZ38" s="134"/>
      <c r="IA38" s="134"/>
      <c r="IB38" s="134"/>
      <c r="IC38" s="134"/>
      <c r="IE38" s="134"/>
      <c r="IF38" s="134"/>
      <c r="IG38" s="134"/>
      <c r="IH38" s="134"/>
      <c r="II38" s="134"/>
      <c r="IJ38" s="134"/>
      <c r="IK38" s="134"/>
      <c r="IL38" s="134"/>
      <c r="IM38" s="134"/>
      <c r="IN38" s="135"/>
      <c r="IO38" s="135"/>
      <c r="IP38" s="135"/>
      <c r="XEP38" s="7" t="str">
        <f t="shared" si="4"/>
        <v/>
      </c>
      <c r="XEQ38" s="7" t="str">
        <f t="shared" si="5"/>
        <v/>
      </c>
      <c r="XER38" s="7" t="str">
        <f t="shared" si="6"/>
        <v/>
      </c>
      <c r="XES38" s="7" t="str">
        <f t="shared" si="7"/>
        <v/>
      </c>
    </row>
    <row r="39" spans="1:250 16369:16373" ht="23.25" customHeight="1" x14ac:dyDescent="0.25">
      <c r="A39" s="74">
        <f>IF($I39&gt;0,VLOOKUP(I39,'Lista de Precios'!$A$3:$L$2883,9,0),0)</f>
        <v>0</v>
      </c>
      <c r="B39" s="74">
        <f>IF($I39&gt;0,VLOOKUP(I39,'Lista de Precios'!$A$3:$H$2883,7,0),0)</f>
        <v>0</v>
      </c>
      <c r="C39" s="7" t="str">
        <f>IF($I39&gt;0,VLOOKUP(I39,'Lista de Precios'!$A$3:$H$2883,2,0),"")</f>
        <v/>
      </c>
      <c r="D39" s="7" t="str">
        <f>IF($I39&gt;0,VLOOKUP(I39,'Lista de Precios'!$A$3:$H$2883,3,0),"")</f>
        <v/>
      </c>
      <c r="E39" s="76" t="str">
        <f>IF($I39&gt;0,VLOOKUP(I39,'Lista de Precios'!$A$3:$H$2883,6,0),"")</f>
        <v/>
      </c>
      <c r="F39" s="76" t="str">
        <f>IF($I39&gt;0,VLOOKUP(I39,'Lista de Precios'!$A$3:$H$2883,8,0),"")</f>
        <v/>
      </c>
      <c r="G39" s="101" t="str">
        <f t="shared" si="2"/>
        <v/>
      </c>
      <c r="H39" s="20" t="s">
        <v>3</v>
      </c>
      <c r="I39" s="18"/>
      <c r="J39" s="28" t="str">
        <f t="shared" si="8"/>
        <v/>
      </c>
      <c r="K39" s="24">
        <f>+IF($I39&gt;0,VLOOKUP($I39,'Lista de Precios'!$A$3:$H$2883,5,0),0)</f>
        <v>0</v>
      </c>
      <c r="L39" s="43"/>
      <c r="M39" s="43"/>
      <c r="N39" s="43"/>
      <c r="O39" s="48"/>
      <c r="P39" s="44"/>
      <c r="Q39" s="50"/>
      <c r="R39" s="43"/>
      <c r="S39" s="43"/>
      <c r="T39" s="43"/>
      <c r="U39" s="43"/>
      <c r="V39" s="43"/>
      <c r="W39" s="43"/>
      <c r="X39" s="43"/>
      <c r="Y39" s="43"/>
      <c r="Z39" s="44"/>
      <c r="AA39" s="41"/>
      <c r="AB39" s="37"/>
      <c r="AC39" s="37"/>
      <c r="AD39" s="37"/>
      <c r="AE39" s="37"/>
      <c r="AF39" s="48"/>
      <c r="AG39" s="43"/>
      <c r="AH39" s="42"/>
      <c r="AI39" s="42"/>
      <c r="AJ39" s="42"/>
      <c r="AK39" s="42"/>
      <c r="AL39" s="42"/>
      <c r="AM39" s="73">
        <f t="shared" si="1"/>
        <v>0</v>
      </c>
      <c r="AN39" s="71" t="str">
        <f>+IF($I39&gt;0,VLOOKUP($I39,'Lista de Precios'!$A$3:$H$2883,4,0),"")</f>
        <v/>
      </c>
      <c r="AO39" s="68" t="str">
        <f t="shared" si="3"/>
        <v/>
      </c>
      <c r="AP39" s="7" t="str">
        <f>IF($I39&gt;0,VLOOKUP($I39,'Lista de Precios'!$A$3:$K$2883,10,0),"")</f>
        <v/>
      </c>
      <c r="AQ39" s="7" t="str">
        <f>IF($I39&gt;0,VLOOKUP($I39,'Lista de Precios'!$A$3:$M$4893,13,0),"")</f>
        <v/>
      </c>
      <c r="AR39" s="7" t="str">
        <f>IF($I39&gt;0,VLOOKUP(I39,'Lista de Precios'!$A$3:$M$2883,13,0),"")</f>
        <v/>
      </c>
      <c r="HR39" s="134"/>
      <c r="HS39" s="134"/>
      <c r="HT39" s="134"/>
      <c r="HU39" s="134"/>
      <c r="HV39" s="134"/>
      <c r="HW39" s="134"/>
      <c r="HX39" s="134"/>
      <c r="HY39" s="134"/>
      <c r="HZ39" s="134"/>
      <c r="IA39" s="134"/>
      <c r="IB39" s="134"/>
      <c r="IC39" s="134"/>
      <c r="IE39" s="134"/>
      <c r="IF39" s="134"/>
      <c r="IG39" s="134"/>
      <c r="IH39" s="134"/>
      <c r="II39" s="134"/>
      <c r="IJ39" s="134"/>
      <c r="IK39" s="134"/>
      <c r="IL39" s="134"/>
      <c r="IM39" s="134"/>
      <c r="IN39" s="135"/>
      <c r="IO39" s="135"/>
      <c r="IP39" s="135"/>
      <c r="XEP39" s="7" t="str">
        <f t="shared" si="4"/>
        <v/>
      </c>
      <c r="XEQ39" s="7" t="str">
        <f t="shared" si="5"/>
        <v/>
      </c>
      <c r="XER39" s="7" t="str">
        <f t="shared" si="6"/>
        <v/>
      </c>
      <c r="XES39" s="7" t="str">
        <f t="shared" si="7"/>
        <v/>
      </c>
    </row>
    <row r="40" spans="1:250 16369:16373" ht="23.25" customHeight="1" x14ac:dyDescent="0.25">
      <c r="A40" s="74">
        <f>IF($I40&gt;0,VLOOKUP(I40,'Lista de Precios'!$A$3:$L$2883,9,0),0)</f>
        <v>0</v>
      </c>
      <c r="B40" s="74">
        <f>IF($I40&gt;0,VLOOKUP(I40,'Lista de Precios'!$A$3:$H$2883,7,0),0)</f>
        <v>0</v>
      </c>
      <c r="C40" s="7" t="str">
        <f>IF($I40&gt;0,VLOOKUP(I40,'Lista de Precios'!$A$3:$H$2883,2,0),"")</f>
        <v/>
      </c>
      <c r="D40" s="7" t="str">
        <f>IF($I40&gt;0,VLOOKUP(I40,'Lista de Precios'!$A$3:$H$2883,3,0),"")</f>
        <v/>
      </c>
      <c r="E40" s="76" t="str">
        <f>IF($I40&gt;0,VLOOKUP(I40,'Lista de Precios'!$A$3:$H$2883,6,0),"")</f>
        <v/>
      </c>
      <c r="F40" s="76" t="str">
        <f>IF($I40&gt;0,VLOOKUP(I40,'Lista de Precios'!$A$3:$H$2883,8,0),"")</f>
        <v/>
      </c>
      <c r="G40" s="101" t="str">
        <f t="shared" si="2"/>
        <v/>
      </c>
      <c r="H40" s="20" t="s">
        <v>3</v>
      </c>
      <c r="I40" s="18"/>
      <c r="J40" s="28" t="str">
        <f t="shared" si="8"/>
        <v/>
      </c>
      <c r="K40" s="24">
        <f>+IF($I40&gt;0,VLOOKUP($I40,'Lista de Precios'!$A$3:$H$2883,5,0),0)</f>
        <v>0</v>
      </c>
      <c r="L40" s="54"/>
      <c r="M40" s="54"/>
      <c r="N40" s="54"/>
      <c r="O40" s="43"/>
      <c r="P40" s="55"/>
      <c r="Q40" s="45"/>
      <c r="R40" s="43"/>
      <c r="S40" s="43"/>
      <c r="T40" s="43"/>
      <c r="U40" s="43"/>
      <c r="V40" s="43"/>
      <c r="W40" s="43"/>
      <c r="X40" s="43"/>
      <c r="Y40" s="43"/>
      <c r="Z40" s="44"/>
      <c r="AA40" s="41"/>
      <c r="AB40" s="37"/>
      <c r="AC40" s="37"/>
      <c r="AD40" s="37"/>
      <c r="AE40" s="37"/>
      <c r="AF40" s="43"/>
      <c r="AG40" s="54"/>
      <c r="AH40" s="54"/>
      <c r="AI40" s="54"/>
      <c r="AJ40" s="54"/>
      <c r="AK40" s="54"/>
      <c r="AL40" s="54"/>
      <c r="AM40" s="73">
        <f t="shared" si="1"/>
        <v>0</v>
      </c>
      <c r="AN40" s="71" t="str">
        <f>+IF($I40&gt;0,VLOOKUP($I40,'Lista de Precios'!$A$3:$H$2883,4,0),"")</f>
        <v/>
      </c>
      <c r="AO40" s="68" t="str">
        <f t="shared" si="3"/>
        <v/>
      </c>
      <c r="AP40" s="7" t="str">
        <f>IF($I40&gt;0,VLOOKUP($I40,'Lista de Precios'!$A$3:$K$2883,10,0),"")</f>
        <v/>
      </c>
      <c r="AQ40" s="7" t="str">
        <f>IF($I40&gt;0,VLOOKUP($I40,'Lista de Precios'!$A$3:$M$4893,13,0),"")</f>
        <v/>
      </c>
      <c r="AR40" s="7" t="str">
        <f>IF($I40&gt;0,VLOOKUP(I40,'Lista de Precios'!$A$3:$M$2883,13,0),"")</f>
        <v/>
      </c>
      <c r="HR40" s="134"/>
      <c r="HS40" s="134"/>
      <c r="HT40" s="134"/>
      <c r="HU40" s="134"/>
      <c r="HV40" s="134"/>
      <c r="HW40" s="134"/>
      <c r="HX40" s="134"/>
      <c r="HY40" s="134"/>
      <c r="HZ40" s="134"/>
      <c r="IA40" s="134"/>
      <c r="IB40" s="134"/>
      <c r="IC40" s="134"/>
      <c r="IE40" s="134"/>
      <c r="IF40" s="134"/>
      <c r="IG40" s="134"/>
      <c r="IH40" s="134"/>
      <c r="II40" s="134"/>
      <c r="IJ40" s="134"/>
      <c r="IK40" s="134"/>
      <c r="IL40" s="134"/>
      <c r="IM40" s="134"/>
      <c r="IN40" s="135"/>
      <c r="IO40" s="135"/>
      <c r="IP40" s="135"/>
      <c r="XEP40" s="7" t="str">
        <f t="shared" si="4"/>
        <v/>
      </c>
      <c r="XEQ40" s="7" t="str">
        <f t="shared" si="5"/>
        <v/>
      </c>
      <c r="XER40" s="7" t="str">
        <f t="shared" si="6"/>
        <v/>
      </c>
      <c r="XES40" s="7" t="str">
        <f t="shared" si="7"/>
        <v/>
      </c>
    </row>
    <row r="41" spans="1:250 16369:16373" ht="23.25" customHeight="1" x14ac:dyDescent="0.25">
      <c r="A41" s="74">
        <f>IF($I41&gt;0,VLOOKUP(I41,'Lista de Precios'!$A$3:$L$2883,9,0),0)</f>
        <v>0</v>
      </c>
      <c r="B41" s="74">
        <f>IF($I41&gt;0,VLOOKUP(I41,'Lista de Precios'!$A$3:$H$2883,7,0),0)</f>
        <v>0</v>
      </c>
      <c r="C41" s="7" t="str">
        <f>IF($I41&gt;0,VLOOKUP(I41,'Lista de Precios'!$A$3:$H$2883,2,0),"")</f>
        <v/>
      </c>
      <c r="D41" s="7" t="str">
        <f>IF($I41&gt;0,VLOOKUP(I41,'Lista de Precios'!$A$3:$H$2883,3,0),"")</f>
        <v/>
      </c>
      <c r="E41" s="76" t="str">
        <f>IF($I41&gt;0,VLOOKUP(I41,'Lista de Precios'!$A$3:$H$2883,6,0),"")</f>
        <v/>
      </c>
      <c r="F41" s="76" t="str">
        <f>IF($I41&gt;0,VLOOKUP(I41,'Lista de Precios'!$A$3:$H$2883,8,0),"")</f>
        <v/>
      </c>
      <c r="G41" s="101" t="str">
        <f t="shared" si="2"/>
        <v/>
      </c>
      <c r="H41" s="20" t="s">
        <v>3</v>
      </c>
      <c r="I41" s="18"/>
      <c r="J41" s="28" t="str">
        <f t="shared" si="8"/>
        <v/>
      </c>
      <c r="K41" s="24">
        <f>+IF($I41&gt;0,VLOOKUP($I41,'Lista de Precios'!$A$3:$H$2883,5,0),0)</f>
        <v>0</v>
      </c>
      <c r="L41" s="37"/>
      <c r="M41" s="37"/>
      <c r="N41" s="37"/>
      <c r="O41" s="37"/>
      <c r="P41" s="40"/>
      <c r="Q41" s="39"/>
      <c r="R41" s="37"/>
      <c r="S41" s="37"/>
      <c r="T41" s="37"/>
      <c r="U41" s="37"/>
      <c r="V41" s="37"/>
      <c r="W41" s="37"/>
      <c r="X41" s="37"/>
      <c r="Y41" s="37"/>
      <c r="Z41" s="40"/>
      <c r="AA41" s="41"/>
      <c r="AB41" s="37"/>
      <c r="AC41" s="37"/>
      <c r="AD41" s="37"/>
      <c r="AE41" s="37"/>
      <c r="AF41" s="37"/>
      <c r="AG41" s="37"/>
      <c r="AH41" s="36"/>
      <c r="AI41" s="36"/>
      <c r="AJ41" s="36"/>
      <c r="AK41" s="42"/>
      <c r="AL41" s="36"/>
      <c r="AM41" s="73">
        <f t="shared" si="1"/>
        <v>0</v>
      </c>
      <c r="AN41" s="71" t="str">
        <f>+IF($I41&gt;0,VLOOKUP($I41,'Lista de Precios'!$A$3:$H$2883,4,0),"")</f>
        <v/>
      </c>
      <c r="AO41" s="68" t="str">
        <f t="shared" si="3"/>
        <v/>
      </c>
      <c r="AP41" s="7" t="str">
        <f>IF($I41&gt;0,VLOOKUP($I41,'Lista de Precios'!$A$3:$K$2883,10,0),"")</f>
        <v/>
      </c>
      <c r="AQ41" s="7" t="str">
        <f>IF($I41&gt;0,VLOOKUP($I41,'Lista de Precios'!$A$3:$M$4893,13,0),"")</f>
        <v/>
      </c>
      <c r="AR41" s="7" t="str">
        <f>IF($I41&gt;0,VLOOKUP(I41,'Lista de Precios'!$A$3:$M$2883,13,0),"")</f>
        <v/>
      </c>
      <c r="HR41" s="134"/>
      <c r="HS41" s="134"/>
      <c r="HT41" s="134"/>
      <c r="HU41" s="134"/>
      <c r="HV41" s="134"/>
      <c r="HW41" s="134"/>
      <c r="HX41" s="134"/>
      <c r="HY41" s="134"/>
      <c r="HZ41" s="134"/>
      <c r="IA41" s="134"/>
      <c r="IB41" s="134"/>
      <c r="IC41" s="134"/>
      <c r="IE41" s="134"/>
      <c r="IF41" s="134"/>
      <c r="IG41" s="134"/>
      <c r="IH41" s="134"/>
      <c r="II41" s="134"/>
      <c r="IJ41" s="134"/>
      <c r="IK41" s="134"/>
      <c r="IL41" s="134"/>
      <c r="IM41" s="134"/>
      <c r="IN41" s="135"/>
      <c r="IO41" s="135"/>
      <c r="IP41" s="135"/>
      <c r="XEP41" s="7" t="str">
        <f t="shared" si="4"/>
        <v/>
      </c>
      <c r="XEQ41" s="7" t="str">
        <f t="shared" si="5"/>
        <v/>
      </c>
      <c r="XER41" s="7" t="str">
        <f t="shared" si="6"/>
        <v/>
      </c>
      <c r="XES41" s="7" t="str">
        <f t="shared" si="7"/>
        <v/>
      </c>
    </row>
    <row r="42" spans="1:250 16369:16373" ht="23.25" customHeight="1" x14ac:dyDescent="0.25">
      <c r="A42" s="74">
        <f>IF($I42&gt;0,VLOOKUP(I42,'Lista de Precios'!$A$3:$L$2883,9,0),0)</f>
        <v>0</v>
      </c>
      <c r="B42" s="74">
        <f>IF($I42&gt;0,VLOOKUP(I42,'Lista de Precios'!$A$3:$H$2883,7,0),0)</f>
        <v>0</v>
      </c>
      <c r="C42" s="7" t="str">
        <f>IF($I42&gt;0,VLOOKUP(I42,'Lista de Precios'!$A$3:$H$2883,2,0),"")</f>
        <v/>
      </c>
      <c r="D42" s="7" t="str">
        <f>IF($I42&gt;0,VLOOKUP(I42,'Lista de Precios'!$A$3:$H$2883,3,0),"")</f>
        <v/>
      </c>
      <c r="E42" s="76" t="str">
        <f>IF($I42&gt;0,VLOOKUP(I42,'Lista de Precios'!$A$3:$H$2883,6,0),"")</f>
        <v/>
      </c>
      <c r="F42" s="76" t="str">
        <f>IF($I42&gt;0,VLOOKUP(I42,'Lista de Precios'!$A$3:$H$2883,8,0),"")</f>
        <v/>
      </c>
      <c r="G42" s="101" t="str">
        <f t="shared" si="2"/>
        <v/>
      </c>
      <c r="H42" s="20" t="s">
        <v>3</v>
      </c>
      <c r="I42" s="18"/>
      <c r="J42" s="28" t="str">
        <f t="shared" si="8"/>
        <v/>
      </c>
      <c r="K42" s="24">
        <f>+IF($I42&gt;0,VLOOKUP($I42,'Lista de Precios'!$A$3:$H$2883,5,0),0)</f>
        <v>0</v>
      </c>
      <c r="L42" s="37"/>
      <c r="M42" s="37"/>
      <c r="N42" s="37"/>
      <c r="O42" s="37"/>
      <c r="P42" s="40"/>
      <c r="Q42" s="39"/>
      <c r="R42" s="37"/>
      <c r="S42" s="37"/>
      <c r="T42" s="37"/>
      <c r="U42" s="37"/>
      <c r="V42" s="37"/>
      <c r="W42" s="37"/>
      <c r="X42" s="37"/>
      <c r="Y42" s="37"/>
      <c r="Z42" s="40"/>
      <c r="AA42" s="41"/>
      <c r="AB42" s="37"/>
      <c r="AC42" s="37"/>
      <c r="AD42" s="37"/>
      <c r="AE42" s="37"/>
      <c r="AF42" s="37"/>
      <c r="AG42" s="37"/>
      <c r="AH42" s="36"/>
      <c r="AI42" s="36"/>
      <c r="AJ42" s="36"/>
      <c r="AK42" s="42"/>
      <c r="AL42" s="36"/>
      <c r="AM42" s="73">
        <f t="shared" si="1"/>
        <v>0</v>
      </c>
      <c r="AN42" s="71" t="str">
        <f>+IF($I42&gt;0,VLOOKUP($I42,'Lista de Precios'!$A$3:$H$2883,4,0),"")</f>
        <v/>
      </c>
      <c r="AO42" s="68" t="str">
        <f t="shared" si="3"/>
        <v/>
      </c>
      <c r="AP42" s="7" t="str">
        <f>IF($I42&gt;0,VLOOKUP($I42,'Lista de Precios'!$A$3:$K$2883,10,0),"")</f>
        <v/>
      </c>
      <c r="AQ42" s="7" t="str">
        <f>IF($I42&gt;0,VLOOKUP($I42,'Lista de Precios'!$A$3:$M$4893,13,0),"")</f>
        <v/>
      </c>
      <c r="AR42" s="7" t="str">
        <f>IF($I42&gt;0,VLOOKUP(I42,'Lista de Precios'!$A$3:$M$2883,13,0),"")</f>
        <v/>
      </c>
      <c r="HR42" s="134"/>
      <c r="HS42" s="134"/>
      <c r="HT42" s="134"/>
      <c r="HU42" s="134"/>
      <c r="HV42" s="134"/>
      <c r="HW42" s="134"/>
      <c r="HX42" s="134"/>
      <c r="HY42" s="134"/>
      <c r="HZ42" s="134"/>
      <c r="IA42" s="134"/>
      <c r="IB42" s="134"/>
      <c r="IC42" s="134"/>
      <c r="IE42" s="134"/>
      <c r="IF42" s="134"/>
      <c r="IG42" s="134"/>
      <c r="IH42" s="134"/>
      <c r="II42" s="134"/>
      <c r="IJ42" s="134"/>
      <c r="IK42" s="134"/>
      <c r="IL42" s="134"/>
      <c r="IM42" s="134"/>
      <c r="IN42" s="135"/>
      <c r="IO42" s="135"/>
      <c r="IP42" s="135"/>
      <c r="XEP42" s="7" t="str">
        <f t="shared" si="4"/>
        <v/>
      </c>
      <c r="XEQ42" s="7" t="str">
        <f t="shared" si="5"/>
        <v/>
      </c>
      <c r="XER42" s="7" t="str">
        <f t="shared" si="6"/>
        <v/>
      </c>
      <c r="XES42" s="7" t="str">
        <f t="shared" si="7"/>
        <v/>
      </c>
    </row>
    <row r="43" spans="1:250 16369:16373" ht="23.25" customHeight="1" x14ac:dyDescent="0.25">
      <c r="A43" s="74">
        <f>IF($I43&gt;0,VLOOKUP(I43,'Lista de Precios'!$A$3:$L$2883,9,0),0)</f>
        <v>0</v>
      </c>
      <c r="B43" s="74">
        <f>IF($I43&gt;0,VLOOKUP(I43,'Lista de Precios'!$A$3:$H$2883,7,0),0)</f>
        <v>0</v>
      </c>
      <c r="C43" s="7" t="str">
        <f>IF($I43&gt;0,VLOOKUP(I43,'Lista de Precios'!$A$3:$H$2883,2,0),"")</f>
        <v/>
      </c>
      <c r="D43" s="7" t="str">
        <f>IF($I43&gt;0,VLOOKUP(I43,'Lista de Precios'!$A$3:$H$2883,3,0),"")</f>
        <v/>
      </c>
      <c r="E43" s="76" t="str">
        <f>IF($I43&gt;0,VLOOKUP(I43,'Lista de Precios'!$A$3:$H$2883,6,0),"")</f>
        <v/>
      </c>
      <c r="F43" s="76" t="str">
        <f>IF($I43&gt;0,VLOOKUP(I43,'Lista de Precios'!$A$3:$H$2883,8,0),"")</f>
        <v/>
      </c>
      <c r="G43" s="101" t="str">
        <f t="shared" si="2"/>
        <v/>
      </c>
      <c r="H43" s="20" t="s">
        <v>3</v>
      </c>
      <c r="I43" s="18"/>
      <c r="J43" s="28" t="str">
        <f t="shared" si="8"/>
        <v/>
      </c>
      <c r="K43" s="24">
        <f>+IF($I43&gt;0,VLOOKUP($I43,'Lista de Precios'!$A$3:$H$2883,5,0),0)</f>
        <v>0</v>
      </c>
      <c r="L43" s="36"/>
      <c r="M43" s="36"/>
      <c r="N43" s="36"/>
      <c r="O43" s="37"/>
      <c r="P43" s="38"/>
      <c r="Q43" s="39"/>
      <c r="R43" s="37"/>
      <c r="S43" s="37"/>
      <c r="T43" s="37"/>
      <c r="U43" s="37"/>
      <c r="V43" s="37"/>
      <c r="W43" s="37"/>
      <c r="X43" s="37"/>
      <c r="Y43" s="37"/>
      <c r="Z43" s="40"/>
      <c r="AA43" s="41"/>
      <c r="AB43" s="37"/>
      <c r="AC43" s="37"/>
      <c r="AD43" s="37"/>
      <c r="AE43" s="37"/>
      <c r="AF43" s="37"/>
      <c r="AG43" s="37"/>
      <c r="AH43" s="36"/>
      <c r="AI43" s="36"/>
      <c r="AJ43" s="36"/>
      <c r="AK43" s="42"/>
      <c r="AL43" s="42"/>
      <c r="AM43" s="73">
        <f t="shared" si="1"/>
        <v>0</v>
      </c>
      <c r="AN43" s="71" t="str">
        <f>+IF($I43&gt;0,VLOOKUP($I43,'Lista de Precios'!$A$3:$H$2883,4,0),"")</f>
        <v/>
      </c>
      <c r="AO43" s="68" t="str">
        <f t="shared" si="3"/>
        <v/>
      </c>
      <c r="AP43" s="7" t="str">
        <f>IF($I43&gt;0,VLOOKUP($I43,'Lista de Precios'!$A$3:$K$2883,10,0),"")</f>
        <v/>
      </c>
      <c r="AQ43" s="7" t="str">
        <f>IF($I43&gt;0,VLOOKUP($I43,'Lista de Precios'!$A$3:$M$4893,13,0),"")</f>
        <v/>
      </c>
      <c r="AR43" s="7" t="str">
        <f>IF($I43&gt;0,VLOOKUP(I43,'Lista de Precios'!$A$3:$M$2883,13,0),"")</f>
        <v/>
      </c>
      <c r="HR43" s="134"/>
      <c r="HS43" s="134"/>
      <c r="HT43" s="134"/>
      <c r="HU43" s="134"/>
      <c r="HV43" s="134"/>
      <c r="HW43" s="134"/>
      <c r="HX43" s="134"/>
      <c r="HY43" s="134"/>
      <c r="HZ43" s="134"/>
      <c r="IA43" s="134"/>
      <c r="IB43" s="134"/>
      <c r="IC43" s="134"/>
      <c r="IE43" s="134"/>
      <c r="IF43" s="134"/>
      <c r="IG43" s="134"/>
      <c r="IH43" s="134"/>
      <c r="II43" s="134"/>
      <c r="IJ43" s="134"/>
      <c r="IK43" s="134"/>
      <c r="IL43" s="134"/>
      <c r="IM43" s="134"/>
      <c r="IN43" s="135"/>
      <c r="IO43" s="135"/>
      <c r="IP43" s="135"/>
      <c r="XEP43" s="7" t="str">
        <f t="shared" si="4"/>
        <v/>
      </c>
      <c r="XEQ43" s="7" t="str">
        <f t="shared" si="5"/>
        <v/>
      </c>
      <c r="XER43" s="7" t="str">
        <f t="shared" si="6"/>
        <v/>
      </c>
      <c r="XES43" s="7" t="str">
        <f t="shared" si="7"/>
        <v/>
      </c>
    </row>
    <row r="44" spans="1:250 16369:16373" ht="23.25" customHeight="1" x14ac:dyDescent="0.25">
      <c r="A44" s="74">
        <f>IF($I44&gt;0,VLOOKUP(I44,'Lista de Precios'!$A$3:$L$2883,9,0),0)</f>
        <v>0</v>
      </c>
      <c r="B44" s="74">
        <f>IF($I44&gt;0,VLOOKUP(I44,'Lista de Precios'!$A$3:$H$2883,7,0),0)</f>
        <v>0</v>
      </c>
      <c r="C44" s="7" t="str">
        <f>IF($I44&gt;0,VLOOKUP(I44,'Lista de Precios'!$A$3:$H$2883,2,0),"")</f>
        <v/>
      </c>
      <c r="D44" s="7" t="str">
        <f>IF($I44&gt;0,VLOOKUP(I44,'Lista de Precios'!$A$3:$H$2883,3,0),"")</f>
        <v/>
      </c>
      <c r="E44" s="76" t="str">
        <f>IF($I44&gt;0,VLOOKUP(I44,'Lista de Precios'!$A$3:$H$2883,6,0),"")</f>
        <v/>
      </c>
      <c r="F44" s="76" t="str">
        <f>IF($I44&gt;0,VLOOKUP(I44,'Lista de Precios'!$A$3:$H$2883,8,0),"")</f>
        <v/>
      </c>
      <c r="G44" s="101" t="str">
        <f t="shared" si="2"/>
        <v/>
      </c>
      <c r="H44" s="20" t="s">
        <v>3</v>
      </c>
      <c r="I44" s="18"/>
      <c r="J44" s="28" t="str">
        <f t="shared" si="8"/>
        <v/>
      </c>
      <c r="K44" s="24">
        <f>+IF($I44&gt;0,VLOOKUP($I44,'Lista de Precios'!$A$3:$H$2883,5,0),0)</f>
        <v>0</v>
      </c>
      <c r="L44" s="37"/>
      <c r="M44" s="37"/>
      <c r="N44" s="37"/>
      <c r="O44" s="37"/>
      <c r="P44" s="40"/>
      <c r="Q44" s="39"/>
      <c r="R44" s="37"/>
      <c r="S44" s="37"/>
      <c r="T44" s="37"/>
      <c r="U44" s="37"/>
      <c r="V44" s="37"/>
      <c r="W44" s="37"/>
      <c r="X44" s="37"/>
      <c r="Y44" s="37"/>
      <c r="Z44" s="40"/>
      <c r="AA44" s="41"/>
      <c r="AB44" s="37"/>
      <c r="AC44" s="37"/>
      <c r="AD44" s="37"/>
      <c r="AE44" s="37"/>
      <c r="AF44" s="37"/>
      <c r="AG44" s="37"/>
      <c r="AH44" s="36"/>
      <c r="AI44" s="36"/>
      <c r="AJ44" s="36"/>
      <c r="AK44" s="42"/>
      <c r="AL44" s="42"/>
      <c r="AM44" s="73">
        <f t="shared" si="1"/>
        <v>0</v>
      </c>
      <c r="AN44" s="71" t="str">
        <f>+IF($I44&gt;0,VLOOKUP($I44,'Lista de Precios'!$A$3:$H$2883,4,0),"")</f>
        <v/>
      </c>
      <c r="AO44" s="68" t="str">
        <f t="shared" si="3"/>
        <v/>
      </c>
      <c r="AP44" s="7" t="str">
        <f>IF($I44&gt;0,VLOOKUP($I44,'Lista de Precios'!$A$3:$K$2883,10,0),"")</f>
        <v/>
      </c>
      <c r="AQ44" s="7" t="str">
        <f>IF($I44&gt;0,VLOOKUP($I44,'Lista de Precios'!$A$3:$M$4893,13,0),"")</f>
        <v/>
      </c>
      <c r="AR44" s="7" t="str">
        <f>IF($I44&gt;0,VLOOKUP(I44,'Lista de Precios'!$A$3:$M$2883,13,0),"")</f>
        <v/>
      </c>
      <c r="HR44" s="134"/>
      <c r="HS44" s="134"/>
      <c r="HT44" s="134"/>
      <c r="HU44" s="134"/>
      <c r="HV44" s="134"/>
      <c r="HW44" s="134"/>
      <c r="HX44" s="134"/>
      <c r="HY44" s="134"/>
      <c r="HZ44" s="134"/>
      <c r="IA44" s="134"/>
      <c r="IB44" s="134"/>
      <c r="IC44" s="134"/>
      <c r="IE44" s="134"/>
      <c r="IF44" s="134"/>
      <c r="IG44" s="134"/>
      <c r="IH44" s="134"/>
      <c r="II44" s="134"/>
      <c r="IJ44" s="134"/>
      <c r="IK44" s="134"/>
      <c r="IL44" s="134"/>
      <c r="IM44" s="134"/>
      <c r="IN44" s="135"/>
      <c r="IO44" s="135"/>
      <c r="IP44" s="135"/>
      <c r="XEP44" s="7" t="str">
        <f t="shared" si="4"/>
        <v/>
      </c>
      <c r="XEQ44" s="7" t="str">
        <f t="shared" si="5"/>
        <v/>
      </c>
      <c r="XER44" s="7" t="str">
        <f t="shared" si="6"/>
        <v/>
      </c>
      <c r="XES44" s="7" t="str">
        <f t="shared" si="7"/>
        <v/>
      </c>
    </row>
    <row r="45" spans="1:250 16369:16373" ht="23.25" customHeight="1" x14ac:dyDescent="0.25">
      <c r="A45" s="74">
        <f>IF($I45&gt;0,VLOOKUP(I45,'Lista de Precios'!$A$3:$L$2883,9,0),0)</f>
        <v>0</v>
      </c>
      <c r="B45" s="74">
        <f>IF($I45&gt;0,VLOOKUP(I45,'Lista de Precios'!$A$3:$H$2883,7,0),0)</f>
        <v>0</v>
      </c>
      <c r="C45" s="7" t="str">
        <f>IF($I45&gt;0,VLOOKUP(I45,'Lista de Precios'!$A$3:$H$2883,2,0),"")</f>
        <v/>
      </c>
      <c r="D45" s="7" t="str">
        <f>IF($I45&gt;0,VLOOKUP(I45,'Lista de Precios'!$A$3:$H$2883,3,0),"")</f>
        <v/>
      </c>
      <c r="E45" s="76" t="str">
        <f>IF($I45&gt;0,VLOOKUP(I45,'Lista de Precios'!$A$3:$H$2883,6,0),"")</f>
        <v/>
      </c>
      <c r="F45" s="76" t="str">
        <f>IF($I45&gt;0,VLOOKUP(I45,'Lista de Precios'!$A$3:$H$2883,8,0),"")</f>
        <v/>
      </c>
      <c r="G45" s="101" t="str">
        <f t="shared" si="2"/>
        <v/>
      </c>
      <c r="H45" s="20" t="s">
        <v>3</v>
      </c>
      <c r="I45" s="18"/>
      <c r="J45" s="28" t="str">
        <f t="shared" si="8"/>
        <v/>
      </c>
      <c r="K45" s="24">
        <f>+IF($I45&gt;0,VLOOKUP($I45,'Lista de Precios'!$A$3:$H$2883,5,0),0)</f>
        <v>0</v>
      </c>
      <c r="L45" s="37"/>
      <c r="M45" s="37"/>
      <c r="N45" s="37"/>
      <c r="O45" s="37"/>
      <c r="P45" s="40"/>
      <c r="Q45" s="39"/>
      <c r="R45" s="37"/>
      <c r="S45" s="37"/>
      <c r="T45" s="37"/>
      <c r="U45" s="37"/>
      <c r="V45" s="37"/>
      <c r="W45" s="37"/>
      <c r="X45" s="37"/>
      <c r="Y45" s="37"/>
      <c r="Z45" s="40"/>
      <c r="AA45" s="41"/>
      <c r="AB45" s="37"/>
      <c r="AC45" s="37"/>
      <c r="AD45" s="37"/>
      <c r="AE45" s="37"/>
      <c r="AF45" s="37"/>
      <c r="AG45" s="37"/>
      <c r="AH45" s="36"/>
      <c r="AI45" s="36"/>
      <c r="AJ45" s="42"/>
      <c r="AK45" s="42"/>
      <c r="AL45" s="43"/>
      <c r="AM45" s="73">
        <f t="shared" si="1"/>
        <v>0</v>
      </c>
      <c r="AN45" s="71" t="str">
        <f>+IF($I45&gt;0,VLOOKUP($I45,'Lista de Precios'!$A$3:$H$2883,4,0),"")</f>
        <v/>
      </c>
      <c r="AO45" s="68" t="str">
        <f t="shared" si="3"/>
        <v/>
      </c>
      <c r="AP45" s="7" t="str">
        <f>IF($I45&gt;0,VLOOKUP($I45,'Lista de Precios'!$A$3:$K$2883,10,0),"")</f>
        <v/>
      </c>
      <c r="AQ45" s="7" t="str">
        <f>IF($I45&gt;0,VLOOKUP($I45,'Lista de Precios'!$A$3:$M$4893,13,0),"")</f>
        <v/>
      </c>
      <c r="AR45" s="7" t="str">
        <f>IF($I45&gt;0,VLOOKUP(I45,'Lista de Precios'!$A$3:$M$2883,13,0),"")</f>
        <v/>
      </c>
      <c r="HR45" s="134"/>
      <c r="HS45" s="134"/>
      <c r="HT45" s="134"/>
      <c r="HU45" s="134"/>
      <c r="HV45" s="134"/>
      <c r="HW45" s="134"/>
      <c r="HX45" s="134"/>
      <c r="HY45" s="134"/>
      <c r="HZ45" s="134"/>
      <c r="IA45" s="134"/>
      <c r="IB45" s="134"/>
      <c r="IC45" s="134"/>
      <c r="IE45" s="134"/>
      <c r="IF45" s="134"/>
      <c r="IG45" s="134"/>
      <c r="IH45" s="134"/>
      <c r="II45" s="134"/>
      <c r="IJ45" s="134"/>
      <c r="IK45" s="134"/>
      <c r="IL45" s="134"/>
      <c r="IM45" s="134"/>
      <c r="IN45" s="135"/>
      <c r="IO45" s="135"/>
      <c r="IP45" s="135"/>
      <c r="XEP45" s="7" t="str">
        <f t="shared" si="4"/>
        <v/>
      </c>
      <c r="XEQ45" s="7" t="str">
        <f t="shared" si="5"/>
        <v/>
      </c>
      <c r="XER45" s="7" t="str">
        <f t="shared" si="6"/>
        <v/>
      </c>
      <c r="XES45" s="7" t="str">
        <f t="shared" si="7"/>
        <v/>
      </c>
    </row>
    <row r="46" spans="1:250 16369:16373" ht="23.25" customHeight="1" x14ac:dyDescent="0.25">
      <c r="A46" s="74">
        <f>IF($I46&gt;0,VLOOKUP(I46,'Lista de Precios'!$A$3:$L$2883,9,0),0)</f>
        <v>0</v>
      </c>
      <c r="B46" s="74">
        <f>IF($I46&gt;0,VLOOKUP(I46,'Lista de Precios'!$A$3:$H$2883,7,0),0)</f>
        <v>0</v>
      </c>
      <c r="C46" s="7" t="str">
        <f>IF($I46&gt;0,VLOOKUP(I46,'Lista de Precios'!$A$3:$H$2883,2,0),"")</f>
        <v/>
      </c>
      <c r="D46" s="7" t="str">
        <f>IF($I46&gt;0,VLOOKUP(I46,'Lista de Precios'!$A$3:$H$2883,3,0),"")</f>
        <v/>
      </c>
      <c r="E46" s="76" t="str">
        <f>IF($I46&gt;0,VLOOKUP(I46,'Lista de Precios'!$A$3:$H$2883,6,0),"")</f>
        <v/>
      </c>
      <c r="F46" s="76" t="str">
        <f>IF($I46&gt;0,VLOOKUP(I46,'Lista de Precios'!$A$3:$H$2883,8,0),"")</f>
        <v/>
      </c>
      <c r="G46" s="101" t="str">
        <f t="shared" si="2"/>
        <v/>
      </c>
      <c r="H46" s="20" t="s">
        <v>3</v>
      </c>
      <c r="I46" s="18"/>
      <c r="J46" s="28" t="str">
        <f t="shared" si="8"/>
        <v/>
      </c>
      <c r="K46" s="24">
        <f>+IF($I46&gt;0,VLOOKUP($I46,'Lista de Precios'!$A$3:$H$2883,5,0),0)</f>
        <v>0</v>
      </c>
      <c r="L46" s="37"/>
      <c r="M46" s="37"/>
      <c r="N46" s="37"/>
      <c r="O46" s="37"/>
      <c r="P46" s="40"/>
      <c r="Q46" s="39"/>
      <c r="R46" s="37"/>
      <c r="S46" s="37"/>
      <c r="T46" s="37"/>
      <c r="U46" s="37"/>
      <c r="V46" s="37"/>
      <c r="W46" s="37"/>
      <c r="X46" s="37"/>
      <c r="Y46" s="37"/>
      <c r="Z46" s="37"/>
      <c r="AA46" s="41"/>
      <c r="AB46" s="37"/>
      <c r="AC46" s="37"/>
      <c r="AD46" s="37"/>
      <c r="AE46" s="37"/>
      <c r="AF46" s="37"/>
      <c r="AG46" s="37"/>
      <c r="AH46" s="36"/>
      <c r="AI46" s="36"/>
      <c r="AJ46" s="42"/>
      <c r="AK46" s="42"/>
      <c r="AL46" s="42"/>
      <c r="AM46" s="73">
        <f t="shared" si="1"/>
        <v>0</v>
      </c>
      <c r="AN46" s="71" t="str">
        <f>+IF($I46&gt;0,VLOOKUP($I46,'Lista de Precios'!$A$3:$H$2883,4,0),"")</f>
        <v/>
      </c>
      <c r="AO46" s="68" t="str">
        <f t="shared" si="3"/>
        <v/>
      </c>
      <c r="AP46" s="7" t="str">
        <f>IF($I46&gt;0,VLOOKUP($I46,'Lista de Precios'!$A$3:$K$2883,10,0),"")</f>
        <v/>
      </c>
      <c r="AQ46" s="7" t="str">
        <f>IF($I46&gt;0,VLOOKUP($I46,'Lista de Precios'!$A$3:$M$4893,13,0),"")</f>
        <v/>
      </c>
      <c r="AR46" s="7" t="str">
        <f>IF($I46&gt;0,VLOOKUP(I46,'Lista de Precios'!$A$3:$M$2883,13,0),"")</f>
        <v/>
      </c>
      <c r="HR46" s="134"/>
      <c r="HS46" s="134"/>
      <c r="HT46" s="134"/>
      <c r="HU46" s="134"/>
      <c r="HV46" s="134"/>
      <c r="HW46" s="134"/>
      <c r="HX46" s="134"/>
      <c r="HY46" s="134"/>
      <c r="HZ46" s="134"/>
      <c r="IA46" s="134"/>
      <c r="IB46" s="134"/>
      <c r="IC46" s="134"/>
      <c r="IE46" s="134"/>
      <c r="IF46" s="134"/>
      <c r="IG46" s="134"/>
      <c r="IH46" s="134"/>
      <c r="II46" s="134"/>
      <c r="IJ46" s="134"/>
      <c r="IK46" s="134"/>
      <c r="IL46" s="134"/>
      <c r="IM46" s="134"/>
      <c r="IN46" s="135"/>
      <c r="IO46" s="135"/>
      <c r="IP46" s="135"/>
      <c r="XEP46" s="7" t="str">
        <f t="shared" si="4"/>
        <v/>
      </c>
      <c r="XEQ46" s="7" t="str">
        <f t="shared" si="5"/>
        <v/>
      </c>
      <c r="XER46" s="7" t="str">
        <f t="shared" si="6"/>
        <v/>
      </c>
      <c r="XES46" s="7" t="str">
        <f t="shared" si="7"/>
        <v/>
      </c>
    </row>
    <row r="47" spans="1:250 16369:16373" ht="23.25" customHeight="1" x14ac:dyDescent="0.25">
      <c r="A47" s="74">
        <f>IF($I47&gt;0,VLOOKUP(I47,'Lista de Precios'!$A$3:$L$2883,9,0),0)</f>
        <v>0</v>
      </c>
      <c r="B47" s="74">
        <f>IF($I47&gt;0,VLOOKUP(I47,'Lista de Precios'!$A$3:$H$2883,7,0),0)</f>
        <v>0</v>
      </c>
      <c r="C47" s="7" t="str">
        <f>IF($I47&gt;0,VLOOKUP(I47,'Lista de Precios'!$A$3:$H$2883,2,0),"")</f>
        <v/>
      </c>
      <c r="D47" s="7" t="str">
        <f>IF($I47&gt;0,VLOOKUP(I47,'Lista de Precios'!$A$3:$H$2883,3,0),"")</f>
        <v/>
      </c>
      <c r="E47" s="76" t="str">
        <f>IF($I47&gt;0,VLOOKUP(I47,'Lista de Precios'!$A$3:$H$2883,6,0),"")</f>
        <v/>
      </c>
      <c r="F47" s="76" t="str">
        <f>IF($I47&gt;0,VLOOKUP(I47,'Lista de Precios'!$A$3:$H$2883,8,0),"")</f>
        <v/>
      </c>
      <c r="G47" s="101" t="str">
        <f t="shared" si="2"/>
        <v/>
      </c>
      <c r="H47" s="20" t="s">
        <v>3</v>
      </c>
      <c r="I47" s="18"/>
      <c r="J47" s="28" t="str">
        <f t="shared" si="8"/>
        <v/>
      </c>
      <c r="K47" s="24">
        <f>+IF($I47&gt;0,VLOOKUP($I47,'Lista de Precios'!$A$3:$H$2883,5,0),0)</f>
        <v>0</v>
      </c>
      <c r="L47" s="37"/>
      <c r="M47" s="37"/>
      <c r="N47" s="37"/>
      <c r="O47" s="37"/>
      <c r="P47" s="40"/>
      <c r="Q47" s="39"/>
      <c r="R47" s="37"/>
      <c r="S47" s="37"/>
      <c r="T47" s="37"/>
      <c r="U47" s="37"/>
      <c r="V47" s="37"/>
      <c r="W47" s="37"/>
      <c r="X47" s="37"/>
      <c r="Y47" s="37"/>
      <c r="Z47" s="40"/>
      <c r="AA47" s="41"/>
      <c r="AB47" s="37"/>
      <c r="AC47" s="37"/>
      <c r="AD47" s="37"/>
      <c r="AE47" s="37"/>
      <c r="AF47" s="37"/>
      <c r="AG47" s="37"/>
      <c r="AH47" s="36"/>
      <c r="AI47" s="36"/>
      <c r="AJ47" s="42"/>
      <c r="AK47" s="42"/>
      <c r="AL47" s="42"/>
      <c r="AM47" s="73">
        <f t="shared" ref="AM47:AM78" si="11">+IF(I47&gt;0,SUM(L47:AL47),0)</f>
        <v>0</v>
      </c>
      <c r="AN47" s="71" t="str">
        <f>+IF($I47&gt;0,VLOOKUP($I47,'Lista de Precios'!$A$3:$H$2883,4,0),"")</f>
        <v/>
      </c>
      <c r="AO47" s="68" t="str">
        <f t="shared" si="3"/>
        <v/>
      </c>
      <c r="AP47" s="7" t="str">
        <f>IF($I47&gt;0,VLOOKUP($I47,'Lista de Precios'!$A$3:$K$2883,10,0),"")</f>
        <v/>
      </c>
      <c r="AQ47" s="7" t="str">
        <f>IF($I47&gt;0,VLOOKUP($I47,'Lista de Precios'!$A$3:$M$4893,13,0),"")</f>
        <v/>
      </c>
      <c r="AR47" s="7" t="str">
        <f>IF($I47&gt;0,VLOOKUP(I47,'Lista de Precios'!$A$3:$M$2883,13,0),"")</f>
        <v/>
      </c>
      <c r="HR47" s="134"/>
      <c r="HS47" s="134"/>
      <c r="HT47" s="134"/>
      <c r="HU47" s="134"/>
      <c r="HV47" s="134"/>
      <c r="HW47" s="134"/>
      <c r="HX47" s="134"/>
      <c r="HY47" s="134"/>
      <c r="HZ47" s="134"/>
      <c r="IA47" s="134"/>
      <c r="IB47" s="134"/>
      <c r="IC47" s="134"/>
      <c r="IE47" s="134"/>
      <c r="IF47" s="134"/>
      <c r="IG47" s="134"/>
      <c r="IH47" s="134"/>
      <c r="II47" s="134"/>
      <c r="IJ47" s="134"/>
      <c r="IK47" s="134"/>
      <c r="IL47" s="134"/>
      <c r="IM47" s="134"/>
      <c r="IN47" s="135"/>
      <c r="IO47" s="135"/>
      <c r="IP47" s="135"/>
      <c r="XEP47" s="7" t="str">
        <f t="shared" si="4"/>
        <v/>
      </c>
      <c r="XEQ47" s="7" t="str">
        <f t="shared" si="5"/>
        <v/>
      </c>
      <c r="XER47" s="7" t="str">
        <f t="shared" si="6"/>
        <v/>
      </c>
      <c r="XES47" s="7" t="str">
        <f t="shared" si="7"/>
        <v/>
      </c>
    </row>
    <row r="48" spans="1:250 16369:16373" ht="23.25" customHeight="1" x14ac:dyDescent="0.25">
      <c r="A48" s="74">
        <f>IF($I48&gt;0,VLOOKUP(I48,'Lista de Precios'!$A$3:$L$2883,9,0),0)</f>
        <v>0</v>
      </c>
      <c r="B48" s="74">
        <f>IF($I48&gt;0,VLOOKUP(I48,'Lista de Precios'!$A$3:$H$2883,7,0),0)</f>
        <v>0</v>
      </c>
      <c r="C48" s="7" t="str">
        <f>IF($I48&gt;0,VLOOKUP(I48,'Lista de Precios'!$A$3:$H$2883,2,0),"")</f>
        <v/>
      </c>
      <c r="D48" s="7" t="str">
        <f>IF($I48&gt;0,VLOOKUP(I48,'Lista de Precios'!$A$3:$H$2883,3,0),"")</f>
        <v/>
      </c>
      <c r="E48" s="76" t="str">
        <f>IF($I48&gt;0,VLOOKUP(I48,'Lista de Precios'!$A$3:$H$2883,6,0),"")</f>
        <v/>
      </c>
      <c r="F48" s="76" t="str">
        <f>IF($I48&gt;0,VLOOKUP(I48,'Lista de Precios'!$A$3:$H$2883,8,0),"")</f>
        <v/>
      </c>
      <c r="G48" s="101" t="str">
        <f t="shared" si="2"/>
        <v/>
      </c>
      <c r="H48" s="20" t="s">
        <v>3</v>
      </c>
      <c r="I48" s="18"/>
      <c r="J48" s="28" t="str">
        <f t="shared" si="8"/>
        <v/>
      </c>
      <c r="K48" s="24">
        <f>+IF($I48&gt;0,VLOOKUP($I48,'Lista de Precios'!$A$3:$H$2883,5,0),0)</f>
        <v>0</v>
      </c>
      <c r="L48" s="37"/>
      <c r="M48" s="37"/>
      <c r="N48" s="37"/>
      <c r="O48" s="37"/>
      <c r="P48" s="40"/>
      <c r="Q48" s="39"/>
      <c r="R48" s="37"/>
      <c r="S48" s="37"/>
      <c r="T48" s="37"/>
      <c r="U48" s="37"/>
      <c r="V48" s="37"/>
      <c r="W48" s="37"/>
      <c r="X48" s="37"/>
      <c r="Y48" s="37"/>
      <c r="Z48" s="40"/>
      <c r="AA48" s="41"/>
      <c r="AB48" s="37"/>
      <c r="AC48" s="37"/>
      <c r="AD48" s="37"/>
      <c r="AE48" s="36"/>
      <c r="AF48" s="37"/>
      <c r="AG48" s="37"/>
      <c r="AH48" s="36"/>
      <c r="AI48" s="36"/>
      <c r="AJ48" s="42"/>
      <c r="AK48" s="42"/>
      <c r="AL48" s="42"/>
      <c r="AM48" s="73">
        <f t="shared" si="11"/>
        <v>0</v>
      </c>
      <c r="AN48" s="71" t="str">
        <f>+IF($I48&gt;0,VLOOKUP($I48,'Lista de Precios'!$A$3:$H$2883,4,0),"")</f>
        <v/>
      </c>
      <c r="AO48" s="68" t="str">
        <f t="shared" si="3"/>
        <v/>
      </c>
      <c r="AP48" s="7" t="str">
        <f>IF($I48&gt;0,VLOOKUP($I48,'Lista de Precios'!$A$3:$K$2883,10,0),"")</f>
        <v/>
      </c>
      <c r="AQ48" s="7" t="str">
        <f>IF($I48&gt;0,VLOOKUP($I48,'Lista de Precios'!$A$3:$M$4893,13,0),"")</f>
        <v/>
      </c>
      <c r="AR48" s="7" t="str">
        <f>IF($I48&gt;0,VLOOKUP(I48,'Lista de Precios'!$A$3:$M$2883,13,0),"")</f>
        <v/>
      </c>
      <c r="HR48" s="134"/>
      <c r="HS48" s="134"/>
      <c r="HT48" s="134"/>
      <c r="HU48" s="134"/>
      <c r="HV48" s="134"/>
      <c r="HW48" s="134"/>
      <c r="HX48" s="134"/>
      <c r="HY48" s="134"/>
      <c r="HZ48" s="134"/>
      <c r="IA48" s="134"/>
      <c r="IB48" s="134"/>
      <c r="IC48" s="134"/>
      <c r="IE48" s="134"/>
      <c r="IF48" s="134"/>
      <c r="IG48" s="134"/>
      <c r="IH48" s="134"/>
      <c r="II48" s="134"/>
      <c r="IJ48" s="134"/>
      <c r="IK48" s="134"/>
      <c r="IL48" s="134"/>
      <c r="IM48" s="134"/>
      <c r="IN48" s="135"/>
      <c r="IO48" s="135"/>
      <c r="IP48" s="135"/>
      <c r="XEP48" s="7" t="str">
        <f t="shared" si="4"/>
        <v/>
      </c>
      <c r="XEQ48" s="7" t="str">
        <f t="shared" si="5"/>
        <v/>
      </c>
      <c r="XER48" s="7" t="str">
        <f t="shared" si="6"/>
        <v/>
      </c>
      <c r="XES48" s="7" t="str">
        <f t="shared" si="7"/>
        <v/>
      </c>
    </row>
    <row r="49" spans="1:250 16370:16373" ht="23.25" customHeight="1" x14ac:dyDescent="0.25">
      <c r="A49" s="74">
        <f>IF($I49&gt;0,VLOOKUP(I49,'Lista de Precios'!$A$3:$L$2883,9,0),0)</f>
        <v>0</v>
      </c>
      <c r="B49" s="74">
        <f>IF($I49&gt;0,VLOOKUP(I49,'Lista de Precios'!$A$3:$H$2883,7,0),0)</f>
        <v>0</v>
      </c>
      <c r="C49" s="7" t="str">
        <f>IF($I49&gt;0,VLOOKUP(I49,'Lista de Precios'!$A$3:$H$2883,2,0),"")</f>
        <v/>
      </c>
      <c r="D49" s="7" t="str">
        <f>IF($I49&gt;0,VLOOKUP(I49,'Lista de Precios'!$A$3:$H$2883,3,0),"")</f>
        <v/>
      </c>
      <c r="E49" s="76" t="str">
        <f>IF($I49&gt;0,VLOOKUP(I49,'Lista de Precios'!$A$3:$H$2883,6,0),"")</f>
        <v/>
      </c>
      <c r="F49" s="76" t="str">
        <f>IF($I49&gt;0,VLOOKUP(I49,'Lista de Precios'!$A$3:$H$2883,8,0),"")</f>
        <v/>
      </c>
      <c r="G49" s="101" t="str">
        <f t="shared" si="2"/>
        <v/>
      </c>
      <c r="H49" s="20" t="s">
        <v>3</v>
      </c>
      <c r="I49" s="18"/>
      <c r="J49" s="28" t="str">
        <f t="shared" si="8"/>
        <v/>
      </c>
      <c r="K49" s="24">
        <f>+IF($I49&gt;0,VLOOKUP($I49,'Lista de Precios'!$A$3:$H$2883,5,0),0)</f>
        <v>0</v>
      </c>
      <c r="L49" s="37"/>
      <c r="M49" s="37"/>
      <c r="N49" s="37"/>
      <c r="O49" s="37"/>
      <c r="P49" s="40"/>
      <c r="Q49" s="39"/>
      <c r="R49" s="37"/>
      <c r="S49" s="37"/>
      <c r="T49" s="37"/>
      <c r="U49" s="37"/>
      <c r="V49" s="37"/>
      <c r="W49" s="37"/>
      <c r="X49" s="37"/>
      <c r="Y49" s="37"/>
      <c r="Z49" s="40"/>
      <c r="AA49" s="41"/>
      <c r="AB49" s="37"/>
      <c r="AC49" s="37"/>
      <c r="AD49" s="37"/>
      <c r="AE49" s="37"/>
      <c r="AF49" s="37"/>
      <c r="AG49" s="57"/>
      <c r="AH49" s="54"/>
      <c r="AI49" s="54"/>
      <c r="AJ49" s="54"/>
      <c r="AK49" s="54"/>
      <c r="AL49" s="54"/>
      <c r="AM49" s="73">
        <f t="shared" si="11"/>
        <v>0</v>
      </c>
      <c r="AN49" s="71" t="str">
        <f>+IF($I49&gt;0,VLOOKUP($I49,'Lista de Precios'!$A$3:$H$2883,4,0),"")</f>
        <v/>
      </c>
      <c r="AO49" s="68" t="str">
        <f t="shared" si="3"/>
        <v/>
      </c>
      <c r="AP49" s="7" t="str">
        <f>IF($I49&gt;0,VLOOKUP($I49,'Lista de Precios'!$A$3:$K$2883,10,0),"")</f>
        <v/>
      </c>
      <c r="AQ49" s="7" t="str">
        <f>IF($I49&gt;0,VLOOKUP($I49,'Lista de Precios'!$A$3:$M$4893,13,0),"")</f>
        <v/>
      </c>
      <c r="AR49" s="7" t="str">
        <f>IF($I49&gt;0,VLOOKUP(I49,'Lista de Precios'!$A$3:$M$2883,13,0),"")</f>
        <v/>
      </c>
      <c r="HR49" s="134"/>
      <c r="HS49" s="134"/>
      <c r="HT49" s="134"/>
      <c r="HU49" s="134"/>
      <c r="HV49" s="134"/>
      <c r="HW49" s="134"/>
      <c r="HX49" s="134"/>
      <c r="HY49" s="134"/>
      <c r="HZ49" s="134"/>
      <c r="IA49" s="134"/>
      <c r="IB49" s="134"/>
      <c r="IC49" s="134"/>
      <c r="IE49" s="134"/>
      <c r="IF49" s="134"/>
      <c r="IG49" s="134"/>
      <c r="IH49" s="134"/>
      <c r="II49" s="134"/>
      <c r="IJ49" s="134"/>
      <c r="IK49" s="134"/>
      <c r="IL49" s="134"/>
      <c r="IM49" s="134"/>
      <c r="IN49" s="135"/>
      <c r="IO49" s="135"/>
      <c r="IP49" s="135"/>
      <c r="XEP49" s="7" t="str">
        <f t="shared" si="4"/>
        <v/>
      </c>
      <c r="XEQ49" s="7" t="str">
        <f t="shared" si="5"/>
        <v/>
      </c>
      <c r="XER49" s="7" t="str">
        <f t="shared" si="6"/>
        <v/>
      </c>
      <c r="XES49" s="7" t="str">
        <f t="shared" si="7"/>
        <v/>
      </c>
    </row>
    <row r="50" spans="1:250 16370:16373" ht="23.25" customHeight="1" x14ac:dyDescent="0.25">
      <c r="A50" s="74">
        <f>IF($I50&gt;0,VLOOKUP(I50,'Lista de Precios'!$A$3:$L$2883,9,0),0)</f>
        <v>0</v>
      </c>
      <c r="B50" s="74">
        <f>IF($I50&gt;0,VLOOKUP(I50,'Lista de Precios'!$A$3:$H$2883,7,0),0)</f>
        <v>0</v>
      </c>
      <c r="C50" s="7" t="str">
        <f>IF($I50&gt;0,VLOOKUP(I50,'Lista de Precios'!$A$3:$H$2883,2,0),"")</f>
        <v/>
      </c>
      <c r="D50" s="7" t="str">
        <f>IF($I50&gt;0,VLOOKUP(I50,'Lista de Precios'!$A$3:$H$2883,3,0),"")</f>
        <v/>
      </c>
      <c r="E50" s="76" t="str">
        <f>IF($I50&gt;0,VLOOKUP(I50,'Lista de Precios'!$A$3:$H$2883,6,0),"")</f>
        <v/>
      </c>
      <c r="F50" s="76" t="str">
        <f>IF($I50&gt;0,VLOOKUP(I50,'Lista de Precios'!$A$3:$H$2883,8,0),"")</f>
        <v/>
      </c>
      <c r="G50" s="101" t="str">
        <f t="shared" si="2"/>
        <v/>
      </c>
      <c r="H50" s="20" t="s">
        <v>3</v>
      </c>
      <c r="I50" s="18"/>
      <c r="J50" s="28" t="str">
        <f t="shared" si="8"/>
        <v/>
      </c>
      <c r="K50" s="24">
        <f>+IF($I50&gt;0,VLOOKUP($I50,'Lista de Precios'!$A$3:$H$2883,5,0),0)</f>
        <v>0</v>
      </c>
      <c r="L50" s="37"/>
      <c r="M50" s="37"/>
      <c r="N50" s="37"/>
      <c r="O50" s="37"/>
      <c r="P50" s="40"/>
      <c r="Q50" s="39"/>
      <c r="R50" s="37"/>
      <c r="S50" s="37"/>
      <c r="T50" s="37"/>
      <c r="U50" s="37"/>
      <c r="V50" s="37"/>
      <c r="W50" s="37"/>
      <c r="X50" s="37"/>
      <c r="Y50" s="37"/>
      <c r="Z50" s="40"/>
      <c r="AA50" s="41"/>
      <c r="AB50" s="37"/>
      <c r="AC50" s="37"/>
      <c r="AD50" s="37"/>
      <c r="AE50" s="37"/>
      <c r="AF50" s="37"/>
      <c r="AG50" s="57"/>
      <c r="AH50" s="54"/>
      <c r="AI50" s="54"/>
      <c r="AJ50" s="42"/>
      <c r="AK50" s="42"/>
      <c r="AL50" s="42"/>
      <c r="AM50" s="73">
        <f t="shared" si="11"/>
        <v>0</v>
      </c>
      <c r="AN50" s="71" t="str">
        <f>+IF($I50&gt;0,VLOOKUP($I50,'Lista de Precios'!$A$3:$H$2883,4,0),"")</f>
        <v/>
      </c>
      <c r="AO50" s="68" t="str">
        <f t="shared" si="3"/>
        <v/>
      </c>
      <c r="AP50" s="7" t="str">
        <f>IF($I50&gt;0,VLOOKUP($I50,'Lista de Precios'!$A$3:$K$2883,10,0),"")</f>
        <v/>
      </c>
      <c r="AQ50" s="7" t="str">
        <f>IF($I50&gt;0,VLOOKUP($I50,'Lista de Precios'!$A$3:$M$4893,13,0),"")</f>
        <v/>
      </c>
      <c r="AR50" s="7" t="str">
        <f>IF($I50&gt;0,VLOOKUP(I50,'Lista de Precios'!$A$3:$M$2883,13,0),"")</f>
        <v/>
      </c>
      <c r="HR50" s="134"/>
      <c r="HS50" s="134"/>
      <c r="HT50" s="134"/>
      <c r="HU50" s="134"/>
      <c r="HV50" s="134"/>
      <c r="HW50" s="134"/>
      <c r="HX50" s="134"/>
      <c r="HY50" s="134"/>
      <c r="HZ50" s="134"/>
      <c r="IA50" s="134"/>
      <c r="IB50" s="134"/>
      <c r="IC50" s="134"/>
      <c r="IE50" s="134"/>
      <c r="IF50" s="134"/>
      <c r="IG50" s="134"/>
      <c r="IH50" s="134"/>
      <c r="II50" s="134"/>
      <c r="IJ50" s="134"/>
      <c r="IK50" s="134"/>
      <c r="IL50" s="134"/>
      <c r="IM50" s="134"/>
      <c r="IN50" s="135"/>
      <c r="IO50" s="135"/>
      <c r="IP50" s="135"/>
      <c r="XEP50" s="7" t="str">
        <f t="shared" si="4"/>
        <v/>
      </c>
      <c r="XEQ50" s="7" t="str">
        <f t="shared" si="5"/>
        <v/>
      </c>
      <c r="XER50" s="7" t="str">
        <f t="shared" si="6"/>
        <v/>
      </c>
      <c r="XES50" s="7" t="str">
        <f t="shared" si="7"/>
        <v/>
      </c>
    </row>
    <row r="51" spans="1:250 16370:16373" ht="23.25" customHeight="1" x14ac:dyDescent="0.25">
      <c r="A51" s="74">
        <f>IF($I51&gt;0,VLOOKUP(I51,'Lista de Precios'!$A$3:$L$2883,9,0),0)</f>
        <v>0</v>
      </c>
      <c r="B51" s="74">
        <f>IF($I51&gt;0,VLOOKUP(I51,'Lista de Precios'!$A$3:$H$2883,7,0),0)</f>
        <v>0</v>
      </c>
      <c r="C51" s="7" t="str">
        <f>IF($I51&gt;0,VLOOKUP(I51,'Lista de Precios'!$A$3:$H$2883,2,0),"")</f>
        <v/>
      </c>
      <c r="D51" s="7" t="str">
        <f>IF($I51&gt;0,VLOOKUP(I51,'Lista de Precios'!$A$3:$H$2883,3,0),"")</f>
        <v/>
      </c>
      <c r="E51" s="76" t="str">
        <f>IF($I51&gt;0,VLOOKUP(I51,'Lista de Precios'!$A$3:$H$2883,6,0),"")</f>
        <v/>
      </c>
      <c r="F51" s="76" t="str">
        <f>IF($I51&gt;0,VLOOKUP(I51,'Lista de Precios'!$A$3:$H$2883,8,0),"")</f>
        <v/>
      </c>
      <c r="G51" s="101" t="str">
        <f t="shared" si="2"/>
        <v/>
      </c>
      <c r="H51" s="20" t="s">
        <v>3</v>
      </c>
      <c r="I51" s="18"/>
      <c r="J51" s="28" t="str">
        <f t="shared" si="8"/>
        <v/>
      </c>
      <c r="K51" s="24">
        <f>+IF($I51&gt;0,VLOOKUP($I51,'Lista de Precios'!$A$3:$H$2883,5,0),0)</f>
        <v>0</v>
      </c>
      <c r="L51" s="37"/>
      <c r="M51" s="37"/>
      <c r="N51" s="37"/>
      <c r="O51" s="37"/>
      <c r="P51" s="40"/>
      <c r="Q51" s="39"/>
      <c r="R51" s="37"/>
      <c r="S51" s="37"/>
      <c r="T51" s="37"/>
      <c r="U51" s="37"/>
      <c r="V51" s="37"/>
      <c r="W51" s="37"/>
      <c r="X51" s="37"/>
      <c r="Y51" s="37"/>
      <c r="Z51" s="40"/>
      <c r="AA51" s="41"/>
      <c r="AB51" s="37"/>
      <c r="AC51" s="37"/>
      <c r="AD51" s="37"/>
      <c r="AE51" s="37"/>
      <c r="AF51" s="37"/>
      <c r="AG51" s="37"/>
      <c r="AH51" s="42"/>
      <c r="AI51" s="42"/>
      <c r="AJ51" s="43"/>
      <c r="AK51" s="43"/>
      <c r="AL51" s="43"/>
      <c r="AM51" s="73">
        <f t="shared" si="11"/>
        <v>0</v>
      </c>
      <c r="AN51" s="71" t="str">
        <f>+IF($I51&gt;0,VLOOKUP($I51,'Lista de Precios'!$A$3:$H$2883,4,0),"")</f>
        <v/>
      </c>
      <c r="AO51" s="68" t="str">
        <f t="shared" si="3"/>
        <v/>
      </c>
      <c r="AP51" s="7" t="str">
        <f>IF($I51&gt;0,VLOOKUP($I51,'Lista de Precios'!$A$3:$K$2883,10,0),"")</f>
        <v/>
      </c>
      <c r="AQ51" s="7" t="str">
        <f>IF($I51&gt;0,VLOOKUP($I51,'Lista de Precios'!$A$3:$M$4893,13,0),"")</f>
        <v/>
      </c>
      <c r="AR51" s="7" t="str">
        <f>IF($I51&gt;0,VLOOKUP(I51,'Lista de Precios'!$A$3:$M$2883,13,0),"")</f>
        <v/>
      </c>
      <c r="HR51" s="134"/>
      <c r="HS51" s="134"/>
      <c r="HT51" s="134"/>
      <c r="HU51" s="134"/>
      <c r="HV51" s="134"/>
      <c r="HW51" s="134"/>
      <c r="HX51" s="134"/>
      <c r="HY51" s="134"/>
      <c r="HZ51" s="134"/>
      <c r="IA51" s="134"/>
      <c r="IB51" s="134"/>
      <c r="IC51" s="134"/>
      <c r="IE51" s="134"/>
      <c r="IF51" s="134"/>
      <c r="IG51" s="134"/>
      <c r="IH51" s="134"/>
      <c r="II51" s="134"/>
      <c r="IJ51" s="134"/>
      <c r="IK51" s="134"/>
      <c r="IL51" s="134"/>
      <c r="IM51" s="134"/>
      <c r="IN51" s="135"/>
      <c r="IO51" s="135"/>
      <c r="IP51" s="135"/>
      <c r="XEP51" s="7" t="str">
        <f t="shared" si="4"/>
        <v/>
      </c>
      <c r="XEQ51" s="7" t="str">
        <f t="shared" si="5"/>
        <v/>
      </c>
      <c r="XER51" s="7" t="str">
        <f t="shared" si="6"/>
        <v/>
      </c>
      <c r="XES51" s="7" t="str">
        <f t="shared" si="7"/>
        <v/>
      </c>
    </row>
    <row r="52" spans="1:250 16370:16373" ht="23.25" customHeight="1" x14ac:dyDescent="0.25">
      <c r="A52" s="74">
        <f>IF($I52&gt;0,VLOOKUP(I52,'Lista de Precios'!$A$3:$L$2883,9,0),0)</f>
        <v>0</v>
      </c>
      <c r="B52" s="74">
        <f>IF($I52&gt;0,VLOOKUP(I52,'Lista de Precios'!$A$3:$H$2883,7,0),0)</f>
        <v>0</v>
      </c>
      <c r="C52" s="7" t="str">
        <f>IF($I52&gt;0,VLOOKUP(I52,'Lista de Precios'!$A$3:$H$2883,2,0),"")</f>
        <v/>
      </c>
      <c r="D52" s="7" t="str">
        <f>IF($I52&gt;0,VLOOKUP(I52,'Lista de Precios'!$A$3:$H$2883,3,0),"")</f>
        <v/>
      </c>
      <c r="E52" s="76" t="str">
        <f>IF($I52&gt;0,VLOOKUP(I52,'Lista de Precios'!$A$3:$H$2883,6,0),"")</f>
        <v/>
      </c>
      <c r="F52" s="76" t="str">
        <f>IF($I52&gt;0,VLOOKUP(I52,'Lista de Precios'!$A$3:$H$2883,8,0),"")</f>
        <v/>
      </c>
      <c r="G52" s="101" t="str">
        <f t="shared" si="2"/>
        <v/>
      </c>
      <c r="H52" s="20" t="s">
        <v>3</v>
      </c>
      <c r="I52" s="18"/>
      <c r="J52" s="28" t="str">
        <f t="shared" si="8"/>
        <v/>
      </c>
      <c r="K52" s="24">
        <f>+IF($I52&gt;0,VLOOKUP($I52,'Lista de Precios'!$A$3:$H$2883,5,0),0)</f>
        <v>0</v>
      </c>
      <c r="L52" s="36"/>
      <c r="M52" s="36"/>
      <c r="N52" s="36"/>
      <c r="O52" s="37"/>
      <c r="P52" s="38"/>
      <c r="Q52" s="39"/>
      <c r="R52" s="37"/>
      <c r="S52" s="37"/>
      <c r="T52" s="37"/>
      <c r="U52" s="37"/>
      <c r="V52" s="37"/>
      <c r="W52" s="37"/>
      <c r="X52" s="37"/>
      <c r="Y52" s="37"/>
      <c r="Z52" s="40"/>
      <c r="AA52" s="41"/>
      <c r="AB52" s="37"/>
      <c r="AC52" s="37"/>
      <c r="AD52" s="37"/>
      <c r="AE52" s="37"/>
      <c r="AF52" s="37"/>
      <c r="AG52" s="37"/>
      <c r="AH52" s="42"/>
      <c r="AI52" s="42"/>
      <c r="AJ52" s="43"/>
      <c r="AK52" s="43"/>
      <c r="AL52" s="43"/>
      <c r="AM52" s="73">
        <f t="shared" si="11"/>
        <v>0</v>
      </c>
      <c r="AN52" s="71" t="str">
        <f>+IF($I52&gt;0,VLOOKUP($I52,'Lista de Precios'!$A$3:$H$2883,4,0),"")</f>
        <v/>
      </c>
      <c r="AO52" s="68" t="str">
        <f t="shared" si="3"/>
        <v/>
      </c>
      <c r="AP52" s="7" t="str">
        <f>IF($I52&gt;0,VLOOKUP($I52,'Lista de Precios'!$A$3:$K$2883,10,0),"")</f>
        <v/>
      </c>
      <c r="AQ52" s="7" t="str">
        <f>IF($I52&gt;0,VLOOKUP($I52,'Lista de Precios'!$A$3:$M$4893,13,0),"")</f>
        <v/>
      </c>
      <c r="AR52" s="7" t="str">
        <f>IF($I52&gt;0,VLOOKUP(I52,'Lista de Precios'!$A$3:$M$2883,13,0),"")</f>
        <v/>
      </c>
      <c r="HR52" s="134"/>
      <c r="HS52" s="134"/>
      <c r="HT52" s="134"/>
      <c r="HU52" s="134"/>
      <c r="HV52" s="134"/>
      <c r="HW52" s="134"/>
      <c r="HX52" s="134"/>
      <c r="HY52" s="134"/>
      <c r="HZ52" s="134"/>
      <c r="IA52" s="134"/>
      <c r="IB52" s="134"/>
      <c r="IC52" s="134"/>
      <c r="IE52" s="134"/>
      <c r="IF52" s="134"/>
      <c r="IG52" s="134"/>
      <c r="IH52" s="134"/>
      <c r="II52" s="134"/>
      <c r="IJ52" s="134"/>
      <c r="IK52" s="134"/>
      <c r="IL52" s="134"/>
      <c r="IM52" s="134"/>
      <c r="IN52" s="135"/>
      <c r="IO52" s="135"/>
      <c r="IP52" s="135"/>
      <c r="XEP52" s="7" t="str">
        <f t="shared" si="4"/>
        <v/>
      </c>
      <c r="XEQ52" s="7" t="str">
        <f t="shared" si="5"/>
        <v/>
      </c>
      <c r="XER52" s="7" t="str">
        <f t="shared" si="6"/>
        <v/>
      </c>
      <c r="XES52" s="7" t="str">
        <f t="shared" si="7"/>
        <v/>
      </c>
    </row>
    <row r="53" spans="1:250 16370:16373" ht="23.25" customHeight="1" x14ac:dyDescent="0.25">
      <c r="A53" s="74">
        <f>IF($I53&gt;0,VLOOKUP(I53,'Lista de Precios'!$A$3:$L$2883,9,0),0)</f>
        <v>0</v>
      </c>
      <c r="B53" s="74">
        <f>IF($I53&gt;0,VLOOKUP(I53,'Lista de Precios'!$A$3:$H$2883,7,0),0)</f>
        <v>0</v>
      </c>
      <c r="C53" s="7" t="str">
        <f>IF($I53&gt;0,VLOOKUP(I53,'Lista de Precios'!$A$3:$H$2883,2,0),"")</f>
        <v/>
      </c>
      <c r="D53" s="7" t="str">
        <f>IF($I53&gt;0,VLOOKUP(I53,'Lista de Precios'!$A$3:$H$2883,3,0),"")</f>
        <v/>
      </c>
      <c r="E53" s="76" t="str">
        <f>IF($I53&gt;0,VLOOKUP(I53,'Lista de Precios'!$A$3:$H$2883,6,0),"")</f>
        <v/>
      </c>
      <c r="F53" s="76" t="str">
        <f>IF($I53&gt;0,VLOOKUP(I53,'Lista de Precios'!$A$3:$H$2883,8,0),"")</f>
        <v/>
      </c>
      <c r="G53" s="101" t="str">
        <f t="shared" si="2"/>
        <v/>
      </c>
      <c r="H53" s="20" t="s">
        <v>3</v>
      </c>
      <c r="I53" s="18"/>
      <c r="J53" s="28" t="str">
        <f t="shared" si="8"/>
        <v/>
      </c>
      <c r="K53" s="24">
        <f>+IF($I53&gt;0,VLOOKUP($I53,'Lista de Precios'!$A$3:$H$2883,5,0),0)</f>
        <v>0</v>
      </c>
      <c r="L53" s="37"/>
      <c r="M53" s="37"/>
      <c r="N53" s="37"/>
      <c r="O53" s="37"/>
      <c r="P53" s="40"/>
      <c r="Q53" s="39"/>
      <c r="R53" s="37"/>
      <c r="S53" s="37"/>
      <c r="T53" s="37"/>
      <c r="U53" s="37"/>
      <c r="V53" s="37"/>
      <c r="W53" s="37"/>
      <c r="X53" s="37"/>
      <c r="Y53" s="37"/>
      <c r="Z53" s="40"/>
      <c r="AA53" s="41"/>
      <c r="AB53" s="37"/>
      <c r="AC53" s="43"/>
      <c r="AD53" s="43"/>
      <c r="AE53" s="43"/>
      <c r="AF53" s="43"/>
      <c r="AG53" s="43"/>
      <c r="AH53" s="42"/>
      <c r="AI53" s="42"/>
      <c r="AJ53" s="42"/>
      <c r="AK53" s="42"/>
      <c r="AL53" s="43"/>
      <c r="AM53" s="73">
        <f t="shared" si="11"/>
        <v>0</v>
      </c>
      <c r="AN53" s="71" t="str">
        <f>+IF($I53&gt;0,VLOOKUP($I53,'Lista de Precios'!$A$3:$H$2883,4,0),"")</f>
        <v/>
      </c>
      <c r="AO53" s="68" t="str">
        <f t="shared" si="3"/>
        <v/>
      </c>
      <c r="AP53" s="7" t="str">
        <f>IF($I53&gt;0,VLOOKUP($I53,'Lista de Precios'!$A$3:$K$2883,10,0),"")</f>
        <v/>
      </c>
      <c r="AQ53" s="7" t="str">
        <f>IF($I53&gt;0,VLOOKUP($I53,'Lista de Precios'!$A$3:$M$4893,13,0),"")</f>
        <v/>
      </c>
      <c r="AR53" s="7" t="str">
        <f>IF($I53&gt;0,VLOOKUP(I53,'Lista de Precios'!$A$3:$M$2883,13,0),"")</f>
        <v/>
      </c>
      <c r="HR53" s="134"/>
      <c r="HS53" s="134"/>
      <c r="HT53" s="134"/>
      <c r="HU53" s="134"/>
      <c r="HV53" s="134"/>
      <c r="HW53" s="134"/>
      <c r="HX53" s="134"/>
      <c r="HY53" s="134"/>
      <c r="HZ53" s="134"/>
      <c r="IA53" s="134"/>
      <c r="IB53" s="134"/>
      <c r="IC53" s="134"/>
      <c r="IE53" s="134"/>
      <c r="IF53" s="134"/>
      <c r="IG53" s="134"/>
      <c r="IH53" s="134"/>
      <c r="II53" s="134"/>
      <c r="IJ53" s="134"/>
      <c r="IK53" s="134"/>
      <c r="IL53" s="134"/>
      <c r="IM53" s="134"/>
      <c r="IN53" s="135"/>
      <c r="IO53" s="135"/>
      <c r="IP53" s="135"/>
      <c r="XEP53" s="7" t="str">
        <f t="shared" si="4"/>
        <v/>
      </c>
      <c r="XEQ53" s="7" t="str">
        <f t="shared" si="5"/>
        <v/>
      </c>
      <c r="XER53" s="7" t="str">
        <f t="shared" si="6"/>
        <v/>
      </c>
      <c r="XES53" s="7" t="str">
        <f t="shared" si="7"/>
        <v/>
      </c>
    </row>
    <row r="54" spans="1:250 16370:16373" ht="23.25" customHeight="1" x14ac:dyDescent="0.25">
      <c r="A54" s="74">
        <f>IF($I54&gt;0,VLOOKUP(I54,'Lista de Precios'!$A$3:$L$2883,9,0),0)</f>
        <v>0</v>
      </c>
      <c r="B54" s="74">
        <f>IF($I54&gt;0,VLOOKUP(I54,'Lista de Precios'!$A$3:$H$2883,7,0),0)</f>
        <v>0</v>
      </c>
      <c r="C54" s="7" t="str">
        <f>IF($I54&gt;0,VLOOKUP(I54,'Lista de Precios'!$A$3:$H$2883,2,0),"")</f>
        <v/>
      </c>
      <c r="D54" s="7" t="str">
        <f>IF($I54&gt;0,VLOOKUP(I54,'Lista de Precios'!$A$3:$H$2883,3,0),"")</f>
        <v/>
      </c>
      <c r="E54" s="76" t="str">
        <f>IF($I54&gt;0,VLOOKUP(I54,'Lista de Precios'!$A$3:$H$2883,6,0),"")</f>
        <v/>
      </c>
      <c r="F54" s="76" t="str">
        <f>IF($I54&gt;0,VLOOKUP(I54,'Lista de Precios'!$A$3:$H$2883,8,0),"")</f>
        <v/>
      </c>
      <c r="G54" s="101" t="str">
        <f t="shared" si="2"/>
        <v/>
      </c>
      <c r="H54" s="20" t="s">
        <v>3</v>
      </c>
      <c r="I54" s="18"/>
      <c r="J54" s="28" t="str">
        <f t="shared" si="8"/>
        <v/>
      </c>
      <c r="K54" s="24">
        <f>+IF($I54&gt;0,VLOOKUP($I54,'Lista de Precios'!$A$3:$H$2883,5,0),0)</f>
        <v>0</v>
      </c>
      <c r="L54" s="36"/>
      <c r="M54" s="36"/>
      <c r="N54" s="36"/>
      <c r="O54" s="37"/>
      <c r="P54" s="38"/>
      <c r="Q54" s="45"/>
      <c r="R54" s="43"/>
      <c r="S54" s="43"/>
      <c r="T54" s="43"/>
      <c r="U54" s="43"/>
      <c r="V54" s="43"/>
      <c r="W54" s="43"/>
      <c r="X54" s="43"/>
      <c r="Y54" s="37"/>
      <c r="Z54" s="40"/>
      <c r="AA54" s="41"/>
      <c r="AB54" s="37"/>
      <c r="AC54" s="43"/>
      <c r="AD54" s="43"/>
      <c r="AE54" s="43"/>
      <c r="AF54" s="43"/>
      <c r="AG54" s="43"/>
      <c r="AH54" s="42"/>
      <c r="AI54" s="42"/>
      <c r="AJ54" s="42"/>
      <c r="AK54" s="42"/>
      <c r="AL54" s="43"/>
      <c r="AM54" s="73">
        <f t="shared" si="11"/>
        <v>0</v>
      </c>
      <c r="AN54" s="71" t="str">
        <f>+IF($I54&gt;0,VLOOKUP($I54,'Lista de Precios'!$A$3:$H$2883,4,0),"")</f>
        <v/>
      </c>
      <c r="AO54" s="68" t="str">
        <f t="shared" si="3"/>
        <v/>
      </c>
      <c r="AP54" s="7" t="str">
        <f>IF($I54&gt;0,VLOOKUP($I54,'Lista de Precios'!$A$3:$K$2883,10,0),"")</f>
        <v/>
      </c>
      <c r="AQ54" s="7" t="str">
        <f>IF($I54&gt;0,VLOOKUP($I54,'Lista de Precios'!$A$3:$M$4893,13,0),"")</f>
        <v/>
      </c>
      <c r="AR54" s="7" t="str">
        <f>IF($I54&gt;0,VLOOKUP(I54,'Lista de Precios'!$A$3:$M$2883,13,0),"")</f>
        <v/>
      </c>
      <c r="HR54" s="134"/>
      <c r="HS54" s="134"/>
      <c r="HT54" s="134"/>
      <c r="HU54" s="134"/>
      <c r="HV54" s="134"/>
      <c r="HW54" s="134"/>
      <c r="HX54" s="134"/>
      <c r="HY54" s="134"/>
      <c r="HZ54" s="134"/>
      <c r="IA54" s="134"/>
      <c r="IB54" s="134"/>
      <c r="IC54" s="134"/>
      <c r="IE54" s="134"/>
      <c r="IF54" s="134"/>
      <c r="IG54" s="134"/>
      <c r="IH54" s="134"/>
      <c r="II54" s="134"/>
      <c r="IJ54" s="134"/>
      <c r="IK54" s="134"/>
      <c r="IL54" s="134"/>
      <c r="IM54" s="134"/>
      <c r="IN54" s="135"/>
      <c r="IO54" s="135"/>
      <c r="IP54" s="135"/>
      <c r="XEP54" s="7" t="str">
        <f t="shared" si="4"/>
        <v/>
      </c>
      <c r="XEQ54" s="7" t="str">
        <f t="shared" si="5"/>
        <v/>
      </c>
      <c r="XER54" s="7" t="str">
        <f t="shared" si="6"/>
        <v/>
      </c>
      <c r="XES54" s="7" t="str">
        <f t="shared" si="7"/>
        <v/>
      </c>
    </row>
    <row r="55" spans="1:250 16370:16373" ht="23.25" customHeight="1" x14ac:dyDescent="0.25">
      <c r="A55" s="74">
        <f>IF($I55&gt;0,VLOOKUP(I55,'Lista de Precios'!$A$3:$L$2883,9,0),0)</f>
        <v>0</v>
      </c>
      <c r="B55" s="74">
        <f>IF($I55&gt;0,VLOOKUP(I55,'Lista de Precios'!$A$3:$H$2883,7,0),0)</f>
        <v>0</v>
      </c>
      <c r="C55" s="7" t="str">
        <f>IF($I55&gt;0,VLOOKUP(I55,'Lista de Precios'!$A$3:$H$2883,2,0),"")</f>
        <v/>
      </c>
      <c r="D55" s="7" t="str">
        <f>IF($I55&gt;0,VLOOKUP(I55,'Lista de Precios'!$A$3:$H$2883,3,0),"")</f>
        <v/>
      </c>
      <c r="E55" s="76" t="str">
        <f>IF($I55&gt;0,VLOOKUP(I55,'Lista de Precios'!$A$3:$H$2883,6,0),"")</f>
        <v/>
      </c>
      <c r="F55" s="76" t="str">
        <f>IF($I55&gt;0,VLOOKUP(I55,'Lista de Precios'!$A$3:$H$2883,8,0),"")</f>
        <v/>
      </c>
      <c r="G55" s="101" t="str">
        <f t="shared" si="2"/>
        <v/>
      </c>
      <c r="H55" s="20" t="s">
        <v>3</v>
      </c>
      <c r="I55" s="18"/>
      <c r="J55" s="28" t="str">
        <f t="shared" si="8"/>
        <v/>
      </c>
      <c r="K55" s="24">
        <f>+IF($I55&gt;0,VLOOKUP($I55,'Lista de Precios'!$A$3:$H$2883,5,0),0)</f>
        <v>0</v>
      </c>
      <c r="L55" s="42"/>
      <c r="M55" s="42"/>
      <c r="N55" s="42"/>
      <c r="O55" s="43"/>
      <c r="P55" s="46"/>
      <c r="Q55" s="45"/>
      <c r="R55" s="43"/>
      <c r="S55" s="43"/>
      <c r="T55" s="43"/>
      <c r="U55" s="43"/>
      <c r="V55" s="43"/>
      <c r="W55" s="43"/>
      <c r="X55" s="43"/>
      <c r="Y55" s="37"/>
      <c r="Z55" s="40"/>
      <c r="AA55" s="41"/>
      <c r="AB55" s="37"/>
      <c r="AC55" s="43"/>
      <c r="AD55" s="43"/>
      <c r="AE55" s="43"/>
      <c r="AF55" s="43"/>
      <c r="AG55" s="43"/>
      <c r="AH55" s="42"/>
      <c r="AI55" s="42"/>
      <c r="AJ55" s="42"/>
      <c r="AK55" s="42"/>
      <c r="AL55" s="43"/>
      <c r="AM55" s="73">
        <f t="shared" si="11"/>
        <v>0</v>
      </c>
      <c r="AN55" s="71" t="str">
        <f>+IF($I55&gt;0,VLOOKUP($I55,'Lista de Precios'!$A$3:$H$2883,4,0),"")</f>
        <v/>
      </c>
      <c r="AO55" s="68" t="str">
        <f t="shared" si="3"/>
        <v/>
      </c>
      <c r="AP55" s="7" t="str">
        <f>IF($I55&gt;0,VLOOKUP($I55,'Lista de Precios'!$A$3:$K$2883,10,0),"")</f>
        <v/>
      </c>
      <c r="AQ55" s="7" t="str">
        <f>IF($I55&gt;0,VLOOKUP($I55,'Lista de Precios'!$A$3:$M$4893,13,0),"")</f>
        <v/>
      </c>
      <c r="AR55" s="7" t="str">
        <f>IF($I55&gt;0,VLOOKUP(I55,'Lista de Precios'!$A$3:$M$2883,13,0),"")</f>
        <v/>
      </c>
      <c r="HR55" s="134"/>
      <c r="HS55" s="134"/>
      <c r="HT55" s="134"/>
      <c r="HU55" s="134"/>
      <c r="HV55" s="134"/>
      <c r="HW55" s="134"/>
      <c r="HX55" s="134"/>
      <c r="HY55" s="134"/>
      <c r="HZ55" s="134"/>
      <c r="IA55" s="134"/>
      <c r="IB55" s="134"/>
      <c r="IC55" s="134"/>
      <c r="IE55" s="134"/>
      <c r="IF55" s="134"/>
      <c r="IG55" s="134"/>
      <c r="IH55" s="134"/>
      <c r="II55" s="134"/>
      <c r="IJ55" s="134"/>
      <c r="IK55" s="134"/>
      <c r="IL55" s="134"/>
      <c r="IM55" s="134"/>
      <c r="IN55" s="135"/>
      <c r="IO55" s="135"/>
      <c r="IP55" s="135"/>
      <c r="XEP55" s="7" t="str">
        <f t="shared" si="4"/>
        <v/>
      </c>
      <c r="XEQ55" s="7" t="str">
        <f t="shared" si="5"/>
        <v/>
      </c>
      <c r="XER55" s="7" t="str">
        <f t="shared" si="6"/>
        <v/>
      </c>
      <c r="XES55" s="7" t="str">
        <f t="shared" si="7"/>
        <v/>
      </c>
    </row>
    <row r="56" spans="1:250 16370:16373" ht="23.25" customHeight="1" x14ac:dyDescent="0.25">
      <c r="A56" s="74">
        <f>IF($I56&gt;0,VLOOKUP(I56,'Lista de Precios'!$A$3:$L$2883,9,0),0)</f>
        <v>0</v>
      </c>
      <c r="B56" s="74">
        <f>IF($I56&gt;0,VLOOKUP(I56,'Lista de Precios'!$A$3:$H$2883,7,0),0)</f>
        <v>0</v>
      </c>
      <c r="C56" s="7" t="str">
        <f>IF($I56&gt;0,VLOOKUP(I56,'Lista de Precios'!$A$3:$H$2883,2,0),"")</f>
        <v/>
      </c>
      <c r="D56" s="7" t="str">
        <f>IF($I56&gt;0,VLOOKUP(I56,'Lista de Precios'!$A$3:$H$2883,3,0),"")</f>
        <v/>
      </c>
      <c r="E56" s="76" t="str">
        <f>IF($I56&gt;0,VLOOKUP(I56,'Lista de Precios'!$A$3:$H$2883,6,0),"")</f>
        <v/>
      </c>
      <c r="F56" s="76" t="str">
        <f>IF($I56&gt;0,VLOOKUP(I56,'Lista de Precios'!$A$3:$H$2883,8,0),"")</f>
        <v/>
      </c>
      <c r="G56" s="101" t="str">
        <f t="shared" si="2"/>
        <v/>
      </c>
      <c r="H56" s="20" t="s">
        <v>3</v>
      </c>
      <c r="I56" s="18"/>
      <c r="J56" s="28" t="str">
        <f t="shared" si="8"/>
        <v/>
      </c>
      <c r="K56" s="24">
        <f>+IF($I56&gt;0,VLOOKUP($I56,'Lista de Precios'!$A$3:$H$2883,5,0),0)</f>
        <v>0</v>
      </c>
      <c r="L56" s="43"/>
      <c r="M56" s="43"/>
      <c r="N56" s="43"/>
      <c r="O56" s="43"/>
      <c r="P56" s="44"/>
      <c r="Q56" s="45"/>
      <c r="R56" s="43"/>
      <c r="S56" s="43"/>
      <c r="T56" s="43"/>
      <c r="U56" s="43"/>
      <c r="V56" s="43"/>
      <c r="W56" s="43"/>
      <c r="X56" s="43"/>
      <c r="Y56" s="37"/>
      <c r="Z56" s="40"/>
      <c r="AA56" s="41"/>
      <c r="AB56" s="37"/>
      <c r="AC56" s="43"/>
      <c r="AD56" s="43"/>
      <c r="AE56" s="43"/>
      <c r="AF56" s="43"/>
      <c r="AG56" s="43"/>
      <c r="AH56" s="42"/>
      <c r="AI56" s="42"/>
      <c r="AJ56" s="42"/>
      <c r="AK56" s="42"/>
      <c r="AL56" s="43"/>
      <c r="AM56" s="73">
        <f t="shared" si="11"/>
        <v>0</v>
      </c>
      <c r="AN56" s="71" t="str">
        <f>+IF($I56&gt;0,VLOOKUP($I56,'Lista de Precios'!$A$3:$H$2883,4,0),"")</f>
        <v/>
      </c>
      <c r="AO56" s="68" t="str">
        <f t="shared" si="3"/>
        <v/>
      </c>
      <c r="AP56" s="7" t="str">
        <f>IF($I56&gt;0,VLOOKUP($I56,'Lista de Precios'!$A$3:$K$2883,10,0),"")</f>
        <v/>
      </c>
      <c r="AQ56" s="7" t="str">
        <f>IF($I56&gt;0,VLOOKUP($I56,'Lista de Precios'!$A$3:$M$4893,13,0),"")</f>
        <v/>
      </c>
      <c r="AR56" s="7" t="str">
        <f>IF($I56&gt;0,VLOOKUP(I56,'Lista de Precios'!$A$3:$M$2883,13,0),"")</f>
        <v/>
      </c>
      <c r="HR56" s="134"/>
      <c r="HS56" s="134"/>
      <c r="HT56" s="134"/>
      <c r="HU56" s="134"/>
      <c r="HV56" s="134"/>
      <c r="HW56" s="134"/>
      <c r="HX56" s="134"/>
      <c r="HY56" s="134"/>
      <c r="HZ56" s="134"/>
      <c r="IA56" s="134"/>
      <c r="IB56" s="134"/>
      <c r="IC56" s="134"/>
      <c r="IE56" s="134"/>
      <c r="IF56" s="134"/>
      <c r="IG56" s="134"/>
      <c r="IH56" s="134"/>
      <c r="II56" s="134"/>
      <c r="IJ56" s="134"/>
      <c r="IK56" s="134"/>
      <c r="IL56" s="134"/>
      <c r="IM56" s="134"/>
      <c r="IN56" s="135"/>
      <c r="IO56" s="135"/>
      <c r="IP56" s="135"/>
      <c r="XEP56" s="7" t="str">
        <f t="shared" si="4"/>
        <v/>
      </c>
      <c r="XEQ56" s="7" t="str">
        <f t="shared" si="5"/>
        <v/>
      </c>
      <c r="XER56" s="7" t="str">
        <f t="shared" si="6"/>
        <v/>
      </c>
      <c r="XES56" s="7" t="str">
        <f t="shared" si="7"/>
        <v/>
      </c>
    </row>
    <row r="57" spans="1:250 16370:16373" ht="23.25" customHeight="1" x14ac:dyDescent="0.25">
      <c r="A57" s="74">
        <f>IF($I57&gt;0,VLOOKUP(I57,'Lista de Precios'!$A$3:$L$2883,9,0),0)</f>
        <v>0</v>
      </c>
      <c r="B57" s="74">
        <f>IF($I57&gt;0,VLOOKUP(I57,'Lista de Precios'!$A$3:$H$2883,7,0),0)</f>
        <v>0</v>
      </c>
      <c r="C57" s="7" t="str">
        <f>IF($I57&gt;0,VLOOKUP(I57,'Lista de Precios'!$A$3:$H$2883,2,0),"")</f>
        <v/>
      </c>
      <c r="D57" s="7" t="str">
        <f>IF($I57&gt;0,VLOOKUP(I57,'Lista de Precios'!$A$3:$H$2883,3,0),"")</f>
        <v/>
      </c>
      <c r="E57" s="76" t="str">
        <f>IF($I57&gt;0,VLOOKUP(I57,'Lista de Precios'!$A$3:$H$2883,6,0),"")</f>
        <v/>
      </c>
      <c r="F57" s="76" t="str">
        <f>IF($I57&gt;0,VLOOKUP(I57,'Lista de Precios'!$A$3:$H$2883,8,0),"")</f>
        <v/>
      </c>
      <c r="G57" s="101" t="str">
        <f t="shared" si="2"/>
        <v/>
      </c>
      <c r="H57" s="20" t="s">
        <v>3</v>
      </c>
      <c r="I57" s="18"/>
      <c r="J57" s="28" t="str">
        <f t="shared" si="8"/>
        <v/>
      </c>
      <c r="K57" s="24">
        <f>+IF($I57&gt;0,VLOOKUP($I57,'Lista de Precios'!$A$3:$H$2883,5,0),0)</f>
        <v>0</v>
      </c>
      <c r="L57" s="43"/>
      <c r="M57" s="43"/>
      <c r="N57" s="43"/>
      <c r="O57" s="37"/>
      <c r="P57" s="44"/>
      <c r="Q57" s="39"/>
      <c r="R57" s="37"/>
      <c r="S57" s="37"/>
      <c r="T57" s="37"/>
      <c r="U57" s="37"/>
      <c r="V57" s="37"/>
      <c r="W57" s="37"/>
      <c r="X57" s="37"/>
      <c r="Y57" s="37"/>
      <c r="Z57" s="40"/>
      <c r="AA57" s="41"/>
      <c r="AB57" s="37"/>
      <c r="AC57" s="43"/>
      <c r="AD57" s="43"/>
      <c r="AE57" s="43"/>
      <c r="AF57" s="43"/>
      <c r="AG57" s="43"/>
      <c r="AH57" s="42"/>
      <c r="AI57" s="42"/>
      <c r="AJ57" s="42"/>
      <c r="AK57" s="42"/>
      <c r="AL57" s="43"/>
      <c r="AM57" s="73">
        <f t="shared" si="11"/>
        <v>0</v>
      </c>
      <c r="AN57" s="71" t="str">
        <f>+IF($I57&gt;0,VLOOKUP($I57,'Lista de Precios'!$A$3:$H$2883,4,0),"")</f>
        <v/>
      </c>
      <c r="AO57" s="68" t="str">
        <f t="shared" si="3"/>
        <v/>
      </c>
      <c r="AP57" s="7" t="str">
        <f>IF($I57&gt;0,VLOOKUP($I57,'Lista de Precios'!$A$3:$K$2883,10,0),"")</f>
        <v/>
      </c>
      <c r="AQ57" s="7" t="str">
        <f>IF($I57&gt;0,VLOOKUP($I57,'Lista de Precios'!$A$3:$M$4893,13,0),"")</f>
        <v/>
      </c>
      <c r="AR57" s="7" t="str">
        <f>IF($I57&gt;0,VLOOKUP(I57,'Lista de Precios'!$A$3:$M$2883,13,0),"")</f>
        <v/>
      </c>
      <c r="HR57" s="134"/>
      <c r="HS57" s="134"/>
      <c r="HT57" s="134"/>
      <c r="HU57" s="134"/>
      <c r="HV57" s="134"/>
      <c r="HW57" s="134"/>
      <c r="HX57" s="134"/>
      <c r="HY57" s="134"/>
      <c r="HZ57" s="134"/>
      <c r="IA57" s="134"/>
      <c r="IB57" s="134"/>
      <c r="IC57" s="134"/>
      <c r="IE57" s="134"/>
      <c r="IF57" s="134"/>
      <c r="IG57" s="134"/>
      <c r="IH57" s="134"/>
      <c r="II57" s="134"/>
      <c r="IJ57" s="134"/>
      <c r="IK57" s="134"/>
      <c r="IL57" s="134"/>
      <c r="IM57" s="134"/>
      <c r="IN57" s="135"/>
      <c r="IO57" s="135"/>
      <c r="IP57" s="135"/>
      <c r="XEP57" s="7" t="str">
        <f t="shared" si="4"/>
        <v/>
      </c>
      <c r="XEQ57" s="7" t="str">
        <f t="shared" si="5"/>
        <v/>
      </c>
      <c r="XER57" s="7" t="str">
        <f t="shared" si="6"/>
        <v/>
      </c>
      <c r="XES57" s="7" t="str">
        <f t="shared" si="7"/>
        <v/>
      </c>
    </row>
    <row r="58" spans="1:250 16370:16373" ht="23.25" customHeight="1" x14ac:dyDescent="0.25">
      <c r="A58" s="74">
        <f>IF($I58&gt;0,VLOOKUP(I58,'Lista de Precios'!$A$3:$L$2883,9,0),0)</f>
        <v>0</v>
      </c>
      <c r="B58" s="74">
        <f>IF($I58&gt;0,VLOOKUP(I58,'Lista de Precios'!$A$3:$H$2883,7,0),0)</f>
        <v>0</v>
      </c>
      <c r="C58" s="7" t="str">
        <f>IF($I58&gt;0,VLOOKUP(I58,'Lista de Precios'!$A$3:$H$2883,2,0),"")</f>
        <v/>
      </c>
      <c r="D58" s="7" t="str">
        <f>IF($I58&gt;0,VLOOKUP(I58,'Lista de Precios'!$A$3:$H$2883,3,0),"")</f>
        <v/>
      </c>
      <c r="E58" s="76" t="str">
        <f>IF($I58&gt;0,VLOOKUP(I58,'Lista de Precios'!$A$3:$H$2883,6,0),"")</f>
        <v/>
      </c>
      <c r="F58" s="76" t="str">
        <f>IF($I58&gt;0,VLOOKUP(I58,'Lista de Precios'!$A$3:$H$2883,8,0),"")</f>
        <v/>
      </c>
      <c r="G58" s="101" t="str">
        <f t="shared" si="2"/>
        <v/>
      </c>
      <c r="H58" s="20" t="s">
        <v>3</v>
      </c>
      <c r="I58" s="18"/>
      <c r="J58" s="28" t="str">
        <f t="shared" si="8"/>
        <v/>
      </c>
      <c r="K58" s="24">
        <f>+IF($I58&gt;0,VLOOKUP($I58,'Lista de Precios'!$A$3:$H$2883,5,0),0)</f>
        <v>0</v>
      </c>
      <c r="L58" s="43"/>
      <c r="M58" s="43"/>
      <c r="N58" s="43"/>
      <c r="O58" s="43"/>
      <c r="P58" s="44"/>
      <c r="Q58" s="45"/>
      <c r="R58" s="43"/>
      <c r="S58" s="43"/>
      <c r="T58" s="43"/>
      <c r="U58" s="43"/>
      <c r="V58" s="43"/>
      <c r="W58" s="43"/>
      <c r="X58" s="43"/>
      <c r="Y58" s="37"/>
      <c r="Z58" s="40"/>
      <c r="AA58" s="41"/>
      <c r="AB58" s="37"/>
      <c r="AC58" s="37"/>
      <c r="AD58" s="37"/>
      <c r="AE58" s="37"/>
      <c r="AF58" s="37"/>
      <c r="AG58" s="43"/>
      <c r="AH58" s="42"/>
      <c r="AI58" s="42"/>
      <c r="AJ58" s="49"/>
      <c r="AK58" s="49"/>
      <c r="AL58" s="49"/>
      <c r="AM58" s="73">
        <f t="shared" si="11"/>
        <v>0</v>
      </c>
      <c r="AN58" s="71" t="str">
        <f>+IF($I58&gt;0,VLOOKUP($I58,'Lista de Precios'!$A$3:$H$2883,4,0),"")</f>
        <v/>
      </c>
      <c r="AO58" s="68" t="str">
        <f t="shared" si="3"/>
        <v/>
      </c>
      <c r="AP58" s="7" t="str">
        <f>IF($I58&gt;0,VLOOKUP($I58,'Lista de Precios'!$A$3:$K$2883,10,0),"")</f>
        <v/>
      </c>
      <c r="AQ58" s="7" t="str">
        <f>IF($I58&gt;0,VLOOKUP($I58,'Lista de Precios'!$A$3:$M$4893,13,0),"")</f>
        <v/>
      </c>
      <c r="AR58" s="7" t="str">
        <f>IF($I58&gt;0,VLOOKUP(I58,'Lista de Precios'!$A$3:$M$2883,13,0),"")</f>
        <v/>
      </c>
      <c r="HR58" s="134"/>
      <c r="HS58" s="134"/>
      <c r="HT58" s="134"/>
      <c r="HU58" s="134"/>
      <c r="HV58" s="134"/>
      <c r="HW58" s="134"/>
      <c r="HX58" s="134"/>
      <c r="HY58" s="134"/>
      <c r="HZ58" s="134"/>
      <c r="IA58" s="134"/>
      <c r="IB58" s="134"/>
      <c r="IC58" s="134"/>
      <c r="IE58" s="134"/>
      <c r="IF58" s="134"/>
      <c r="IG58" s="134"/>
      <c r="IH58" s="134"/>
      <c r="II58" s="134"/>
      <c r="IJ58" s="134"/>
      <c r="IK58" s="134"/>
      <c r="IL58" s="134"/>
      <c r="IM58" s="134"/>
      <c r="IN58" s="135"/>
      <c r="IO58" s="135"/>
      <c r="IP58" s="135"/>
      <c r="XEP58" s="7" t="str">
        <f t="shared" si="4"/>
        <v/>
      </c>
      <c r="XEQ58" s="7" t="str">
        <f t="shared" si="5"/>
        <v/>
      </c>
      <c r="XER58" s="7" t="str">
        <f t="shared" si="6"/>
        <v/>
      </c>
      <c r="XES58" s="7" t="str">
        <f t="shared" si="7"/>
        <v/>
      </c>
    </row>
    <row r="59" spans="1:250 16370:16373" ht="23.25" customHeight="1" x14ac:dyDescent="0.25">
      <c r="A59" s="74">
        <f>IF($I59&gt;0,VLOOKUP(I59,'Lista de Precios'!$A$3:$L$2883,9,0),0)</f>
        <v>0</v>
      </c>
      <c r="B59" s="74">
        <f>IF($I59&gt;0,VLOOKUP(I59,'Lista de Precios'!$A$3:$H$2883,7,0),0)</f>
        <v>0</v>
      </c>
      <c r="C59" s="7" t="str">
        <f>IF($I59&gt;0,VLOOKUP(I59,'Lista de Precios'!$A$3:$H$2883,2,0),"")</f>
        <v/>
      </c>
      <c r="D59" s="7" t="str">
        <f>IF($I59&gt;0,VLOOKUP(I59,'Lista de Precios'!$A$3:$H$2883,3,0),"")</f>
        <v/>
      </c>
      <c r="E59" s="76" t="str">
        <f>IF($I59&gt;0,VLOOKUP(I59,'Lista de Precios'!$A$3:$H$2883,6,0),"")</f>
        <v/>
      </c>
      <c r="F59" s="76" t="str">
        <f>IF($I59&gt;0,VLOOKUP(I59,'Lista de Precios'!$A$3:$H$2883,8,0),"")</f>
        <v/>
      </c>
      <c r="G59" s="101" t="str">
        <f t="shared" si="2"/>
        <v/>
      </c>
      <c r="H59" s="20" t="s">
        <v>3</v>
      </c>
      <c r="I59" s="18"/>
      <c r="J59" s="28" t="str">
        <f t="shared" si="8"/>
        <v/>
      </c>
      <c r="K59" s="24">
        <f>+IF($I59&gt;0,VLOOKUP($I59,'Lista de Precios'!$A$3:$H$2883,5,0),0)</f>
        <v>0</v>
      </c>
      <c r="L59" s="48"/>
      <c r="M59" s="48"/>
      <c r="N59" s="48"/>
      <c r="O59" s="48"/>
      <c r="P59" s="47"/>
      <c r="Q59" s="50"/>
      <c r="R59" s="43"/>
      <c r="S59" s="43"/>
      <c r="T59" s="43"/>
      <c r="U59" s="43"/>
      <c r="V59" s="43"/>
      <c r="W59" s="43"/>
      <c r="X59" s="43"/>
      <c r="Y59" s="37"/>
      <c r="Z59" s="40"/>
      <c r="AA59" s="41"/>
      <c r="AB59" s="37"/>
      <c r="AC59" s="37"/>
      <c r="AD59" s="37"/>
      <c r="AE59" s="37"/>
      <c r="AF59" s="37"/>
      <c r="AG59" s="43"/>
      <c r="AH59" s="42"/>
      <c r="AI59" s="42"/>
      <c r="AJ59" s="49"/>
      <c r="AK59" s="49"/>
      <c r="AL59" s="48"/>
      <c r="AM59" s="73">
        <f t="shared" si="11"/>
        <v>0</v>
      </c>
      <c r="AN59" s="71" t="str">
        <f>+IF($I59&gt;0,VLOOKUP($I59,'Lista de Precios'!$A$3:$H$2883,4,0),"")</f>
        <v/>
      </c>
      <c r="AO59" s="68" t="str">
        <f t="shared" si="3"/>
        <v/>
      </c>
      <c r="AP59" s="7" t="str">
        <f>IF($I59&gt;0,VLOOKUP($I59,'Lista de Precios'!$A$3:$K$2883,10,0),"")</f>
        <v/>
      </c>
      <c r="AQ59" s="7" t="str">
        <f>IF($I59&gt;0,VLOOKUP($I59,'Lista de Precios'!$A$3:$M$4893,13,0),"")</f>
        <v/>
      </c>
      <c r="AR59" s="7" t="str">
        <f>IF($I59&gt;0,VLOOKUP(I59,'Lista de Precios'!$A$3:$M$2883,13,0),"")</f>
        <v/>
      </c>
      <c r="HR59" s="134"/>
      <c r="HS59" s="134"/>
      <c r="HT59" s="134"/>
      <c r="HU59" s="134"/>
      <c r="HV59" s="134"/>
      <c r="HW59" s="134"/>
      <c r="HX59" s="134"/>
      <c r="HY59" s="134"/>
      <c r="HZ59" s="134"/>
      <c r="IA59" s="134"/>
      <c r="IB59" s="134"/>
      <c r="IC59" s="134"/>
      <c r="IE59" s="134"/>
      <c r="IF59" s="134"/>
      <c r="IG59" s="134"/>
      <c r="IH59" s="134"/>
      <c r="II59" s="134"/>
      <c r="IJ59" s="134"/>
      <c r="IK59" s="134"/>
      <c r="IL59" s="134"/>
      <c r="IM59" s="134"/>
      <c r="IN59" s="135"/>
      <c r="IO59" s="135"/>
      <c r="IP59" s="135"/>
      <c r="XEP59" s="7" t="str">
        <f t="shared" si="4"/>
        <v/>
      </c>
      <c r="XEQ59" s="7" t="str">
        <f t="shared" si="5"/>
        <v/>
      </c>
      <c r="XER59" s="7" t="str">
        <f t="shared" si="6"/>
        <v/>
      </c>
      <c r="XES59" s="7" t="str">
        <f t="shared" si="7"/>
        <v/>
      </c>
    </row>
    <row r="60" spans="1:250 16370:16373" ht="23.25" customHeight="1" x14ac:dyDescent="0.25">
      <c r="A60" s="74">
        <f>IF($I60&gt;0,VLOOKUP(I60,'Lista de Precios'!$A$3:$L$2883,9,0),0)</f>
        <v>0</v>
      </c>
      <c r="B60" s="74">
        <f>IF($I60&gt;0,VLOOKUP(I60,'Lista de Precios'!$A$3:$H$2883,7,0),0)</f>
        <v>0</v>
      </c>
      <c r="C60" s="7" t="str">
        <f>IF($I60&gt;0,VLOOKUP(I60,'Lista de Precios'!$A$3:$H$2883,2,0),"")</f>
        <v/>
      </c>
      <c r="D60" s="7" t="str">
        <f>IF($I60&gt;0,VLOOKUP(I60,'Lista de Precios'!$A$3:$H$2883,3,0),"")</f>
        <v/>
      </c>
      <c r="E60" s="76" t="str">
        <f>IF($I60&gt;0,VLOOKUP(I60,'Lista de Precios'!$A$3:$H$2883,6,0),"")</f>
        <v/>
      </c>
      <c r="F60" s="76" t="str">
        <f>IF($I60&gt;0,VLOOKUP(I60,'Lista de Precios'!$A$3:$H$2883,8,0),"")</f>
        <v/>
      </c>
      <c r="G60" s="101" t="str">
        <f t="shared" si="2"/>
        <v/>
      </c>
      <c r="H60" s="20" t="s">
        <v>3</v>
      </c>
      <c r="I60" s="18"/>
      <c r="J60" s="28" t="str">
        <f t="shared" si="8"/>
        <v/>
      </c>
      <c r="K60" s="24">
        <f>+IF($I60&gt;0,VLOOKUP($I60,'Lista de Precios'!$A$3:$H$2883,5,0),0)</f>
        <v>0</v>
      </c>
      <c r="L60" s="51"/>
      <c r="M60" s="51"/>
      <c r="N60" s="51"/>
      <c r="O60" s="48"/>
      <c r="P60" s="52"/>
      <c r="Q60" s="50"/>
      <c r="R60" s="43"/>
      <c r="S60" s="43"/>
      <c r="T60" s="43"/>
      <c r="U60" s="43"/>
      <c r="V60" s="43"/>
      <c r="W60" s="43"/>
      <c r="X60" s="43"/>
      <c r="Y60" s="43"/>
      <c r="Z60" s="44"/>
      <c r="AA60" s="53"/>
      <c r="AB60" s="48"/>
      <c r="AC60" s="48"/>
      <c r="AD60" s="48"/>
      <c r="AE60" s="48"/>
      <c r="AF60" s="48"/>
      <c r="AG60" s="54"/>
      <c r="AH60" s="54"/>
      <c r="AI60" s="54"/>
      <c r="AJ60" s="54"/>
      <c r="AK60" s="54"/>
      <c r="AL60" s="54"/>
      <c r="AM60" s="73">
        <f t="shared" si="11"/>
        <v>0</v>
      </c>
      <c r="AN60" s="71" t="str">
        <f>+IF($I60&gt;0,VLOOKUP($I60,'Lista de Precios'!$A$3:$H$2883,4,0),"")</f>
        <v/>
      </c>
      <c r="AO60" s="68" t="str">
        <f t="shared" si="3"/>
        <v/>
      </c>
      <c r="AP60" s="7" t="str">
        <f>IF($I60&gt;0,VLOOKUP($I60,'Lista de Precios'!$A$3:$K$2883,10,0),"")</f>
        <v/>
      </c>
      <c r="AQ60" s="7" t="str">
        <f>IF($I60&gt;0,VLOOKUP($I60,'Lista de Precios'!$A$3:$M$4893,13,0),"")</f>
        <v/>
      </c>
      <c r="AR60" s="7" t="str">
        <f>IF($I60&gt;0,VLOOKUP(I60,'Lista de Precios'!$A$3:$M$2883,13,0),"")</f>
        <v/>
      </c>
      <c r="HR60" s="134"/>
      <c r="HS60" s="134"/>
      <c r="HT60" s="134"/>
      <c r="HU60" s="134"/>
      <c r="HV60" s="134"/>
      <c r="HW60" s="134"/>
      <c r="HX60" s="134"/>
      <c r="HY60" s="134"/>
      <c r="HZ60" s="134"/>
      <c r="IA60" s="134"/>
      <c r="IB60" s="134"/>
      <c r="IC60" s="134"/>
      <c r="IE60" s="134"/>
      <c r="IF60" s="134"/>
      <c r="IG60" s="134"/>
      <c r="IH60" s="134"/>
      <c r="II60" s="134"/>
      <c r="IJ60" s="134"/>
      <c r="IK60" s="134"/>
      <c r="IL60" s="134"/>
      <c r="IM60" s="134"/>
      <c r="IN60" s="135"/>
      <c r="IO60" s="135"/>
      <c r="IP60" s="135"/>
      <c r="XEP60" s="7" t="str">
        <f t="shared" si="4"/>
        <v/>
      </c>
      <c r="XEQ60" s="7" t="str">
        <f t="shared" si="5"/>
        <v/>
      </c>
      <c r="XER60" s="7" t="str">
        <f t="shared" si="6"/>
        <v/>
      </c>
      <c r="XES60" s="7" t="str">
        <f t="shared" si="7"/>
        <v/>
      </c>
    </row>
    <row r="61" spans="1:250 16370:16373" ht="23.25" customHeight="1" x14ac:dyDescent="0.25">
      <c r="A61" s="74">
        <f>IF($I61&gt;0,VLOOKUP(I61,'Lista de Precios'!$A$3:$L$2883,9,0),0)</f>
        <v>0</v>
      </c>
      <c r="B61" s="74">
        <f>IF($I61&gt;0,VLOOKUP(I61,'Lista de Precios'!$A$3:$H$2883,7,0),0)</f>
        <v>0</v>
      </c>
      <c r="C61" s="7" t="str">
        <f>IF($I61&gt;0,VLOOKUP(I61,'Lista de Precios'!$A$3:$H$2883,2,0),"")</f>
        <v/>
      </c>
      <c r="D61" s="7" t="str">
        <f>IF($I61&gt;0,VLOOKUP(I61,'Lista de Precios'!$A$3:$H$2883,3,0),"")</f>
        <v/>
      </c>
      <c r="E61" s="76" t="str">
        <f>IF($I61&gt;0,VLOOKUP(I61,'Lista de Precios'!$A$3:$H$2883,6,0),"")</f>
        <v/>
      </c>
      <c r="F61" s="76" t="str">
        <f>IF($I61&gt;0,VLOOKUP(I61,'Lista de Precios'!$A$3:$H$2883,8,0),"")</f>
        <v/>
      </c>
      <c r="G61" s="101" t="str">
        <f t="shared" si="2"/>
        <v/>
      </c>
      <c r="H61" s="20" t="s">
        <v>3</v>
      </c>
      <c r="I61" s="18"/>
      <c r="J61" s="28" t="str">
        <f t="shared" si="8"/>
        <v/>
      </c>
      <c r="K61" s="24">
        <f>+IF($I61&gt;0,VLOOKUP($I61,'Lista de Precios'!$A$3:$H$2883,5,0),0)</f>
        <v>0</v>
      </c>
      <c r="L61" s="54"/>
      <c r="M61" s="54"/>
      <c r="N61" s="54"/>
      <c r="O61" s="48"/>
      <c r="P61" s="55"/>
      <c r="Q61" s="50"/>
      <c r="R61" s="43"/>
      <c r="S61" s="43"/>
      <c r="T61" s="43"/>
      <c r="U61" s="43"/>
      <c r="V61" s="43"/>
      <c r="W61" s="43"/>
      <c r="X61" s="43"/>
      <c r="Y61" s="43"/>
      <c r="Z61" s="44"/>
      <c r="AA61" s="53"/>
      <c r="AB61" s="48"/>
      <c r="AC61" s="48"/>
      <c r="AD61" s="48"/>
      <c r="AE61" s="48"/>
      <c r="AF61" s="48"/>
      <c r="AG61" s="54"/>
      <c r="AH61" s="54"/>
      <c r="AI61" s="54"/>
      <c r="AJ61" s="54"/>
      <c r="AK61" s="54"/>
      <c r="AL61" s="54"/>
      <c r="AM61" s="73">
        <f t="shared" si="11"/>
        <v>0</v>
      </c>
      <c r="AN61" s="71" t="str">
        <f>+IF($I61&gt;0,VLOOKUP($I61,'Lista de Precios'!$A$3:$H$2883,4,0),"")</f>
        <v/>
      </c>
      <c r="AO61" s="68" t="str">
        <f t="shared" si="3"/>
        <v/>
      </c>
      <c r="AP61" s="7" t="str">
        <f>IF($I61&gt;0,VLOOKUP($I61,'Lista de Precios'!$A$3:$K$2883,10,0),"")</f>
        <v/>
      </c>
      <c r="AQ61" s="7" t="str">
        <f>IF($I61&gt;0,VLOOKUP($I61,'Lista de Precios'!$A$3:$M$4893,13,0),"")</f>
        <v/>
      </c>
      <c r="AR61" s="7" t="str">
        <f>IF($I61&gt;0,VLOOKUP(I61,'Lista de Precios'!$A$3:$M$2883,13,0),"")</f>
        <v/>
      </c>
      <c r="HR61" s="134"/>
      <c r="HS61" s="134"/>
      <c r="HT61" s="134"/>
      <c r="HU61" s="134"/>
      <c r="HV61" s="134"/>
      <c r="HW61" s="134"/>
      <c r="HX61" s="134"/>
      <c r="HY61" s="134"/>
      <c r="HZ61" s="134"/>
      <c r="IA61" s="134"/>
      <c r="IB61" s="134"/>
      <c r="IC61" s="134"/>
      <c r="IE61" s="134"/>
      <c r="IF61" s="134"/>
      <c r="IG61" s="134"/>
      <c r="IH61" s="134"/>
      <c r="II61" s="134"/>
      <c r="IJ61" s="134"/>
      <c r="IK61" s="134"/>
      <c r="IL61" s="134"/>
      <c r="IM61" s="134"/>
      <c r="IN61" s="135"/>
      <c r="IO61" s="135"/>
      <c r="IP61" s="135"/>
      <c r="XEP61" s="7" t="str">
        <f t="shared" si="4"/>
        <v/>
      </c>
      <c r="XEQ61" s="7" t="str">
        <f t="shared" si="5"/>
        <v/>
      </c>
      <c r="XER61" s="7" t="str">
        <f t="shared" si="6"/>
        <v/>
      </c>
      <c r="XES61" s="7" t="str">
        <f t="shared" si="7"/>
        <v/>
      </c>
    </row>
    <row r="62" spans="1:250 16370:16373" ht="23.25" customHeight="1" x14ac:dyDescent="0.25">
      <c r="A62" s="74">
        <f>IF($I62&gt;0,VLOOKUP(I62,'Lista de Precios'!$A$3:$L$2883,9,0),0)</f>
        <v>0</v>
      </c>
      <c r="B62" s="74">
        <f>IF($I62&gt;0,VLOOKUP(I62,'Lista de Precios'!$A$3:$H$2883,7,0),0)</f>
        <v>0</v>
      </c>
      <c r="C62" s="7" t="str">
        <f>IF($I62&gt;0,VLOOKUP(I62,'Lista de Precios'!$A$3:$H$2883,2,0),"")</f>
        <v/>
      </c>
      <c r="D62" s="7" t="str">
        <f>IF($I62&gt;0,VLOOKUP(I62,'Lista de Precios'!$A$3:$H$2883,3,0),"")</f>
        <v/>
      </c>
      <c r="E62" s="76" t="str">
        <f>IF($I62&gt;0,VLOOKUP(I62,'Lista de Precios'!$A$3:$H$2883,6,0),"")</f>
        <v/>
      </c>
      <c r="F62" s="76" t="str">
        <f>IF($I62&gt;0,VLOOKUP(I62,'Lista de Precios'!$A$3:$H$2883,8,0),"")</f>
        <v/>
      </c>
      <c r="G62" s="101" t="str">
        <f t="shared" si="2"/>
        <v/>
      </c>
      <c r="H62" s="20" t="s">
        <v>3</v>
      </c>
      <c r="I62" s="18"/>
      <c r="J62" s="28" t="str">
        <f t="shared" si="8"/>
        <v/>
      </c>
      <c r="K62" s="24">
        <f>+IF($I62&gt;0,VLOOKUP($I62,'Lista de Precios'!$A$3:$H$2883,5,0),0)</f>
        <v>0</v>
      </c>
      <c r="L62" s="43"/>
      <c r="M62" s="43"/>
      <c r="N62" s="43"/>
      <c r="O62" s="48"/>
      <c r="P62" s="44"/>
      <c r="Q62" s="50"/>
      <c r="R62" s="43"/>
      <c r="S62" s="43"/>
      <c r="T62" s="43"/>
      <c r="U62" s="43"/>
      <c r="V62" s="43"/>
      <c r="W62" s="43"/>
      <c r="X62" s="43"/>
      <c r="Y62" s="43"/>
      <c r="Z62" s="44"/>
      <c r="AA62" s="53"/>
      <c r="AB62" s="48"/>
      <c r="AC62" s="48"/>
      <c r="AD62" s="48"/>
      <c r="AE62" s="49"/>
      <c r="AF62" s="48"/>
      <c r="AG62" s="43"/>
      <c r="AH62" s="42"/>
      <c r="AI62" s="42"/>
      <c r="AJ62" s="42"/>
      <c r="AK62" s="42"/>
      <c r="AL62" s="42"/>
      <c r="AM62" s="73">
        <f t="shared" si="11"/>
        <v>0</v>
      </c>
      <c r="AN62" s="71" t="str">
        <f>+IF($I62&gt;0,VLOOKUP($I62,'Lista de Precios'!$A$3:$H$2883,4,0),"")</f>
        <v/>
      </c>
      <c r="AO62" s="68" t="str">
        <f t="shared" si="3"/>
        <v/>
      </c>
      <c r="AP62" s="7" t="str">
        <f>IF($I62&gt;0,VLOOKUP($I62,'Lista de Precios'!$A$3:$K$2883,10,0),"")</f>
        <v/>
      </c>
      <c r="AQ62" s="7" t="str">
        <f>IF($I62&gt;0,VLOOKUP($I62,'Lista de Precios'!$A$3:$M$4893,13,0),"")</f>
        <v/>
      </c>
      <c r="AR62" s="7" t="str">
        <f>IF($I62&gt;0,VLOOKUP(I62,'Lista de Precios'!$A$3:$M$2883,13,0),"")</f>
        <v/>
      </c>
      <c r="HR62" s="134"/>
      <c r="HS62" s="134"/>
      <c r="HT62" s="134"/>
      <c r="HU62" s="134"/>
      <c r="HV62" s="134"/>
      <c r="HW62" s="134"/>
      <c r="HX62" s="134"/>
      <c r="HY62" s="134"/>
      <c r="HZ62" s="134"/>
      <c r="IA62" s="134"/>
      <c r="IB62" s="134"/>
      <c r="IC62" s="134"/>
      <c r="IE62" s="134"/>
      <c r="IF62" s="134"/>
      <c r="IG62" s="134"/>
      <c r="IH62" s="134"/>
      <c r="II62" s="134"/>
      <c r="IJ62" s="134"/>
      <c r="IK62" s="134"/>
      <c r="IL62" s="134"/>
      <c r="IM62" s="134"/>
      <c r="IN62" s="135"/>
      <c r="IO62" s="135"/>
      <c r="IP62" s="135"/>
      <c r="XEP62" s="7" t="str">
        <f t="shared" si="4"/>
        <v/>
      </c>
      <c r="XEQ62" s="7" t="str">
        <f t="shared" si="5"/>
        <v/>
      </c>
      <c r="XER62" s="7" t="str">
        <f t="shared" si="6"/>
        <v/>
      </c>
      <c r="XES62" s="7" t="str">
        <f t="shared" si="7"/>
        <v/>
      </c>
    </row>
    <row r="63" spans="1:250 16370:16373" ht="23.25" customHeight="1" x14ac:dyDescent="0.25">
      <c r="A63" s="74">
        <f>IF($I63&gt;0,VLOOKUP(I63,'Lista de Precios'!$A$3:$L$2883,9,0),0)</f>
        <v>0</v>
      </c>
      <c r="B63" s="74">
        <f>IF($I63&gt;0,VLOOKUP(I63,'Lista de Precios'!$A$3:$H$2883,7,0),0)</f>
        <v>0</v>
      </c>
      <c r="C63" s="7" t="str">
        <f>IF($I63&gt;0,VLOOKUP(I63,'Lista de Precios'!$A$3:$H$2883,2,0),"")</f>
        <v/>
      </c>
      <c r="D63" s="7" t="str">
        <f>IF($I63&gt;0,VLOOKUP(I63,'Lista de Precios'!$A$3:$H$2883,3,0),"")</f>
        <v/>
      </c>
      <c r="E63" s="76" t="str">
        <f>IF($I63&gt;0,VLOOKUP(I63,'Lista de Precios'!$A$3:$H$2883,6,0),"")</f>
        <v/>
      </c>
      <c r="F63" s="76" t="str">
        <f>IF($I63&gt;0,VLOOKUP(I63,'Lista de Precios'!$A$3:$H$2883,8,0),"")</f>
        <v/>
      </c>
      <c r="G63" s="101" t="str">
        <f t="shared" si="2"/>
        <v/>
      </c>
      <c r="H63" s="20" t="s">
        <v>3</v>
      </c>
      <c r="I63" s="18"/>
      <c r="J63" s="28" t="str">
        <f t="shared" si="8"/>
        <v/>
      </c>
      <c r="K63" s="24">
        <f>+IF($I63&gt;0,VLOOKUP($I63,'Lista de Precios'!$A$3:$H$2883,5,0),0)</f>
        <v>0</v>
      </c>
      <c r="L63" s="54"/>
      <c r="M63" s="54"/>
      <c r="N63" s="54"/>
      <c r="O63" s="48"/>
      <c r="P63" s="55"/>
      <c r="Q63" s="50"/>
      <c r="R63" s="43"/>
      <c r="S63" s="43"/>
      <c r="T63" s="43"/>
      <c r="U63" s="43"/>
      <c r="V63" s="43"/>
      <c r="W63" s="43"/>
      <c r="X63" s="43"/>
      <c r="Y63" s="43"/>
      <c r="Z63" s="44"/>
      <c r="AA63" s="53"/>
      <c r="AB63" s="48"/>
      <c r="AC63" s="48"/>
      <c r="AD63" s="48"/>
      <c r="AE63" s="48"/>
      <c r="AF63" s="48"/>
      <c r="AG63" s="54"/>
      <c r="AH63" s="54"/>
      <c r="AI63" s="54"/>
      <c r="AJ63" s="54"/>
      <c r="AK63" s="54"/>
      <c r="AL63" s="54"/>
      <c r="AM63" s="73">
        <f t="shared" si="11"/>
        <v>0</v>
      </c>
      <c r="AN63" s="71" t="str">
        <f>+IF($I63&gt;0,VLOOKUP($I63,'Lista de Precios'!$A$3:$H$2883,4,0),"")</f>
        <v/>
      </c>
      <c r="AO63" s="68" t="str">
        <f t="shared" si="3"/>
        <v/>
      </c>
      <c r="AP63" s="7" t="str">
        <f>IF($I63&gt;0,VLOOKUP($I63,'Lista de Precios'!$A$3:$K$2883,10,0),"")</f>
        <v/>
      </c>
      <c r="AQ63" s="7" t="str">
        <f>IF($I63&gt;0,VLOOKUP($I63,'Lista de Precios'!$A$3:$M$4893,13,0),"")</f>
        <v/>
      </c>
      <c r="AR63" s="7" t="str">
        <f>IF($I63&gt;0,VLOOKUP(I63,'Lista de Precios'!$A$3:$M$2883,13,0),"")</f>
        <v/>
      </c>
      <c r="HR63" s="134"/>
      <c r="HS63" s="134"/>
      <c r="HT63" s="134"/>
      <c r="HU63" s="134"/>
      <c r="HV63" s="134"/>
      <c r="HW63" s="134"/>
      <c r="HX63" s="134"/>
      <c r="HY63" s="134"/>
      <c r="HZ63" s="134"/>
      <c r="IA63" s="134"/>
      <c r="IB63" s="134"/>
      <c r="IC63" s="134"/>
      <c r="IE63" s="134"/>
      <c r="IF63" s="134"/>
      <c r="IG63" s="134"/>
      <c r="IH63" s="134"/>
      <c r="II63" s="134"/>
      <c r="IJ63" s="134"/>
      <c r="IK63" s="134"/>
      <c r="IL63" s="134"/>
      <c r="IM63" s="134"/>
      <c r="IN63" s="135"/>
      <c r="IO63" s="135"/>
      <c r="IP63" s="135"/>
      <c r="XEP63" s="7" t="str">
        <f t="shared" si="4"/>
        <v/>
      </c>
      <c r="XEQ63" s="7" t="str">
        <f t="shared" si="5"/>
        <v/>
      </c>
      <c r="XER63" s="7" t="str">
        <f t="shared" si="6"/>
        <v/>
      </c>
      <c r="XES63" s="7" t="str">
        <f t="shared" si="7"/>
        <v/>
      </c>
    </row>
    <row r="64" spans="1:250 16370:16373" ht="23.25" customHeight="1" x14ac:dyDescent="0.25">
      <c r="A64" s="74">
        <f>IF($I64&gt;0,VLOOKUP(I64,'Lista de Precios'!$A$3:$L$2883,9,0),0)</f>
        <v>0</v>
      </c>
      <c r="B64" s="74">
        <f>IF($I64&gt;0,VLOOKUP(I64,'Lista de Precios'!$A$3:$H$2883,7,0),0)</f>
        <v>0</v>
      </c>
      <c r="C64" s="7" t="str">
        <f>IF($I64&gt;0,VLOOKUP(I64,'Lista de Precios'!$A$3:$H$2883,2,0),"")</f>
        <v/>
      </c>
      <c r="D64" s="7" t="str">
        <f>IF($I64&gt;0,VLOOKUP(I64,'Lista de Precios'!$A$3:$H$2883,3,0),"")</f>
        <v/>
      </c>
      <c r="E64" s="76" t="str">
        <f>IF($I64&gt;0,VLOOKUP(I64,'Lista de Precios'!$A$3:$H$2883,6,0),"")</f>
        <v/>
      </c>
      <c r="F64" s="76" t="str">
        <f>IF($I64&gt;0,VLOOKUP(I64,'Lista de Precios'!$A$3:$H$2883,8,0),"")</f>
        <v/>
      </c>
      <c r="G64" s="101" t="str">
        <f t="shared" si="2"/>
        <v/>
      </c>
      <c r="H64" s="20" t="s">
        <v>3</v>
      </c>
      <c r="I64" s="18"/>
      <c r="J64" s="28" t="str">
        <f t="shared" si="8"/>
        <v/>
      </c>
      <c r="K64" s="24">
        <f>+IF($I64&gt;0,VLOOKUP($I64,'Lista de Precios'!$A$3:$H$2883,5,0),0)</f>
        <v>0</v>
      </c>
      <c r="L64" s="54"/>
      <c r="M64" s="54"/>
      <c r="N64" s="54"/>
      <c r="O64" s="43"/>
      <c r="P64" s="55"/>
      <c r="Q64" s="45"/>
      <c r="R64" s="43"/>
      <c r="S64" s="43"/>
      <c r="T64" s="43"/>
      <c r="U64" s="43"/>
      <c r="V64" s="43"/>
      <c r="W64" s="43"/>
      <c r="X64" s="43"/>
      <c r="Y64" s="43"/>
      <c r="Z64" s="55"/>
      <c r="AA64" s="56"/>
      <c r="AB64" s="43"/>
      <c r="AC64" s="43"/>
      <c r="AD64" s="43"/>
      <c r="AE64" s="43"/>
      <c r="AF64" s="43"/>
      <c r="AG64" s="54"/>
      <c r="AH64" s="54"/>
      <c r="AI64" s="54"/>
      <c r="AJ64" s="54"/>
      <c r="AK64" s="54"/>
      <c r="AL64" s="54"/>
      <c r="AM64" s="73">
        <f t="shared" si="11"/>
        <v>0</v>
      </c>
      <c r="AN64" s="71" t="str">
        <f>+IF($I64&gt;0,VLOOKUP($I64,'Lista de Precios'!$A$3:$H$2883,4,0),"")</f>
        <v/>
      </c>
      <c r="AO64" s="68" t="str">
        <f t="shared" si="3"/>
        <v/>
      </c>
      <c r="AP64" s="7" t="str">
        <f>IF($I64&gt;0,VLOOKUP($I64,'Lista de Precios'!$A$3:$K$2883,10,0),"")</f>
        <v/>
      </c>
      <c r="AQ64" s="7" t="str">
        <f>IF($I64&gt;0,VLOOKUP($I64,'Lista de Precios'!$A$3:$M$4893,13,0),"")</f>
        <v/>
      </c>
      <c r="AR64" s="7" t="str">
        <f>IF($I64&gt;0,VLOOKUP(I64,'Lista de Precios'!$A$3:$M$2883,13,0),"")</f>
        <v/>
      </c>
      <c r="HR64" s="134"/>
      <c r="HS64" s="134"/>
      <c r="HT64" s="134"/>
      <c r="HU64" s="134"/>
      <c r="HV64" s="134"/>
      <c r="HW64" s="134"/>
      <c r="HX64" s="134"/>
      <c r="HY64" s="134"/>
      <c r="HZ64" s="134"/>
      <c r="IA64" s="134"/>
      <c r="IB64" s="134"/>
      <c r="IC64" s="134"/>
      <c r="IE64" s="134"/>
      <c r="IF64" s="134"/>
      <c r="IG64" s="134"/>
      <c r="IH64" s="134"/>
      <c r="II64" s="134"/>
      <c r="IJ64" s="134"/>
      <c r="IK64" s="134"/>
      <c r="IL64" s="134"/>
      <c r="IM64" s="134"/>
      <c r="IN64" s="135"/>
      <c r="IO64" s="135"/>
      <c r="IP64" s="135"/>
      <c r="XEP64" s="7" t="str">
        <f t="shared" si="4"/>
        <v/>
      </c>
      <c r="XEQ64" s="7" t="str">
        <f t="shared" si="5"/>
        <v/>
      </c>
      <c r="XER64" s="7" t="str">
        <f t="shared" si="6"/>
        <v/>
      </c>
      <c r="XES64" s="7" t="str">
        <f t="shared" si="7"/>
        <v/>
      </c>
    </row>
    <row r="65" spans="1:250 16370:16373" ht="23.25" customHeight="1" x14ac:dyDescent="0.25">
      <c r="A65" s="74">
        <f>IF($I65&gt;0,VLOOKUP(I65,'Lista de Precios'!$A$3:$L$2883,9,0),0)</f>
        <v>0</v>
      </c>
      <c r="B65" s="74">
        <f>IF($I65&gt;0,VLOOKUP(I65,'Lista de Precios'!$A$3:$H$2883,7,0),0)</f>
        <v>0</v>
      </c>
      <c r="C65" s="7" t="str">
        <f>IF($I65&gt;0,VLOOKUP(I65,'Lista de Precios'!$A$3:$H$2883,2,0),"")</f>
        <v/>
      </c>
      <c r="D65" s="7" t="str">
        <f>IF($I65&gt;0,VLOOKUP(I65,'Lista de Precios'!$A$3:$H$2883,3,0),"")</f>
        <v/>
      </c>
      <c r="E65" s="76" t="str">
        <f>IF($I65&gt;0,VLOOKUP(I65,'Lista de Precios'!$A$3:$H$2883,6,0),"")</f>
        <v/>
      </c>
      <c r="F65" s="76" t="str">
        <f>IF($I65&gt;0,VLOOKUP(I65,'Lista de Precios'!$A$3:$H$2883,8,0),"")</f>
        <v/>
      </c>
      <c r="G65" s="101" t="str">
        <f t="shared" si="2"/>
        <v/>
      </c>
      <c r="H65" s="20" t="s">
        <v>3</v>
      </c>
      <c r="I65" s="18"/>
      <c r="J65" s="28" t="str">
        <f t="shared" si="8"/>
        <v/>
      </c>
      <c r="K65" s="24">
        <f>+IF($I65&gt;0,VLOOKUP($I65,'Lista de Precios'!$A$3:$H$2883,5,0),0)</f>
        <v>0</v>
      </c>
      <c r="L65" s="37"/>
      <c r="M65" s="37"/>
      <c r="N65" s="37"/>
      <c r="O65" s="37"/>
      <c r="P65" s="40"/>
      <c r="Q65" s="39"/>
      <c r="R65" s="37"/>
      <c r="S65" s="37"/>
      <c r="T65" s="37"/>
      <c r="U65" s="37"/>
      <c r="V65" s="37"/>
      <c r="W65" s="37"/>
      <c r="X65" s="37"/>
      <c r="Y65" s="37"/>
      <c r="Z65" s="40"/>
      <c r="AA65" s="41"/>
      <c r="AB65" s="37"/>
      <c r="AC65" s="37"/>
      <c r="AD65" s="37"/>
      <c r="AE65" s="37"/>
      <c r="AF65" s="37"/>
      <c r="AG65" s="37"/>
      <c r="AH65" s="36"/>
      <c r="AI65" s="36"/>
      <c r="AJ65" s="36"/>
      <c r="AK65" s="42"/>
      <c r="AL65" s="36"/>
      <c r="AM65" s="73">
        <f t="shared" si="11"/>
        <v>0</v>
      </c>
      <c r="AN65" s="71" t="str">
        <f>+IF($I65&gt;0,VLOOKUP($I65,'Lista de Precios'!$A$3:$H$2883,4,0),"")</f>
        <v/>
      </c>
      <c r="AO65" s="68" t="str">
        <f t="shared" si="3"/>
        <v/>
      </c>
      <c r="AP65" s="7" t="str">
        <f>IF($I65&gt;0,VLOOKUP($I65,'Lista de Precios'!$A$3:$K$2883,10,0),"")</f>
        <v/>
      </c>
      <c r="AQ65" s="7" t="str">
        <f>IF($I65&gt;0,VLOOKUP($I65,'Lista de Precios'!$A$3:$M$4893,13,0),"")</f>
        <v/>
      </c>
      <c r="AR65" s="7" t="str">
        <f>IF($I65&gt;0,VLOOKUP(I65,'Lista de Precios'!$A$3:$M$2883,13,0),"")</f>
        <v/>
      </c>
      <c r="HR65" s="134"/>
      <c r="HS65" s="134"/>
      <c r="HT65" s="134"/>
      <c r="HU65" s="134"/>
      <c r="HV65" s="134"/>
      <c r="HW65" s="134"/>
      <c r="HX65" s="134"/>
      <c r="HY65" s="134"/>
      <c r="HZ65" s="134"/>
      <c r="IA65" s="134"/>
      <c r="IB65" s="134"/>
      <c r="IC65" s="134"/>
      <c r="IE65" s="134"/>
      <c r="IF65" s="134"/>
      <c r="IG65" s="134"/>
      <c r="IH65" s="134"/>
      <c r="II65" s="134"/>
      <c r="IJ65" s="134"/>
      <c r="IK65" s="134"/>
      <c r="IL65" s="134"/>
      <c r="IM65" s="134"/>
      <c r="IN65" s="135"/>
      <c r="IO65" s="135"/>
      <c r="IP65" s="135"/>
      <c r="XEP65" s="7" t="str">
        <f t="shared" si="4"/>
        <v/>
      </c>
      <c r="XEQ65" s="7" t="str">
        <f t="shared" si="5"/>
        <v/>
      </c>
      <c r="XER65" s="7" t="str">
        <f t="shared" si="6"/>
        <v/>
      </c>
      <c r="XES65" s="7" t="str">
        <f t="shared" si="7"/>
        <v/>
      </c>
    </row>
    <row r="66" spans="1:250 16370:16373" ht="23.25" customHeight="1" x14ac:dyDescent="0.25">
      <c r="A66" s="74">
        <f>IF($I66&gt;0,VLOOKUP(I66,'Lista de Precios'!$A$3:$L$2883,9,0),0)</f>
        <v>0</v>
      </c>
      <c r="B66" s="74">
        <f>IF($I66&gt;0,VLOOKUP(I66,'Lista de Precios'!$A$3:$H$2883,7,0),0)</f>
        <v>0</v>
      </c>
      <c r="C66" s="7" t="str">
        <f>IF($I66&gt;0,VLOOKUP(I66,'Lista de Precios'!$A$3:$H$2883,2,0),"")</f>
        <v/>
      </c>
      <c r="D66" s="7" t="str">
        <f>IF($I66&gt;0,VLOOKUP(I66,'Lista de Precios'!$A$3:$H$2883,3,0),"")</f>
        <v/>
      </c>
      <c r="E66" s="76" t="str">
        <f>IF($I66&gt;0,VLOOKUP(I66,'Lista de Precios'!$A$3:$H$2883,6,0),"")</f>
        <v/>
      </c>
      <c r="F66" s="76" t="str">
        <f>IF($I66&gt;0,VLOOKUP(I66,'Lista de Precios'!$A$3:$H$2883,8,0),"")</f>
        <v/>
      </c>
      <c r="G66" s="101" t="str">
        <f t="shared" si="2"/>
        <v/>
      </c>
      <c r="H66" s="20" t="s">
        <v>3</v>
      </c>
      <c r="I66" s="18"/>
      <c r="J66" s="28" t="str">
        <f t="shared" si="8"/>
        <v/>
      </c>
      <c r="K66" s="24">
        <f>+IF($I66&gt;0,VLOOKUP($I66,'Lista de Precios'!$A$3:$H$2883,5,0),0)</f>
        <v>0</v>
      </c>
      <c r="L66" s="37"/>
      <c r="M66" s="37"/>
      <c r="N66" s="37"/>
      <c r="O66" s="37"/>
      <c r="P66" s="40"/>
      <c r="Q66" s="39"/>
      <c r="R66" s="37"/>
      <c r="S66" s="37"/>
      <c r="T66" s="37"/>
      <c r="U66" s="37"/>
      <c r="V66" s="37"/>
      <c r="W66" s="37"/>
      <c r="X66" s="37"/>
      <c r="Y66" s="37"/>
      <c r="Z66" s="40"/>
      <c r="AA66" s="41"/>
      <c r="AB66" s="37"/>
      <c r="AC66" s="37"/>
      <c r="AD66" s="37"/>
      <c r="AE66" s="37"/>
      <c r="AF66" s="37"/>
      <c r="AG66" s="37"/>
      <c r="AH66" s="36"/>
      <c r="AI66" s="36"/>
      <c r="AJ66" s="36"/>
      <c r="AK66" s="42"/>
      <c r="AL66" s="36"/>
      <c r="AM66" s="73">
        <f t="shared" si="11"/>
        <v>0</v>
      </c>
      <c r="AN66" s="71" t="str">
        <f>+IF($I66&gt;0,VLOOKUP($I66,'Lista de Precios'!$A$3:$H$2883,4,0),"")</f>
        <v/>
      </c>
      <c r="AO66" s="68" t="str">
        <f t="shared" si="3"/>
        <v/>
      </c>
      <c r="AP66" s="7" t="str">
        <f>IF($I66&gt;0,VLOOKUP($I66,'Lista de Precios'!$A$3:$K$2883,10,0),"")</f>
        <v/>
      </c>
      <c r="AQ66" s="7" t="str">
        <f>IF($I66&gt;0,VLOOKUP($I66,'Lista de Precios'!$A$3:$M$4893,13,0),"")</f>
        <v/>
      </c>
      <c r="AR66" s="7" t="str">
        <f>IF($I66&gt;0,VLOOKUP(I66,'Lista de Precios'!$A$3:$M$2883,13,0),"")</f>
        <v/>
      </c>
      <c r="HR66" s="134"/>
      <c r="HS66" s="134"/>
      <c r="HT66" s="134"/>
      <c r="HU66" s="134"/>
      <c r="HV66" s="134"/>
      <c r="HW66" s="134"/>
      <c r="HX66" s="134"/>
      <c r="HY66" s="134"/>
      <c r="HZ66" s="134"/>
      <c r="IA66" s="134"/>
      <c r="IB66" s="134"/>
      <c r="IC66" s="134"/>
      <c r="IE66" s="134"/>
      <c r="IF66" s="134"/>
      <c r="IG66" s="134"/>
      <c r="IH66" s="134"/>
      <c r="II66" s="134"/>
      <c r="IJ66" s="134"/>
      <c r="IK66" s="134"/>
      <c r="IL66" s="134"/>
      <c r="IM66" s="134"/>
      <c r="IN66" s="135"/>
      <c r="IO66" s="135"/>
      <c r="IP66" s="135"/>
      <c r="XEP66" s="7" t="str">
        <f t="shared" si="4"/>
        <v/>
      </c>
      <c r="XEQ66" s="7" t="str">
        <f t="shared" si="5"/>
        <v/>
      </c>
      <c r="XER66" s="7" t="str">
        <f t="shared" si="6"/>
        <v/>
      </c>
      <c r="XES66" s="7" t="str">
        <f t="shared" si="7"/>
        <v/>
      </c>
    </row>
    <row r="67" spans="1:250 16370:16373" ht="23.25" customHeight="1" x14ac:dyDescent="0.25">
      <c r="A67" s="74">
        <f>IF($I67&gt;0,VLOOKUP(I67,'Lista de Precios'!$A$3:$L$2883,9,0),0)</f>
        <v>0</v>
      </c>
      <c r="B67" s="74">
        <f>IF($I67&gt;0,VLOOKUP(I67,'Lista de Precios'!$A$3:$H$2883,7,0),0)</f>
        <v>0</v>
      </c>
      <c r="C67" s="7" t="str">
        <f>IF($I67&gt;0,VLOOKUP(I67,'Lista de Precios'!$A$3:$H$2883,2,0),"")</f>
        <v/>
      </c>
      <c r="D67" s="7" t="str">
        <f>IF($I67&gt;0,VLOOKUP(I67,'Lista de Precios'!$A$3:$H$2883,3,0),"")</f>
        <v/>
      </c>
      <c r="E67" s="76" t="str">
        <f>IF($I67&gt;0,VLOOKUP(I67,'Lista de Precios'!$A$3:$H$2883,6,0),"")</f>
        <v/>
      </c>
      <c r="F67" s="76" t="str">
        <f>IF($I67&gt;0,VLOOKUP(I67,'Lista de Precios'!$A$3:$H$2883,8,0),"")</f>
        <v/>
      </c>
      <c r="G67" s="101" t="str">
        <f t="shared" si="2"/>
        <v/>
      </c>
      <c r="H67" s="20" t="s">
        <v>3</v>
      </c>
      <c r="I67" s="18"/>
      <c r="J67" s="28" t="str">
        <f t="shared" si="8"/>
        <v/>
      </c>
      <c r="K67" s="24">
        <f>+IF($I67&gt;0,VLOOKUP($I67,'Lista de Precios'!$A$3:$H$2883,5,0),0)</f>
        <v>0</v>
      </c>
      <c r="L67" s="36"/>
      <c r="M67" s="36"/>
      <c r="N67" s="36"/>
      <c r="O67" s="37"/>
      <c r="P67" s="38"/>
      <c r="Q67" s="39"/>
      <c r="R67" s="37"/>
      <c r="S67" s="37"/>
      <c r="T67" s="37"/>
      <c r="U67" s="37"/>
      <c r="V67" s="37"/>
      <c r="W67" s="37"/>
      <c r="X67" s="37"/>
      <c r="Y67" s="37"/>
      <c r="Z67" s="40"/>
      <c r="AA67" s="41"/>
      <c r="AB67" s="37"/>
      <c r="AC67" s="37"/>
      <c r="AD67" s="37"/>
      <c r="AE67" s="37"/>
      <c r="AF67" s="37"/>
      <c r="AG67" s="37"/>
      <c r="AH67" s="36"/>
      <c r="AI67" s="36"/>
      <c r="AJ67" s="36"/>
      <c r="AK67" s="42"/>
      <c r="AL67" s="42"/>
      <c r="AM67" s="73">
        <f t="shared" si="11"/>
        <v>0</v>
      </c>
      <c r="AN67" s="71" t="str">
        <f>+IF($I67&gt;0,VLOOKUP($I67,'Lista de Precios'!$A$3:$H$2883,4,0),"")</f>
        <v/>
      </c>
      <c r="AO67" s="68" t="str">
        <f t="shared" si="3"/>
        <v/>
      </c>
      <c r="AP67" s="7" t="str">
        <f>IF($I67&gt;0,VLOOKUP($I67,'Lista de Precios'!$A$3:$K$2883,10,0),"")</f>
        <v/>
      </c>
      <c r="AQ67" s="7" t="str">
        <f>IF($I67&gt;0,VLOOKUP($I67,'Lista de Precios'!$A$3:$M$4893,13,0),"")</f>
        <v/>
      </c>
      <c r="AR67" s="7" t="str">
        <f>IF($I67&gt;0,VLOOKUP(I67,'Lista de Precios'!$A$3:$M$2883,13,0),"")</f>
        <v/>
      </c>
      <c r="HR67" s="134"/>
      <c r="HS67" s="134"/>
      <c r="HT67" s="134"/>
      <c r="HU67" s="134"/>
      <c r="HV67" s="134"/>
      <c r="HW67" s="134"/>
      <c r="HX67" s="134"/>
      <c r="HY67" s="134"/>
      <c r="HZ67" s="134"/>
      <c r="IA67" s="134"/>
      <c r="IB67" s="134"/>
      <c r="IC67" s="134"/>
      <c r="IE67" s="134"/>
      <c r="IF67" s="134"/>
      <c r="IG67" s="134"/>
      <c r="IH67" s="134"/>
      <c r="II67" s="134"/>
      <c r="IJ67" s="134"/>
      <c r="IK67" s="134"/>
      <c r="IL67" s="134"/>
      <c r="IM67" s="134"/>
      <c r="IN67" s="135"/>
      <c r="IO67" s="135"/>
      <c r="IP67" s="135"/>
      <c r="XEP67" s="7" t="str">
        <f t="shared" si="4"/>
        <v/>
      </c>
      <c r="XEQ67" s="7" t="str">
        <f t="shared" si="5"/>
        <v/>
      </c>
      <c r="XER67" s="7" t="str">
        <f t="shared" si="6"/>
        <v/>
      </c>
      <c r="XES67" s="7" t="str">
        <f t="shared" si="7"/>
        <v/>
      </c>
    </row>
    <row r="68" spans="1:250 16370:16373" ht="23.25" customHeight="1" x14ac:dyDescent="0.25">
      <c r="A68" s="74">
        <f>IF($I68&gt;0,VLOOKUP(I68,'Lista de Precios'!$A$3:$L$2883,9,0),0)</f>
        <v>0</v>
      </c>
      <c r="B68" s="74">
        <f>IF($I68&gt;0,VLOOKUP(I68,'Lista de Precios'!$A$3:$H$2883,7,0),0)</f>
        <v>0</v>
      </c>
      <c r="C68" s="7" t="str">
        <f>IF($I68&gt;0,VLOOKUP(I68,'Lista de Precios'!$A$3:$H$2883,2,0),"")</f>
        <v/>
      </c>
      <c r="D68" s="7" t="str">
        <f>IF($I68&gt;0,VLOOKUP(I68,'Lista de Precios'!$A$3:$H$2883,3,0),"")</f>
        <v/>
      </c>
      <c r="E68" s="76" t="str">
        <f>IF($I68&gt;0,VLOOKUP(I68,'Lista de Precios'!$A$3:$H$2883,6,0),"")</f>
        <v/>
      </c>
      <c r="F68" s="76" t="str">
        <f>IF($I68&gt;0,VLOOKUP(I68,'Lista de Precios'!$A$3:$H$2883,8,0),"")</f>
        <v/>
      </c>
      <c r="G68" s="101" t="str">
        <f t="shared" si="2"/>
        <v/>
      </c>
      <c r="H68" s="20" t="s">
        <v>3</v>
      </c>
      <c r="I68" s="18"/>
      <c r="J68" s="28" t="str">
        <f t="shared" si="8"/>
        <v/>
      </c>
      <c r="K68" s="24">
        <f>+IF($I68&gt;0,VLOOKUP($I68,'Lista de Precios'!$A$3:$H$2883,5,0),0)</f>
        <v>0</v>
      </c>
      <c r="L68" s="37"/>
      <c r="M68" s="37"/>
      <c r="N68" s="37"/>
      <c r="O68" s="37"/>
      <c r="P68" s="40"/>
      <c r="Q68" s="39"/>
      <c r="R68" s="37"/>
      <c r="S68" s="37"/>
      <c r="T68" s="37"/>
      <c r="U68" s="37"/>
      <c r="V68" s="37"/>
      <c r="W68" s="37"/>
      <c r="X68" s="37"/>
      <c r="Y68" s="37"/>
      <c r="Z68" s="40"/>
      <c r="AA68" s="41"/>
      <c r="AB68" s="37"/>
      <c r="AC68" s="37"/>
      <c r="AD68" s="37"/>
      <c r="AE68" s="37"/>
      <c r="AF68" s="37"/>
      <c r="AG68" s="37"/>
      <c r="AH68" s="36"/>
      <c r="AI68" s="36"/>
      <c r="AJ68" s="36"/>
      <c r="AK68" s="42"/>
      <c r="AL68" s="42"/>
      <c r="AM68" s="73">
        <f t="shared" si="11"/>
        <v>0</v>
      </c>
      <c r="AN68" s="71" t="str">
        <f>+IF($I68&gt;0,VLOOKUP($I68,'Lista de Precios'!$A$3:$H$2883,4,0),"")</f>
        <v/>
      </c>
      <c r="AO68" s="68" t="str">
        <f t="shared" si="3"/>
        <v/>
      </c>
      <c r="AP68" s="7" t="str">
        <f>IF($I68&gt;0,VLOOKUP($I68,'Lista de Precios'!$A$3:$K$2883,10,0),"")</f>
        <v/>
      </c>
      <c r="AQ68" s="7" t="str">
        <f>IF($I68&gt;0,VLOOKUP($I68,'Lista de Precios'!$A$3:$M$4893,13,0),"")</f>
        <v/>
      </c>
      <c r="AR68" s="7" t="str">
        <f>IF($I68&gt;0,VLOOKUP(I68,'Lista de Precios'!$A$3:$M$2883,13,0),"")</f>
        <v/>
      </c>
      <c r="HR68" s="134"/>
      <c r="HS68" s="134"/>
      <c r="HT68" s="134"/>
      <c r="HU68" s="134"/>
      <c r="HV68" s="134"/>
      <c r="HW68" s="134"/>
      <c r="HX68" s="134"/>
      <c r="HY68" s="134"/>
      <c r="HZ68" s="134"/>
      <c r="IA68" s="134"/>
      <c r="IB68" s="134"/>
      <c r="IC68" s="134"/>
      <c r="IE68" s="134"/>
      <c r="IF68" s="134"/>
      <c r="IG68" s="134"/>
      <c r="IH68" s="134"/>
      <c r="II68" s="134"/>
      <c r="IJ68" s="134"/>
      <c r="IK68" s="134"/>
      <c r="IL68" s="134"/>
      <c r="IM68" s="134"/>
      <c r="IN68" s="135"/>
      <c r="IO68" s="135"/>
      <c r="IP68" s="135"/>
      <c r="XEP68" s="7" t="str">
        <f t="shared" si="4"/>
        <v/>
      </c>
      <c r="XEQ68" s="7" t="str">
        <f t="shared" si="5"/>
        <v/>
      </c>
      <c r="XER68" s="7" t="str">
        <f t="shared" si="6"/>
        <v/>
      </c>
      <c r="XES68" s="7" t="str">
        <f t="shared" si="7"/>
        <v/>
      </c>
    </row>
    <row r="69" spans="1:250 16370:16373" ht="23.25" customHeight="1" x14ac:dyDescent="0.25">
      <c r="A69" s="74">
        <f>IF($I69&gt;0,VLOOKUP(I69,'Lista de Precios'!$A$3:$L$2883,9,0),0)</f>
        <v>0</v>
      </c>
      <c r="B69" s="74">
        <f>IF($I69&gt;0,VLOOKUP(I69,'Lista de Precios'!$A$3:$H$2883,7,0),0)</f>
        <v>0</v>
      </c>
      <c r="C69" s="7" t="str">
        <f>IF($I69&gt;0,VLOOKUP(I69,'Lista de Precios'!$A$3:$H$2883,2,0),"")</f>
        <v/>
      </c>
      <c r="D69" s="7" t="str">
        <f>IF($I69&gt;0,VLOOKUP(I69,'Lista de Precios'!$A$3:$H$2883,3,0),"")</f>
        <v/>
      </c>
      <c r="E69" s="76" t="str">
        <f>IF($I69&gt;0,VLOOKUP(I69,'Lista de Precios'!$A$3:$H$2883,6,0),"")</f>
        <v/>
      </c>
      <c r="F69" s="76" t="str">
        <f>IF($I69&gt;0,VLOOKUP(I69,'Lista de Precios'!$A$3:$H$2883,8,0),"")</f>
        <v/>
      </c>
      <c r="G69" s="101" t="str">
        <f t="shared" si="2"/>
        <v/>
      </c>
      <c r="H69" s="20" t="s">
        <v>3</v>
      </c>
      <c r="I69" s="18"/>
      <c r="J69" s="28" t="str">
        <f t="shared" si="8"/>
        <v/>
      </c>
      <c r="K69" s="24">
        <f>+IF($I69&gt;0,VLOOKUP($I69,'Lista de Precios'!$A$3:$H$2883,5,0),0)</f>
        <v>0</v>
      </c>
      <c r="L69" s="37"/>
      <c r="M69" s="37"/>
      <c r="N69" s="37"/>
      <c r="O69" s="37"/>
      <c r="P69" s="40"/>
      <c r="Q69" s="39"/>
      <c r="R69" s="37"/>
      <c r="S69" s="37"/>
      <c r="T69" s="37"/>
      <c r="U69" s="37"/>
      <c r="V69" s="37"/>
      <c r="W69" s="37"/>
      <c r="X69" s="37"/>
      <c r="Y69" s="37"/>
      <c r="Z69" s="40"/>
      <c r="AA69" s="41"/>
      <c r="AB69" s="37"/>
      <c r="AC69" s="37"/>
      <c r="AD69" s="37"/>
      <c r="AE69" s="36"/>
      <c r="AF69" s="37"/>
      <c r="AG69" s="37"/>
      <c r="AH69" s="36"/>
      <c r="AI69" s="36"/>
      <c r="AJ69" s="42"/>
      <c r="AK69" s="42"/>
      <c r="AL69" s="43"/>
      <c r="AM69" s="73">
        <f t="shared" si="11"/>
        <v>0</v>
      </c>
      <c r="AN69" s="71" t="str">
        <f>+IF($I69&gt;0,VLOOKUP($I69,'Lista de Precios'!$A$3:$H$2883,4,0),"")</f>
        <v/>
      </c>
      <c r="AO69" s="68" t="str">
        <f t="shared" si="3"/>
        <v/>
      </c>
      <c r="AP69" s="7" t="str">
        <f>IF($I69&gt;0,VLOOKUP($I69,'Lista de Precios'!$A$3:$K$2883,10,0),"")</f>
        <v/>
      </c>
      <c r="AQ69" s="7" t="str">
        <f>IF($I69&gt;0,VLOOKUP($I69,'Lista de Precios'!$A$3:$M$4893,13,0),"")</f>
        <v/>
      </c>
      <c r="AR69" s="7" t="str">
        <f>IF($I69&gt;0,VLOOKUP(I69,'Lista de Precios'!$A$3:$M$2883,13,0),"")</f>
        <v/>
      </c>
      <c r="HR69" s="134"/>
      <c r="HS69" s="134"/>
      <c r="HT69" s="134"/>
      <c r="HU69" s="134"/>
      <c r="HV69" s="134"/>
      <c r="HW69" s="134"/>
      <c r="HX69" s="134"/>
      <c r="HY69" s="134"/>
      <c r="HZ69" s="134"/>
      <c r="IA69" s="134"/>
      <c r="IB69" s="134"/>
      <c r="IC69" s="134"/>
      <c r="IE69" s="134"/>
      <c r="IF69" s="134"/>
      <c r="IG69" s="134"/>
      <c r="IH69" s="134"/>
      <c r="II69" s="134"/>
      <c r="IJ69" s="134"/>
      <c r="IK69" s="134"/>
      <c r="IL69" s="134"/>
      <c r="IM69" s="134"/>
      <c r="IN69" s="135"/>
      <c r="IO69" s="135"/>
      <c r="IP69" s="135"/>
      <c r="XEP69" s="7" t="str">
        <f t="shared" si="4"/>
        <v/>
      </c>
      <c r="XEQ69" s="7" t="str">
        <f t="shared" si="5"/>
        <v/>
      </c>
      <c r="XER69" s="7" t="str">
        <f t="shared" si="6"/>
        <v/>
      </c>
      <c r="XES69" s="7" t="str">
        <f t="shared" si="7"/>
        <v/>
      </c>
    </row>
    <row r="70" spans="1:250 16370:16373" ht="23.25" customHeight="1" x14ac:dyDescent="0.25">
      <c r="A70" s="74">
        <f>IF($I70&gt;0,VLOOKUP(I70,'Lista de Precios'!$A$3:$L$2883,9,0),0)</f>
        <v>0</v>
      </c>
      <c r="B70" s="74">
        <f>IF($I70&gt;0,VLOOKUP(I70,'Lista de Precios'!$A$3:$H$2883,7,0),0)</f>
        <v>0</v>
      </c>
      <c r="C70" s="7" t="str">
        <f>IF($I70&gt;0,VLOOKUP(I70,'Lista de Precios'!$A$3:$H$2883,2,0),"")</f>
        <v/>
      </c>
      <c r="D70" s="7" t="str">
        <f>IF($I70&gt;0,VLOOKUP(I70,'Lista de Precios'!$A$3:$H$2883,3,0),"")</f>
        <v/>
      </c>
      <c r="E70" s="76" t="str">
        <f>IF($I70&gt;0,VLOOKUP(I70,'Lista de Precios'!$A$3:$H$2883,6,0),"")</f>
        <v/>
      </c>
      <c r="F70" s="76" t="str">
        <f>IF($I70&gt;0,VLOOKUP(I70,'Lista de Precios'!$A$3:$H$2883,8,0),"")</f>
        <v/>
      </c>
      <c r="G70" s="101" t="str">
        <f t="shared" si="2"/>
        <v/>
      </c>
      <c r="H70" s="20" t="s">
        <v>3</v>
      </c>
      <c r="I70" s="18"/>
      <c r="J70" s="28" t="str">
        <f t="shared" si="8"/>
        <v/>
      </c>
      <c r="K70" s="24">
        <f>+IF($I70&gt;0,VLOOKUP($I70,'Lista de Precios'!$A$3:$H$2883,5,0),0)</f>
        <v>0</v>
      </c>
      <c r="L70" s="37"/>
      <c r="M70" s="37"/>
      <c r="N70" s="37"/>
      <c r="O70" s="37"/>
      <c r="P70" s="40"/>
      <c r="Q70" s="39"/>
      <c r="R70" s="37"/>
      <c r="S70" s="37"/>
      <c r="T70" s="37"/>
      <c r="U70" s="37"/>
      <c r="V70" s="37"/>
      <c r="W70" s="37"/>
      <c r="X70" s="37"/>
      <c r="Y70" s="37"/>
      <c r="Z70" s="37"/>
      <c r="AA70" s="41"/>
      <c r="AB70" s="37"/>
      <c r="AC70" s="37"/>
      <c r="AD70" s="37"/>
      <c r="AE70" s="36"/>
      <c r="AF70" s="37"/>
      <c r="AG70" s="37"/>
      <c r="AH70" s="36"/>
      <c r="AI70" s="36"/>
      <c r="AJ70" s="42"/>
      <c r="AK70" s="42"/>
      <c r="AL70" s="42"/>
      <c r="AM70" s="73">
        <f t="shared" si="11"/>
        <v>0</v>
      </c>
      <c r="AN70" s="71" t="str">
        <f>+IF($I70&gt;0,VLOOKUP($I70,'Lista de Precios'!$A$3:$H$2883,4,0),"")</f>
        <v/>
      </c>
      <c r="AO70" s="68" t="str">
        <f t="shared" si="3"/>
        <v/>
      </c>
      <c r="AP70" s="7" t="str">
        <f>IF($I70&gt;0,VLOOKUP($I70,'Lista de Precios'!$A$3:$K$2883,10,0),"")</f>
        <v/>
      </c>
      <c r="AQ70" s="7" t="str">
        <f>IF($I70&gt;0,VLOOKUP($I70,'Lista de Precios'!$A$3:$M$4893,13,0),"")</f>
        <v/>
      </c>
      <c r="AR70" s="7" t="str">
        <f>IF($I70&gt;0,VLOOKUP(I70,'Lista de Precios'!$A$3:$M$2883,13,0),"")</f>
        <v/>
      </c>
      <c r="HR70" s="134"/>
      <c r="HS70" s="134"/>
      <c r="HT70" s="134"/>
      <c r="HU70" s="134"/>
      <c r="HV70" s="134"/>
      <c r="HW70" s="134"/>
      <c r="HX70" s="134"/>
      <c r="HY70" s="134"/>
      <c r="HZ70" s="134"/>
      <c r="IA70" s="134"/>
      <c r="IB70" s="134"/>
      <c r="IC70" s="134"/>
      <c r="IE70" s="134"/>
      <c r="IF70" s="134"/>
      <c r="IG70" s="134"/>
      <c r="IH70" s="134"/>
      <c r="II70" s="134"/>
      <c r="IJ70" s="134"/>
      <c r="IK70" s="134"/>
      <c r="IL70" s="134"/>
      <c r="IM70" s="134"/>
      <c r="IN70" s="135"/>
      <c r="IO70" s="135"/>
      <c r="IP70" s="135"/>
      <c r="XEP70" s="7" t="str">
        <f t="shared" si="4"/>
        <v/>
      </c>
      <c r="XEQ70" s="7" t="str">
        <f t="shared" si="5"/>
        <v/>
      </c>
      <c r="XER70" s="7" t="str">
        <f t="shared" si="6"/>
        <v/>
      </c>
      <c r="XES70" s="7" t="str">
        <f t="shared" si="7"/>
        <v/>
      </c>
    </row>
    <row r="71" spans="1:250 16370:16373" ht="23.25" customHeight="1" x14ac:dyDescent="0.25">
      <c r="A71" s="74">
        <f>IF($I71&gt;0,VLOOKUP(I71,'Lista de Precios'!$A$3:$L$2883,9,0),0)</f>
        <v>0</v>
      </c>
      <c r="B71" s="74">
        <f>IF($I71&gt;0,VLOOKUP(I71,'Lista de Precios'!$A$3:$H$2883,7,0),0)</f>
        <v>0</v>
      </c>
      <c r="C71" s="7" t="str">
        <f>IF($I71&gt;0,VLOOKUP(I71,'Lista de Precios'!$A$3:$H$2883,2,0),"")</f>
        <v/>
      </c>
      <c r="D71" s="7" t="str">
        <f>IF($I71&gt;0,VLOOKUP(I71,'Lista de Precios'!$A$3:$H$2883,3,0),"")</f>
        <v/>
      </c>
      <c r="E71" s="76" t="str">
        <f>IF($I71&gt;0,VLOOKUP(I71,'Lista de Precios'!$A$3:$H$2883,6,0),"")</f>
        <v/>
      </c>
      <c r="F71" s="76" t="str">
        <f>IF($I71&gt;0,VLOOKUP(I71,'Lista de Precios'!$A$3:$H$2883,8,0),"")</f>
        <v/>
      </c>
      <c r="G71" s="101" t="str">
        <f t="shared" si="2"/>
        <v/>
      </c>
      <c r="H71" s="20" t="s">
        <v>3</v>
      </c>
      <c r="I71" s="18"/>
      <c r="J71" s="28" t="str">
        <f t="shared" si="8"/>
        <v/>
      </c>
      <c r="K71" s="24">
        <f>+IF($I71&gt;0,VLOOKUP($I71,'Lista de Precios'!$A$3:$H$2883,5,0),0)</f>
        <v>0</v>
      </c>
      <c r="L71" s="37"/>
      <c r="M71" s="37"/>
      <c r="N71" s="37"/>
      <c r="O71" s="37"/>
      <c r="P71" s="40"/>
      <c r="Q71" s="39"/>
      <c r="R71" s="37"/>
      <c r="S71" s="37"/>
      <c r="T71" s="37"/>
      <c r="U71" s="37"/>
      <c r="V71" s="37"/>
      <c r="W71" s="37"/>
      <c r="X71" s="37"/>
      <c r="Y71" s="37"/>
      <c r="Z71" s="40"/>
      <c r="AA71" s="41"/>
      <c r="AB71" s="37"/>
      <c r="AC71" s="37"/>
      <c r="AD71" s="37"/>
      <c r="AE71" s="36"/>
      <c r="AF71" s="37"/>
      <c r="AG71" s="37"/>
      <c r="AH71" s="36"/>
      <c r="AI71" s="36"/>
      <c r="AJ71" s="42"/>
      <c r="AK71" s="42"/>
      <c r="AL71" s="42"/>
      <c r="AM71" s="73">
        <f t="shared" si="11"/>
        <v>0</v>
      </c>
      <c r="AN71" s="71" t="str">
        <f>+IF($I71&gt;0,VLOOKUP($I71,'Lista de Precios'!$A$3:$H$2883,4,0),"")</f>
        <v/>
      </c>
      <c r="AO71" s="68" t="str">
        <f t="shared" si="3"/>
        <v/>
      </c>
      <c r="AP71" s="7" t="str">
        <f>IF($I71&gt;0,VLOOKUP($I71,'Lista de Precios'!$A$3:$K$2883,10,0),"")</f>
        <v/>
      </c>
      <c r="AQ71" s="7" t="str">
        <f>IF($I71&gt;0,VLOOKUP($I71,'Lista de Precios'!$A$3:$M$4893,13,0),"")</f>
        <v/>
      </c>
      <c r="AR71" s="7" t="str">
        <f>IF($I71&gt;0,VLOOKUP(I71,'Lista de Precios'!$A$3:$M$2883,13,0),"")</f>
        <v/>
      </c>
      <c r="HR71" s="134"/>
      <c r="HS71" s="134"/>
      <c r="HT71" s="134"/>
      <c r="HU71" s="134"/>
      <c r="HV71" s="134"/>
      <c r="HW71" s="134"/>
      <c r="HX71" s="134"/>
      <c r="HY71" s="134"/>
      <c r="HZ71" s="134"/>
      <c r="IA71" s="134"/>
      <c r="IB71" s="134"/>
      <c r="IC71" s="134"/>
      <c r="IE71" s="134"/>
      <c r="IF71" s="134"/>
      <c r="IG71" s="134"/>
      <c r="IH71" s="134"/>
      <c r="II71" s="134"/>
      <c r="IJ71" s="134"/>
      <c r="IK71" s="134"/>
      <c r="IL71" s="134"/>
      <c r="IM71" s="134"/>
      <c r="IN71" s="135"/>
      <c r="IO71" s="135"/>
      <c r="IP71" s="135"/>
      <c r="XEP71" s="7" t="str">
        <f t="shared" si="4"/>
        <v/>
      </c>
      <c r="XEQ71" s="7" t="str">
        <f t="shared" si="5"/>
        <v/>
      </c>
      <c r="XER71" s="7" t="str">
        <f t="shared" si="6"/>
        <v/>
      </c>
      <c r="XES71" s="7" t="str">
        <f t="shared" si="7"/>
        <v/>
      </c>
    </row>
    <row r="72" spans="1:250 16370:16373" ht="23.25" customHeight="1" x14ac:dyDescent="0.25">
      <c r="A72" s="74">
        <f>IF($I72&gt;0,VLOOKUP(I72,'Lista de Precios'!$A$3:$L$2883,9,0),0)</f>
        <v>0</v>
      </c>
      <c r="B72" s="74">
        <f>IF($I72&gt;0,VLOOKUP(I72,'Lista de Precios'!$A$3:$H$2883,7,0),0)</f>
        <v>0</v>
      </c>
      <c r="C72" s="7" t="str">
        <f>IF($I72&gt;0,VLOOKUP(I72,'Lista de Precios'!$A$3:$H$2883,2,0),"")</f>
        <v/>
      </c>
      <c r="D72" s="7" t="str">
        <f>IF($I72&gt;0,VLOOKUP(I72,'Lista de Precios'!$A$3:$H$2883,3,0),"")</f>
        <v/>
      </c>
      <c r="E72" s="76" t="str">
        <f>IF($I72&gt;0,VLOOKUP(I72,'Lista de Precios'!$A$3:$H$2883,6,0),"")</f>
        <v/>
      </c>
      <c r="F72" s="76" t="str">
        <f>IF($I72&gt;0,VLOOKUP(I72,'Lista de Precios'!$A$3:$H$2883,8,0),"")</f>
        <v/>
      </c>
      <c r="G72" s="101" t="str">
        <f t="shared" si="2"/>
        <v/>
      </c>
      <c r="H72" s="20" t="s">
        <v>3</v>
      </c>
      <c r="I72" s="18"/>
      <c r="J72" s="28" t="str">
        <f t="shared" si="8"/>
        <v/>
      </c>
      <c r="K72" s="24">
        <f>+IF($I72&gt;0,VLOOKUP($I72,'Lista de Precios'!$A$3:$H$2883,5,0),0)</f>
        <v>0</v>
      </c>
      <c r="L72" s="37"/>
      <c r="M72" s="37"/>
      <c r="N72" s="37"/>
      <c r="O72" s="37"/>
      <c r="P72" s="40"/>
      <c r="Q72" s="39"/>
      <c r="R72" s="37"/>
      <c r="S72" s="37"/>
      <c r="T72" s="37"/>
      <c r="U72" s="37"/>
      <c r="V72" s="37"/>
      <c r="W72" s="37"/>
      <c r="X72" s="37"/>
      <c r="Y72" s="37"/>
      <c r="Z72" s="40"/>
      <c r="AA72" s="41"/>
      <c r="AB72" s="37"/>
      <c r="AC72" s="37"/>
      <c r="AD72" s="37"/>
      <c r="AE72" s="36"/>
      <c r="AF72" s="37"/>
      <c r="AG72" s="37"/>
      <c r="AH72" s="36"/>
      <c r="AI72" s="36"/>
      <c r="AJ72" s="42"/>
      <c r="AK72" s="42"/>
      <c r="AL72" s="42"/>
      <c r="AM72" s="73">
        <f t="shared" si="11"/>
        <v>0</v>
      </c>
      <c r="AN72" s="71" t="str">
        <f>+IF($I72&gt;0,VLOOKUP($I72,'Lista de Precios'!$A$3:$H$2883,4,0),"")</f>
        <v/>
      </c>
      <c r="AO72" s="68" t="str">
        <f t="shared" si="3"/>
        <v/>
      </c>
      <c r="AP72" s="7" t="str">
        <f>IF($I72&gt;0,VLOOKUP($I72,'Lista de Precios'!$A$3:$K$2883,10,0),"")</f>
        <v/>
      </c>
      <c r="AQ72" s="7" t="str">
        <f>IF($I72&gt;0,VLOOKUP($I72,'Lista de Precios'!$A$3:$M$4893,13,0),"")</f>
        <v/>
      </c>
      <c r="AR72" s="7" t="str">
        <f>IF($I72&gt;0,VLOOKUP(I72,'Lista de Precios'!$A$3:$M$2883,13,0),"")</f>
        <v/>
      </c>
      <c r="HR72" s="134"/>
      <c r="HS72" s="134"/>
      <c r="HT72" s="134"/>
      <c r="HU72" s="134"/>
      <c r="HV72" s="134"/>
      <c r="HW72" s="134"/>
      <c r="HX72" s="134"/>
      <c r="HY72" s="134"/>
      <c r="HZ72" s="134"/>
      <c r="IA72" s="134"/>
      <c r="IB72" s="134"/>
      <c r="IC72" s="134"/>
      <c r="IE72" s="134"/>
      <c r="IF72" s="134"/>
      <c r="IG72" s="134"/>
      <c r="IH72" s="134"/>
      <c r="II72" s="134"/>
      <c r="IJ72" s="134"/>
      <c r="IK72" s="134"/>
      <c r="IL72" s="134"/>
      <c r="IM72" s="134"/>
      <c r="IN72" s="135"/>
      <c r="IO72" s="135"/>
      <c r="IP72" s="135"/>
      <c r="XEP72" s="7" t="str">
        <f t="shared" si="4"/>
        <v/>
      </c>
      <c r="XEQ72" s="7" t="str">
        <f t="shared" si="5"/>
        <v/>
      </c>
      <c r="XER72" s="7" t="str">
        <f t="shared" si="6"/>
        <v/>
      </c>
      <c r="XES72" s="7" t="str">
        <f t="shared" si="7"/>
        <v/>
      </c>
    </row>
    <row r="73" spans="1:250 16370:16373" ht="23.25" customHeight="1" x14ac:dyDescent="0.25">
      <c r="A73" s="74">
        <f>IF($I73&gt;0,VLOOKUP(I73,'Lista de Precios'!$A$3:$L$2883,9,0),0)</f>
        <v>0</v>
      </c>
      <c r="B73" s="74">
        <f>IF($I73&gt;0,VLOOKUP(I73,'Lista de Precios'!$A$3:$H$2883,7,0),0)</f>
        <v>0</v>
      </c>
      <c r="C73" s="7" t="str">
        <f>IF($I73&gt;0,VLOOKUP(I73,'Lista de Precios'!$A$3:$H$2883,2,0),"")</f>
        <v/>
      </c>
      <c r="D73" s="7" t="str">
        <f>IF($I73&gt;0,VLOOKUP(I73,'Lista de Precios'!$A$3:$H$2883,3,0),"")</f>
        <v/>
      </c>
      <c r="E73" s="76" t="str">
        <f>IF($I73&gt;0,VLOOKUP(I73,'Lista de Precios'!$A$3:$H$2883,6,0),"")</f>
        <v/>
      </c>
      <c r="F73" s="76" t="str">
        <f>IF($I73&gt;0,VLOOKUP(I73,'Lista de Precios'!$A$3:$H$2883,8,0),"")</f>
        <v/>
      </c>
      <c r="G73" s="101" t="str">
        <f t="shared" si="2"/>
        <v/>
      </c>
      <c r="H73" s="20" t="s">
        <v>3</v>
      </c>
      <c r="I73" s="18"/>
      <c r="J73" s="28" t="str">
        <f t="shared" si="8"/>
        <v/>
      </c>
      <c r="K73" s="24">
        <f>+IF($I73&gt;0,VLOOKUP($I73,'Lista de Precios'!$A$3:$H$2883,5,0),0)</f>
        <v>0</v>
      </c>
      <c r="L73" s="37"/>
      <c r="M73" s="37"/>
      <c r="N73" s="37"/>
      <c r="O73" s="37"/>
      <c r="P73" s="40"/>
      <c r="Q73" s="39"/>
      <c r="R73" s="37"/>
      <c r="S73" s="37"/>
      <c r="T73" s="37"/>
      <c r="U73" s="37"/>
      <c r="V73" s="37"/>
      <c r="W73" s="37"/>
      <c r="X73" s="37"/>
      <c r="Y73" s="37"/>
      <c r="Z73" s="40"/>
      <c r="AA73" s="41"/>
      <c r="AB73" s="37"/>
      <c r="AC73" s="37"/>
      <c r="AD73" s="37"/>
      <c r="AE73" s="37"/>
      <c r="AF73" s="37"/>
      <c r="AG73" s="57"/>
      <c r="AH73" s="54"/>
      <c r="AI73" s="54"/>
      <c r="AJ73" s="54"/>
      <c r="AK73" s="54"/>
      <c r="AL73" s="54"/>
      <c r="AM73" s="73">
        <f t="shared" si="11"/>
        <v>0</v>
      </c>
      <c r="AN73" s="71" t="str">
        <f>+IF($I73&gt;0,VLOOKUP($I73,'Lista de Precios'!$A$3:$H$2883,4,0),"")</f>
        <v/>
      </c>
      <c r="AO73" s="68" t="str">
        <f t="shared" si="3"/>
        <v/>
      </c>
      <c r="AP73" s="7" t="str">
        <f>IF($I73&gt;0,VLOOKUP($I73,'Lista de Precios'!$A$3:$K$2883,10,0),"")</f>
        <v/>
      </c>
      <c r="AQ73" s="7" t="str">
        <f>IF($I73&gt;0,VLOOKUP($I73,'Lista de Precios'!$A$3:$M$4893,13,0),"")</f>
        <v/>
      </c>
      <c r="AR73" s="7" t="str">
        <f>IF($I73&gt;0,VLOOKUP(I73,'Lista de Precios'!$A$3:$M$2883,13,0),"")</f>
        <v/>
      </c>
      <c r="HR73" s="134"/>
      <c r="HS73" s="134"/>
      <c r="HT73" s="134"/>
      <c r="HU73" s="134"/>
      <c r="HV73" s="134"/>
      <c r="HW73" s="134"/>
      <c r="HX73" s="134"/>
      <c r="HY73" s="134"/>
      <c r="HZ73" s="134"/>
      <c r="IA73" s="134"/>
      <c r="IB73" s="134"/>
      <c r="IC73" s="134"/>
      <c r="IE73" s="134"/>
      <c r="IF73" s="134"/>
      <c r="IG73" s="134"/>
      <c r="IH73" s="134"/>
      <c r="II73" s="134"/>
      <c r="IJ73" s="134"/>
      <c r="IK73" s="134"/>
      <c r="IL73" s="134"/>
      <c r="IM73" s="134"/>
      <c r="IN73" s="135"/>
      <c r="IO73" s="135"/>
      <c r="IP73" s="135"/>
      <c r="XEP73" s="7" t="str">
        <f t="shared" si="4"/>
        <v/>
      </c>
      <c r="XEQ73" s="7" t="str">
        <f t="shared" si="5"/>
        <v/>
      </c>
      <c r="XER73" s="7" t="str">
        <f t="shared" si="6"/>
        <v/>
      </c>
      <c r="XES73" s="7" t="str">
        <f t="shared" si="7"/>
        <v/>
      </c>
    </row>
    <row r="74" spans="1:250 16370:16373" ht="23.25" customHeight="1" x14ac:dyDescent="0.25">
      <c r="A74" s="74">
        <f>IF($I74&gt;0,VLOOKUP(I74,'Lista de Precios'!$A$3:$L$2883,9,0),0)</f>
        <v>0</v>
      </c>
      <c r="B74" s="74">
        <f>IF($I74&gt;0,VLOOKUP(I74,'Lista de Precios'!$A$3:$H$2883,7,0),0)</f>
        <v>0</v>
      </c>
      <c r="C74" s="7" t="str">
        <f>IF($I74&gt;0,VLOOKUP(I74,'Lista de Precios'!$A$3:$H$2883,2,0),"")</f>
        <v/>
      </c>
      <c r="D74" s="7" t="str">
        <f>IF($I74&gt;0,VLOOKUP(I74,'Lista de Precios'!$A$3:$H$2883,3,0),"")</f>
        <v/>
      </c>
      <c r="E74" s="76" t="str">
        <f>IF($I74&gt;0,VLOOKUP(I74,'Lista de Precios'!$A$3:$H$2883,6,0),"")</f>
        <v/>
      </c>
      <c r="F74" s="76" t="str">
        <f>IF($I74&gt;0,VLOOKUP(I74,'Lista de Precios'!$A$3:$H$2883,8,0),"")</f>
        <v/>
      </c>
      <c r="G74" s="101" t="str">
        <f t="shared" si="2"/>
        <v/>
      </c>
      <c r="H74" s="20" t="s">
        <v>3</v>
      </c>
      <c r="I74" s="18"/>
      <c r="J74" s="28" t="str">
        <f t="shared" si="8"/>
        <v/>
      </c>
      <c r="K74" s="24">
        <f>+IF($I74&gt;0,VLOOKUP($I74,'Lista de Precios'!$A$3:$H$2883,5,0),0)</f>
        <v>0</v>
      </c>
      <c r="L74" s="37"/>
      <c r="M74" s="37"/>
      <c r="N74" s="37"/>
      <c r="O74" s="37"/>
      <c r="P74" s="40"/>
      <c r="Q74" s="39"/>
      <c r="R74" s="37"/>
      <c r="S74" s="37"/>
      <c r="T74" s="37"/>
      <c r="U74" s="37"/>
      <c r="V74" s="37"/>
      <c r="W74" s="37"/>
      <c r="X74" s="37"/>
      <c r="Y74" s="37"/>
      <c r="Z74" s="40"/>
      <c r="AA74" s="41"/>
      <c r="AB74" s="37"/>
      <c r="AC74" s="37"/>
      <c r="AD74" s="37"/>
      <c r="AE74" s="37"/>
      <c r="AF74" s="37"/>
      <c r="AG74" s="57"/>
      <c r="AH74" s="54"/>
      <c r="AI74" s="54"/>
      <c r="AJ74" s="42"/>
      <c r="AK74" s="42"/>
      <c r="AL74" s="42"/>
      <c r="AM74" s="73">
        <f t="shared" si="11"/>
        <v>0</v>
      </c>
      <c r="AN74" s="71" t="str">
        <f>+IF($I74&gt;0,VLOOKUP($I74,'Lista de Precios'!$A$3:$H$2883,4,0),"")</f>
        <v/>
      </c>
      <c r="AO74" s="68" t="str">
        <f t="shared" si="3"/>
        <v/>
      </c>
      <c r="AP74" s="7" t="str">
        <f>IF($I74&gt;0,VLOOKUP($I74,'Lista de Precios'!$A$3:$K$2883,10,0),"")</f>
        <v/>
      </c>
      <c r="AQ74" s="7" t="str">
        <f>IF($I74&gt;0,VLOOKUP($I74,'Lista de Precios'!$A$3:$M$4893,13,0),"")</f>
        <v/>
      </c>
      <c r="AR74" s="7" t="str">
        <f>IF($I74&gt;0,VLOOKUP(I74,'Lista de Precios'!$A$3:$M$2883,13,0),"")</f>
        <v/>
      </c>
      <c r="HR74" s="134"/>
      <c r="HS74" s="134"/>
      <c r="HT74" s="134"/>
      <c r="HU74" s="134"/>
      <c r="HV74" s="134"/>
      <c r="HW74" s="134"/>
      <c r="HX74" s="134"/>
      <c r="HY74" s="134"/>
      <c r="HZ74" s="134"/>
      <c r="IA74" s="134"/>
      <c r="IB74" s="134"/>
      <c r="IC74" s="134"/>
      <c r="IE74" s="134"/>
      <c r="IF74" s="134"/>
      <c r="IG74" s="134"/>
      <c r="IH74" s="134"/>
      <c r="II74" s="134"/>
      <c r="IJ74" s="134"/>
      <c r="IK74" s="134"/>
      <c r="IL74" s="134"/>
      <c r="IM74" s="134"/>
      <c r="IN74" s="135"/>
      <c r="IO74" s="135"/>
      <c r="IP74" s="135"/>
      <c r="XEP74" s="7" t="str">
        <f t="shared" si="4"/>
        <v/>
      </c>
      <c r="XEQ74" s="7" t="str">
        <f t="shared" si="5"/>
        <v/>
      </c>
      <c r="XER74" s="7" t="str">
        <f t="shared" si="6"/>
        <v/>
      </c>
      <c r="XES74" s="7" t="str">
        <f t="shared" si="7"/>
        <v/>
      </c>
    </row>
    <row r="75" spans="1:250 16370:16373" ht="23.25" customHeight="1" x14ac:dyDescent="0.25">
      <c r="A75" s="74">
        <f>IF($I75&gt;0,VLOOKUP(I75,'Lista de Precios'!$A$3:$L$2883,9,0),0)</f>
        <v>0</v>
      </c>
      <c r="B75" s="74">
        <f>IF($I75&gt;0,VLOOKUP(I75,'Lista de Precios'!$A$3:$H$2883,7,0),0)</f>
        <v>0</v>
      </c>
      <c r="C75" s="7" t="str">
        <f>IF($I75&gt;0,VLOOKUP(I75,'Lista de Precios'!$A$3:$H$2883,2,0),"")</f>
        <v/>
      </c>
      <c r="D75" s="7" t="str">
        <f>IF($I75&gt;0,VLOOKUP(I75,'Lista de Precios'!$A$3:$H$2883,3,0),"")</f>
        <v/>
      </c>
      <c r="E75" s="76" t="str">
        <f>IF($I75&gt;0,VLOOKUP(I75,'Lista de Precios'!$A$3:$H$2883,6,0),"")</f>
        <v/>
      </c>
      <c r="F75" s="76" t="str">
        <f>IF($I75&gt;0,VLOOKUP(I75,'Lista de Precios'!$A$3:$H$2883,8,0),"")</f>
        <v/>
      </c>
      <c r="G75" s="101" t="str">
        <f t="shared" si="2"/>
        <v/>
      </c>
      <c r="H75" s="20" t="s">
        <v>3</v>
      </c>
      <c r="I75" s="18"/>
      <c r="J75" s="28" t="str">
        <f t="shared" si="8"/>
        <v/>
      </c>
      <c r="K75" s="24">
        <f>+IF($I75&gt;0,VLOOKUP($I75,'Lista de Precios'!$A$3:$H$2883,5,0),0)</f>
        <v>0</v>
      </c>
      <c r="L75" s="37"/>
      <c r="M75" s="37"/>
      <c r="N75" s="37"/>
      <c r="O75" s="37"/>
      <c r="P75" s="40"/>
      <c r="Q75" s="39"/>
      <c r="R75" s="37"/>
      <c r="S75" s="37"/>
      <c r="T75" s="37"/>
      <c r="U75" s="37"/>
      <c r="V75" s="37"/>
      <c r="W75" s="37"/>
      <c r="X75" s="37"/>
      <c r="Y75" s="37"/>
      <c r="Z75" s="40"/>
      <c r="AA75" s="41"/>
      <c r="AB75" s="37"/>
      <c r="AC75" s="37"/>
      <c r="AD75" s="37"/>
      <c r="AE75" s="37"/>
      <c r="AF75" s="37"/>
      <c r="AG75" s="37"/>
      <c r="AH75" s="42"/>
      <c r="AI75" s="42"/>
      <c r="AJ75" s="43"/>
      <c r="AK75" s="43"/>
      <c r="AL75" s="43"/>
      <c r="AM75" s="73">
        <f t="shared" si="11"/>
        <v>0</v>
      </c>
      <c r="AN75" s="71" t="str">
        <f>+IF($I75&gt;0,VLOOKUP($I75,'Lista de Precios'!$A$3:$H$2883,4,0),"")</f>
        <v/>
      </c>
      <c r="AO75" s="68" t="str">
        <f t="shared" si="3"/>
        <v/>
      </c>
      <c r="AP75" s="7" t="str">
        <f>IF($I75&gt;0,VLOOKUP($I75,'Lista de Precios'!$A$3:$K$2883,10,0),"")</f>
        <v/>
      </c>
      <c r="AQ75" s="7" t="str">
        <f>IF($I75&gt;0,VLOOKUP($I75,'Lista de Precios'!$A$3:$M$4893,13,0),"")</f>
        <v/>
      </c>
      <c r="AR75" s="7" t="str">
        <f>IF($I75&gt;0,VLOOKUP(I75,'Lista de Precios'!$A$3:$M$2883,13,0),"")</f>
        <v/>
      </c>
      <c r="HR75" s="134"/>
      <c r="HS75" s="134"/>
      <c r="HT75" s="134"/>
      <c r="HU75" s="134"/>
      <c r="HV75" s="134"/>
      <c r="HW75" s="134"/>
      <c r="HX75" s="134"/>
      <c r="HY75" s="134"/>
      <c r="HZ75" s="134"/>
      <c r="IA75" s="134"/>
      <c r="IB75" s="134"/>
      <c r="IC75" s="134"/>
      <c r="IE75" s="134"/>
      <c r="IF75" s="134"/>
      <c r="IG75" s="134"/>
      <c r="IH75" s="134"/>
      <c r="II75" s="134"/>
      <c r="IJ75" s="134"/>
      <c r="IK75" s="134"/>
      <c r="IL75" s="134"/>
      <c r="IM75" s="134"/>
      <c r="IN75" s="135"/>
      <c r="IO75" s="135"/>
      <c r="IP75" s="135"/>
      <c r="XEP75" s="7" t="str">
        <f t="shared" si="4"/>
        <v/>
      </c>
      <c r="XEQ75" s="7" t="str">
        <f t="shared" si="5"/>
        <v/>
      </c>
      <c r="XER75" s="7" t="str">
        <f t="shared" si="6"/>
        <v/>
      </c>
      <c r="XES75" s="7" t="str">
        <f t="shared" si="7"/>
        <v/>
      </c>
    </row>
    <row r="76" spans="1:250 16370:16373" ht="23.25" customHeight="1" x14ac:dyDescent="0.25">
      <c r="A76" s="74">
        <f>IF($I76&gt;0,VLOOKUP(I76,'Lista de Precios'!$A$3:$L$2883,9,0),0)</f>
        <v>0</v>
      </c>
      <c r="B76" s="74">
        <f>IF($I76&gt;0,VLOOKUP(I76,'Lista de Precios'!$A$3:$H$2883,7,0),0)</f>
        <v>0</v>
      </c>
      <c r="C76" s="7" t="str">
        <f>IF($I76&gt;0,VLOOKUP(I76,'Lista de Precios'!$A$3:$H$2883,2,0),"")</f>
        <v/>
      </c>
      <c r="D76" s="7" t="str">
        <f>IF($I76&gt;0,VLOOKUP(I76,'Lista de Precios'!$A$3:$H$2883,3,0),"")</f>
        <v/>
      </c>
      <c r="E76" s="76" t="str">
        <f>IF($I76&gt;0,VLOOKUP(I76,'Lista de Precios'!$A$3:$H$2883,6,0),"")</f>
        <v/>
      </c>
      <c r="F76" s="76" t="str">
        <f>IF($I76&gt;0,VLOOKUP(I76,'Lista de Precios'!$A$3:$H$2883,8,0),"")</f>
        <v/>
      </c>
      <c r="G76" s="101" t="str">
        <f t="shared" si="2"/>
        <v/>
      </c>
      <c r="H76" s="20" t="s">
        <v>3</v>
      </c>
      <c r="I76" s="18"/>
      <c r="J76" s="28" t="str">
        <f t="shared" si="8"/>
        <v/>
      </c>
      <c r="K76" s="24">
        <f>+IF($I76&gt;0,VLOOKUP($I76,'Lista de Precios'!$A$3:$H$2883,5,0),0)</f>
        <v>0</v>
      </c>
      <c r="L76" s="36"/>
      <c r="M76" s="36"/>
      <c r="N76" s="36"/>
      <c r="O76" s="37"/>
      <c r="P76" s="38"/>
      <c r="Q76" s="39"/>
      <c r="R76" s="37"/>
      <c r="S76" s="37"/>
      <c r="T76" s="37"/>
      <c r="U76" s="37"/>
      <c r="V76" s="37"/>
      <c r="W76" s="37"/>
      <c r="X76" s="37"/>
      <c r="Y76" s="37"/>
      <c r="Z76" s="40"/>
      <c r="AA76" s="41"/>
      <c r="AB76" s="37"/>
      <c r="AC76" s="37"/>
      <c r="AD76" s="37"/>
      <c r="AE76" s="37"/>
      <c r="AF76" s="37"/>
      <c r="AG76" s="37"/>
      <c r="AH76" s="42"/>
      <c r="AI76" s="42"/>
      <c r="AJ76" s="43"/>
      <c r="AK76" s="43"/>
      <c r="AL76" s="43"/>
      <c r="AM76" s="73">
        <f t="shared" si="11"/>
        <v>0</v>
      </c>
      <c r="AN76" s="71" t="str">
        <f>+IF($I76&gt;0,VLOOKUP($I76,'Lista de Precios'!$A$3:$H$2883,4,0),"")</f>
        <v/>
      </c>
      <c r="AO76" s="68" t="str">
        <f t="shared" si="3"/>
        <v/>
      </c>
      <c r="AP76" s="7" t="str">
        <f>IF($I76&gt;0,VLOOKUP($I76,'Lista de Precios'!$A$3:$K$2883,10,0),"")</f>
        <v/>
      </c>
      <c r="AQ76" s="7" t="str">
        <f>IF($I76&gt;0,VLOOKUP($I76,'Lista de Precios'!$A$3:$M$4893,13,0),"")</f>
        <v/>
      </c>
      <c r="AR76" s="7" t="str">
        <f>IF($I76&gt;0,VLOOKUP(I76,'Lista de Precios'!$A$3:$M$2883,13,0),"")</f>
        <v/>
      </c>
      <c r="HR76" s="134"/>
      <c r="HS76" s="134"/>
      <c r="HT76" s="134"/>
      <c r="HU76" s="134"/>
      <c r="HV76" s="134"/>
      <c r="HW76" s="134"/>
      <c r="HX76" s="134"/>
      <c r="HY76" s="134"/>
      <c r="HZ76" s="134"/>
      <c r="IA76" s="134"/>
      <c r="IB76" s="134"/>
      <c r="IC76" s="134"/>
      <c r="IE76" s="134"/>
      <c r="IF76" s="134"/>
      <c r="IG76" s="134"/>
      <c r="IH76" s="134"/>
      <c r="II76" s="134"/>
      <c r="IJ76" s="134"/>
      <c r="IK76" s="134"/>
      <c r="IL76" s="134"/>
      <c r="IM76" s="134"/>
      <c r="IN76" s="135"/>
      <c r="IO76" s="135"/>
      <c r="IP76" s="135"/>
      <c r="XEP76" s="7" t="str">
        <f t="shared" si="4"/>
        <v/>
      </c>
      <c r="XEQ76" s="7" t="str">
        <f t="shared" si="5"/>
        <v/>
      </c>
      <c r="XER76" s="7" t="str">
        <f t="shared" si="6"/>
        <v/>
      </c>
      <c r="XES76" s="7" t="str">
        <f t="shared" si="7"/>
        <v/>
      </c>
    </row>
    <row r="77" spans="1:250 16370:16373" ht="23.25" customHeight="1" x14ac:dyDescent="0.25">
      <c r="A77" s="74">
        <f>IF($I77&gt;0,VLOOKUP(I77,'Lista de Precios'!$A$3:$L$2883,9,0),0)</f>
        <v>0</v>
      </c>
      <c r="B77" s="74">
        <f>IF($I77&gt;0,VLOOKUP(I77,'Lista de Precios'!$A$3:$H$2883,7,0),0)</f>
        <v>0</v>
      </c>
      <c r="C77" s="7" t="str">
        <f>IF($I77&gt;0,VLOOKUP(I77,'Lista de Precios'!$A$3:$H$2883,2,0),"")</f>
        <v/>
      </c>
      <c r="D77" s="7" t="str">
        <f>IF($I77&gt;0,VLOOKUP(I77,'Lista de Precios'!$A$3:$H$2883,3,0),"")</f>
        <v/>
      </c>
      <c r="E77" s="76" t="str">
        <f>IF($I77&gt;0,VLOOKUP(I77,'Lista de Precios'!$A$3:$H$2883,6,0),"")</f>
        <v/>
      </c>
      <c r="F77" s="76" t="str">
        <f>IF($I77&gt;0,VLOOKUP(I77,'Lista de Precios'!$A$3:$H$2883,8,0),"")</f>
        <v/>
      </c>
      <c r="G77" s="101" t="str">
        <f t="shared" si="2"/>
        <v/>
      </c>
      <c r="H77" s="20" t="s">
        <v>3</v>
      </c>
      <c r="I77" s="18"/>
      <c r="J77" s="28" t="str">
        <f t="shared" si="8"/>
        <v/>
      </c>
      <c r="K77" s="24">
        <f>+IF($I77&gt;0,VLOOKUP($I77,'Lista de Precios'!$A$3:$H$2883,5,0),0)</f>
        <v>0</v>
      </c>
      <c r="L77" s="37"/>
      <c r="M77" s="37"/>
      <c r="N77" s="37"/>
      <c r="O77" s="37"/>
      <c r="P77" s="40"/>
      <c r="Q77" s="39"/>
      <c r="R77" s="37"/>
      <c r="S77" s="37"/>
      <c r="T77" s="37"/>
      <c r="U77" s="37"/>
      <c r="V77" s="37"/>
      <c r="W77" s="37"/>
      <c r="X77" s="37"/>
      <c r="Y77" s="37"/>
      <c r="Z77" s="40"/>
      <c r="AA77" s="41"/>
      <c r="AB77" s="37"/>
      <c r="AC77" s="43"/>
      <c r="AD77" s="43"/>
      <c r="AE77" s="43"/>
      <c r="AF77" s="43"/>
      <c r="AG77" s="43"/>
      <c r="AH77" s="42"/>
      <c r="AI77" s="42"/>
      <c r="AJ77" s="42"/>
      <c r="AK77" s="42"/>
      <c r="AL77" s="43"/>
      <c r="AM77" s="73">
        <f t="shared" si="11"/>
        <v>0</v>
      </c>
      <c r="AN77" s="71" t="str">
        <f>+IF($I77&gt;0,VLOOKUP($I77,'Lista de Precios'!$A$3:$H$2883,4,0),"")</f>
        <v/>
      </c>
      <c r="AO77" s="68" t="str">
        <f t="shared" si="3"/>
        <v/>
      </c>
      <c r="AP77" s="7" t="str">
        <f>IF($I77&gt;0,VLOOKUP($I77,'Lista de Precios'!$A$3:$K$2883,10,0),"")</f>
        <v/>
      </c>
      <c r="AQ77" s="7" t="str">
        <f>IF($I77&gt;0,VLOOKUP($I77,'Lista de Precios'!$A$3:$M$4893,13,0),"")</f>
        <v/>
      </c>
      <c r="AR77" s="7" t="str">
        <f>IF($I77&gt;0,VLOOKUP(I77,'Lista de Precios'!$A$3:$M$2883,13,0),"")</f>
        <v/>
      </c>
      <c r="HR77" s="134"/>
      <c r="HS77" s="134"/>
      <c r="HT77" s="134"/>
      <c r="HU77" s="134"/>
      <c r="HV77" s="134"/>
      <c r="HW77" s="134"/>
      <c r="HX77" s="134"/>
      <c r="HY77" s="134"/>
      <c r="HZ77" s="134"/>
      <c r="IA77" s="134"/>
      <c r="IB77" s="134"/>
      <c r="IC77" s="134"/>
      <c r="IE77" s="134"/>
      <c r="IF77" s="134"/>
      <c r="IG77" s="134"/>
      <c r="IH77" s="134"/>
      <c r="II77" s="134"/>
      <c r="IJ77" s="134"/>
      <c r="IK77" s="134"/>
      <c r="IL77" s="134"/>
      <c r="IM77" s="134"/>
      <c r="IN77" s="135"/>
      <c r="IO77" s="135"/>
      <c r="IP77" s="135"/>
      <c r="XEP77" s="7" t="str">
        <f t="shared" si="4"/>
        <v/>
      </c>
      <c r="XEQ77" s="7" t="str">
        <f t="shared" si="5"/>
        <v/>
      </c>
      <c r="XER77" s="7" t="str">
        <f t="shared" si="6"/>
        <v/>
      </c>
      <c r="XES77" s="7" t="str">
        <f t="shared" si="7"/>
        <v/>
      </c>
    </row>
    <row r="78" spans="1:250 16370:16373" ht="23.25" customHeight="1" x14ac:dyDescent="0.25">
      <c r="A78" s="74">
        <f>IF($I78&gt;0,VLOOKUP(I78,'Lista de Precios'!$A$3:$L$2883,9,0),0)</f>
        <v>0</v>
      </c>
      <c r="B78" s="74">
        <f>IF($I78&gt;0,VLOOKUP(I78,'Lista de Precios'!$A$3:$H$2883,7,0),0)</f>
        <v>0</v>
      </c>
      <c r="C78" s="7" t="str">
        <f>IF($I78&gt;0,VLOOKUP(I78,'Lista de Precios'!$A$3:$H$2883,2,0),"")</f>
        <v/>
      </c>
      <c r="D78" s="7" t="str">
        <f>IF($I78&gt;0,VLOOKUP(I78,'Lista de Precios'!$A$3:$H$2883,3,0),"")</f>
        <v/>
      </c>
      <c r="E78" s="76" t="str">
        <f>IF($I78&gt;0,VLOOKUP(I78,'Lista de Precios'!$A$3:$H$2883,6,0),"")</f>
        <v/>
      </c>
      <c r="F78" s="76" t="str">
        <f>IF($I78&gt;0,VLOOKUP(I78,'Lista de Precios'!$A$3:$H$2883,8,0),"")</f>
        <v/>
      </c>
      <c r="G78" s="101" t="str">
        <f t="shared" si="2"/>
        <v/>
      </c>
      <c r="H78" s="20" t="s">
        <v>3</v>
      </c>
      <c r="I78" s="18"/>
      <c r="J78" s="28" t="str">
        <f t="shared" si="8"/>
        <v/>
      </c>
      <c r="K78" s="24">
        <f>+IF($I78&gt;0,VLOOKUP($I78,'Lista de Precios'!$A$3:$H$2883,5,0),0)</f>
        <v>0</v>
      </c>
      <c r="L78" s="36"/>
      <c r="M78" s="36"/>
      <c r="N78" s="36"/>
      <c r="O78" s="37"/>
      <c r="P78" s="38"/>
      <c r="Q78" s="45"/>
      <c r="R78" s="43"/>
      <c r="S78" s="43"/>
      <c r="T78" s="43"/>
      <c r="U78" s="43"/>
      <c r="V78" s="43"/>
      <c r="W78" s="43"/>
      <c r="X78" s="43"/>
      <c r="Y78" s="37"/>
      <c r="Z78" s="40"/>
      <c r="AA78" s="41"/>
      <c r="AB78" s="37"/>
      <c r="AC78" s="43"/>
      <c r="AD78" s="43"/>
      <c r="AE78" s="43"/>
      <c r="AF78" s="43"/>
      <c r="AG78" s="43"/>
      <c r="AH78" s="42"/>
      <c r="AI78" s="42"/>
      <c r="AJ78" s="42"/>
      <c r="AK78" s="42"/>
      <c r="AL78" s="43"/>
      <c r="AM78" s="73">
        <f t="shared" si="11"/>
        <v>0</v>
      </c>
      <c r="AN78" s="71" t="str">
        <f>+IF($I78&gt;0,VLOOKUP($I78,'Lista de Precios'!$A$3:$H$2883,4,0),"")</f>
        <v/>
      </c>
      <c r="AO78" s="68" t="str">
        <f t="shared" si="3"/>
        <v/>
      </c>
      <c r="AP78" s="7" t="str">
        <f>IF($I78&gt;0,VLOOKUP($I78,'Lista de Precios'!$A$3:$K$2883,10,0),"")</f>
        <v/>
      </c>
      <c r="AQ78" s="7" t="str">
        <f>IF($I78&gt;0,VLOOKUP($I78,'Lista de Precios'!$A$3:$M$4893,13,0),"")</f>
        <v/>
      </c>
      <c r="AR78" s="7" t="str">
        <f>IF($I78&gt;0,VLOOKUP(I78,'Lista de Precios'!$A$3:$M$2883,13,0),"")</f>
        <v/>
      </c>
      <c r="HR78" s="134"/>
      <c r="HS78" s="134"/>
      <c r="HT78" s="134"/>
      <c r="HU78" s="134"/>
      <c r="HV78" s="134"/>
      <c r="HW78" s="134"/>
      <c r="HX78" s="134"/>
      <c r="HY78" s="134"/>
      <c r="HZ78" s="134"/>
      <c r="IA78" s="134"/>
      <c r="IB78" s="134"/>
      <c r="IC78" s="134"/>
      <c r="IE78" s="134"/>
      <c r="IF78" s="134"/>
      <c r="IG78" s="134"/>
      <c r="IH78" s="134"/>
      <c r="II78" s="134"/>
      <c r="IJ78" s="134"/>
      <c r="IK78" s="134"/>
      <c r="IL78" s="134"/>
      <c r="IM78" s="134"/>
      <c r="IN78" s="135"/>
      <c r="IO78" s="135"/>
      <c r="IP78" s="135"/>
      <c r="XEP78" s="7" t="str">
        <f t="shared" si="4"/>
        <v/>
      </c>
      <c r="XEQ78" s="7" t="str">
        <f t="shared" si="5"/>
        <v/>
      </c>
      <c r="XER78" s="7" t="str">
        <f t="shared" si="6"/>
        <v/>
      </c>
      <c r="XES78" s="7" t="str">
        <f t="shared" si="7"/>
        <v/>
      </c>
    </row>
    <row r="79" spans="1:250 16370:16373" ht="23.25" customHeight="1" x14ac:dyDescent="0.25">
      <c r="A79" s="74">
        <f>IF($I79&gt;0,VLOOKUP(I79,'Lista de Precios'!$A$3:$L$2883,9,0),0)</f>
        <v>0</v>
      </c>
      <c r="B79" s="74">
        <f>IF($I79&gt;0,VLOOKUP(I79,'Lista de Precios'!$A$3:$H$2883,7,0),0)</f>
        <v>0</v>
      </c>
      <c r="C79" s="7" t="str">
        <f>IF($I79&gt;0,VLOOKUP(I79,'Lista de Precios'!$A$3:$H$2883,2,0),"")</f>
        <v/>
      </c>
      <c r="D79" s="7" t="str">
        <f>IF($I79&gt;0,VLOOKUP(I79,'Lista de Precios'!$A$3:$H$2883,3,0),"")</f>
        <v/>
      </c>
      <c r="E79" s="76" t="str">
        <f>IF($I79&gt;0,VLOOKUP(I79,'Lista de Precios'!$A$3:$H$2883,6,0),"")</f>
        <v/>
      </c>
      <c r="F79" s="76" t="str">
        <f>IF($I79&gt;0,VLOOKUP(I79,'Lista de Precios'!$A$3:$H$2883,8,0),"")</f>
        <v/>
      </c>
      <c r="G79" s="101" t="str">
        <f t="shared" si="2"/>
        <v/>
      </c>
      <c r="H79" s="20" t="s">
        <v>3</v>
      </c>
      <c r="I79" s="18"/>
      <c r="J79" s="28" t="str">
        <f t="shared" si="8"/>
        <v/>
      </c>
      <c r="K79" s="24">
        <f>+IF($I79&gt;0,VLOOKUP($I79,'Lista de Precios'!$A$3:$H$2883,5,0),0)</f>
        <v>0</v>
      </c>
      <c r="L79" s="42"/>
      <c r="M79" s="42"/>
      <c r="N79" s="42"/>
      <c r="O79" s="43"/>
      <c r="P79" s="46"/>
      <c r="Q79" s="45"/>
      <c r="R79" s="43"/>
      <c r="S79" s="43"/>
      <c r="T79" s="43"/>
      <c r="U79" s="43"/>
      <c r="V79" s="43"/>
      <c r="W79" s="43"/>
      <c r="X79" s="43"/>
      <c r="Y79" s="37"/>
      <c r="Z79" s="40"/>
      <c r="AA79" s="41"/>
      <c r="AB79" s="37"/>
      <c r="AC79" s="43"/>
      <c r="AD79" s="43"/>
      <c r="AE79" s="43"/>
      <c r="AF79" s="43"/>
      <c r="AG79" s="43"/>
      <c r="AH79" s="42"/>
      <c r="AI79" s="42"/>
      <c r="AJ79" s="42"/>
      <c r="AK79" s="42"/>
      <c r="AL79" s="43"/>
      <c r="AM79" s="73">
        <f t="shared" ref="AM79:AM101" si="12">+IF(I79&gt;0,SUM(L79:AL79),0)</f>
        <v>0</v>
      </c>
      <c r="AN79" s="71" t="str">
        <f>+IF($I79&gt;0,VLOOKUP($I79,'Lista de Precios'!$A$3:$H$2883,4,0),"")</f>
        <v/>
      </c>
      <c r="AO79" s="68" t="str">
        <f t="shared" si="3"/>
        <v/>
      </c>
      <c r="AP79" s="7" t="str">
        <f>IF($I79&gt;0,VLOOKUP($I79,'Lista de Precios'!$A$3:$K$2883,10,0),"")</f>
        <v/>
      </c>
      <c r="AQ79" s="7" t="str">
        <f>IF($I79&gt;0,VLOOKUP($I79,'Lista de Precios'!$A$3:$M$4893,13,0),"")</f>
        <v/>
      </c>
      <c r="AR79" s="7" t="str">
        <f>IF($I79&gt;0,VLOOKUP(I79,'Lista de Precios'!$A$3:$M$2883,13,0),"")</f>
        <v/>
      </c>
      <c r="HR79" s="134"/>
      <c r="HS79" s="134"/>
      <c r="HT79" s="134"/>
      <c r="HU79" s="134"/>
      <c r="HV79" s="134"/>
      <c r="HW79" s="134"/>
      <c r="HX79" s="134"/>
      <c r="HY79" s="134"/>
      <c r="HZ79" s="134"/>
      <c r="IA79" s="134"/>
      <c r="IB79" s="134"/>
      <c r="IC79" s="134"/>
      <c r="IE79" s="134"/>
      <c r="IF79" s="134"/>
      <c r="IG79" s="134"/>
      <c r="IH79" s="134"/>
      <c r="II79" s="134"/>
      <c r="IJ79" s="134"/>
      <c r="IK79" s="134"/>
      <c r="IL79" s="134"/>
      <c r="IM79" s="134"/>
      <c r="IN79" s="135"/>
      <c r="IO79" s="135"/>
      <c r="IP79" s="135"/>
      <c r="XEP79" s="7" t="str">
        <f t="shared" si="4"/>
        <v/>
      </c>
      <c r="XEQ79" s="7" t="str">
        <f t="shared" si="5"/>
        <v/>
      </c>
      <c r="XER79" s="7" t="str">
        <f t="shared" si="6"/>
        <v/>
      </c>
      <c r="XES79" s="7" t="str">
        <f t="shared" si="7"/>
        <v/>
      </c>
    </row>
    <row r="80" spans="1:250 16370:16373" ht="23.25" customHeight="1" x14ac:dyDescent="0.25">
      <c r="A80" s="74">
        <f>IF($I80&gt;0,VLOOKUP(I80,'Lista de Precios'!$A$3:$L$2883,9,0),0)</f>
        <v>0</v>
      </c>
      <c r="B80" s="74">
        <f>IF($I80&gt;0,VLOOKUP(I80,'Lista de Precios'!$A$3:$H$2883,7,0),0)</f>
        <v>0</v>
      </c>
      <c r="C80" s="7" t="str">
        <f>IF($I80&gt;0,VLOOKUP(I80,'Lista de Precios'!$A$3:$H$2883,2,0),"")</f>
        <v/>
      </c>
      <c r="D80" s="7" t="str">
        <f>IF($I80&gt;0,VLOOKUP(I80,'Lista de Precios'!$A$3:$H$2883,3,0),"")</f>
        <v/>
      </c>
      <c r="E80" s="76" t="str">
        <f>IF($I80&gt;0,VLOOKUP(I80,'Lista de Precios'!$A$3:$H$2883,6,0),"")</f>
        <v/>
      </c>
      <c r="F80" s="76" t="str">
        <f>IF($I80&gt;0,VLOOKUP(I80,'Lista de Precios'!$A$3:$H$2883,8,0),"")</f>
        <v/>
      </c>
      <c r="G80" s="101" t="str">
        <f t="shared" ref="G80:G101" si="13">IF(AN80="","",AN80*1.87)</f>
        <v/>
      </c>
      <c r="H80" s="20" t="s">
        <v>3</v>
      </c>
      <c r="I80" s="18"/>
      <c r="J80" s="28" t="str">
        <f t="shared" si="8"/>
        <v/>
      </c>
      <c r="K80" s="24">
        <f>+IF($I80&gt;0,VLOOKUP($I80,'Lista de Precios'!$A$3:$H$2883,5,0),0)</f>
        <v>0</v>
      </c>
      <c r="L80" s="43"/>
      <c r="M80" s="43"/>
      <c r="N80" s="43"/>
      <c r="O80" s="43"/>
      <c r="P80" s="44"/>
      <c r="Q80" s="45"/>
      <c r="R80" s="43"/>
      <c r="S80" s="43"/>
      <c r="T80" s="43"/>
      <c r="U80" s="43"/>
      <c r="V80" s="43"/>
      <c r="W80" s="43"/>
      <c r="X80" s="43"/>
      <c r="Y80" s="37"/>
      <c r="Z80" s="40"/>
      <c r="AA80" s="41"/>
      <c r="AB80" s="37"/>
      <c r="AC80" s="43"/>
      <c r="AD80" s="43"/>
      <c r="AE80" s="43"/>
      <c r="AF80" s="43"/>
      <c r="AG80" s="43"/>
      <c r="AH80" s="42"/>
      <c r="AI80" s="42"/>
      <c r="AJ80" s="42"/>
      <c r="AK80" s="42"/>
      <c r="AL80" s="43"/>
      <c r="AM80" s="73">
        <f t="shared" si="12"/>
        <v>0</v>
      </c>
      <c r="AN80" s="71" t="str">
        <f>+IF($I80&gt;0,VLOOKUP($I80,'Lista de Precios'!$A$3:$H$2883,4,0),"")</f>
        <v/>
      </c>
      <c r="AO80" s="68" t="str">
        <f t="shared" ref="AO80:AO101" si="14">+IF(AM80&gt;0,AN80*AM80,"")</f>
        <v/>
      </c>
      <c r="AP80" s="7" t="str">
        <f>IF($I80&gt;0,VLOOKUP($I80,'Lista de Precios'!$A$3:$K$2883,10,0),"")</f>
        <v/>
      </c>
      <c r="AQ80" s="7" t="str">
        <f>IF($I80&gt;0,VLOOKUP($I80,'Lista de Precios'!$A$3:$M$4893,13,0),"")</f>
        <v/>
      </c>
      <c r="AR80" s="7" t="str">
        <f>IF($I80&gt;0,VLOOKUP(I80,'Lista de Precios'!$A$3:$M$2883,13,0),"")</f>
        <v/>
      </c>
      <c r="HR80" s="134"/>
      <c r="HS80" s="134"/>
      <c r="HT80" s="134"/>
      <c r="HU80" s="134"/>
      <c r="HV80" s="134"/>
      <c r="HW80" s="134"/>
      <c r="HX80" s="134"/>
      <c r="HY80" s="134"/>
      <c r="HZ80" s="134"/>
      <c r="IA80" s="134"/>
      <c r="IB80" s="134"/>
      <c r="IC80" s="134"/>
      <c r="IE80" s="134"/>
      <c r="IF80" s="134"/>
      <c r="IG80" s="134"/>
      <c r="IH80" s="134"/>
      <c r="II80" s="134"/>
      <c r="IJ80" s="134"/>
      <c r="IK80" s="134"/>
      <c r="IL80" s="134"/>
      <c r="IM80" s="134"/>
      <c r="IN80" s="135"/>
      <c r="IO80" s="135"/>
      <c r="IP80" s="135"/>
      <c r="XEP80" s="7" t="str">
        <f t="shared" ref="XEP80:XEP94" si="15">+IF($AQ80=$XEP$13,$AM80,"")</f>
        <v/>
      </c>
      <c r="XEQ80" s="7" t="str">
        <f t="shared" ref="XEQ80:XEQ94" si="16">+IF($AQ80=$XEQ$13,$AM80,"")</f>
        <v/>
      </c>
      <c r="XER80" s="7" t="str">
        <f t="shared" ref="XER80:XER94" si="17">+IF($AQ80=$XER$13,$AM80,"")</f>
        <v/>
      </c>
      <c r="XES80" s="7" t="str">
        <f t="shared" ref="XES80:XES94" si="18">+IF($AQ80=$XES$13,$AM80,"")</f>
        <v/>
      </c>
    </row>
    <row r="81" spans="1:250 16370:16373" ht="23.25" customHeight="1" x14ac:dyDescent="0.25">
      <c r="A81" s="74">
        <f>IF($I81&gt;0,VLOOKUP(I81,'Lista de Precios'!$A$3:$L$2883,9,0),0)</f>
        <v>0</v>
      </c>
      <c r="B81" s="74">
        <f>IF($I81&gt;0,VLOOKUP(I81,'Lista de Precios'!$A$3:$H$2883,7,0),0)</f>
        <v>0</v>
      </c>
      <c r="C81" s="7" t="str">
        <f>IF($I81&gt;0,VLOOKUP(I81,'Lista de Precios'!$A$3:$H$2883,2,0),"")</f>
        <v/>
      </c>
      <c r="D81" s="7" t="str">
        <f>IF($I81&gt;0,VLOOKUP(I81,'Lista de Precios'!$A$3:$H$2883,3,0),"")</f>
        <v/>
      </c>
      <c r="E81" s="76" t="str">
        <f>IF($I81&gt;0,VLOOKUP(I81,'Lista de Precios'!$A$3:$H$2883,6,0),"")</f>
        <v/>
      </c>
      <c r="F81" s="76" t="str">
        <f>IF($I81&gt;0,VLOOKUP(I81,'Lista de Precios'!$A$3:$H$2883,8,0),"")</f>
        <v/>
      </c>
      <c r="G81" s="101" t="str">
        <f t="shared" si="13"/>
        <v/>
      </c>
      <c r="H81" s="20" t="s">
        <v>3</v>
      </c>
      <c r="I81" s="18"/>
      <c r="J81" s="28" t="str">
        <f t="shared" ref="J81:J101" si="19">+E81</f>
        <v/>
      </c>
      <c r="K81" s="24">
        <f>+IF($I81&gt;0,VLOOKUP($I81,'Lista de Precios'!$A$3:$H$2883,5,0),0)</f>
        <v>0</v>
      </c>
      <c r="L81" s="43"/>
      <c r="M81" s="43"/>
      <c r="N81" s="43"/>
      <c r="O81" s="37"/>
      <c r="P81" s="44"/>
      <c r="Q81" s="39"/>
      <c r="R81" s="37"/>
      <c r="S81" s="37"/>
      <c r="T81" s="37"/>
      <c r="U81" s="37"/>
      <c r="V81" s="37"/>
      <c r="W81" s="37"/>
      <c r="X81" s="37"/>
      <c r="Y81" s="37"/>
      <c r="Z81" s="40"/>
      <c r="AA81" s="41"/>
      <c r="AB81" s="37"/>
      <c r="AC81" s="43"/>
      <c r="AD81" s="43"/>
      <c r="AE81" s="43"/>
      <c r="AF81" s="43"/>
      <c r="AG81" s="43"/>
      <c r="AH81" s="42"/>
      <c r="AI81" s="42"/>
      <c r="AJ81" s="42"/>
      <c r="AK81" s="42"/>
      <c r="AL81" s="43"/>
      <c r="AM81" s="73">
        <f t="shared" si="12"/>
        <v>0</v>
      </c>
      <c r="AN81" s="71" t="str">
        <f>+IF($I81&gt;0,VLOOKUP($I81,'Lista de Precios'!$A$3:$H$2883,4,0),"")</f>
        <v/>
      </c>
      <c r="AO81" s="68" t="str">
        <f t="shared" si="14"/>
        <v/>
      </c>
      <c r="AP81" s="7" t="str">
        <f>IF($I81&gt;0,VLOOKUP($I81,'Lista de Precios'!$A$3:$K$2883,10,0),"")</f>
        <v/>
      </c>
      <c r="AQ81" s="7" t="str">
        <f>IF($I81&gt;0,VLOOKUP($I81,'Lista de Precios'!$A$3:$M$4893,13,0),"")</f>
        <v/>
      </c>
      <c r="AR81" s="7" t="str">
        <f>IF($I81&gt;0,VLOOKUP(I81,'Lista de Precios'!$A$3:$M$2883,13,0),"")</f>
        <v/>
      </c>
      <c r="HR81" s="134"/>
      <c r="HS81" s="134"/>
      <c r="HT81" s="134"/>
      <c r="HU81" s="134"/>
      <c r="HV81" s="134"/>
      <c r="HW81" s="134"/>
      <c r="HX81" s="134"/>
      <c r="HY81" s="134"/>
      <c r="HZ81" s="134"/>
      <c r="IA81" s="134"/>
      <c r="IB81" s="134"/>
      <c r="IC81" s="134"/>
      <c r="IE81" s="134"/>
      <c r="IF81" s="134"/>
      <c r="IG81" s="134"/>
      <c r="IH81" s="134"/>
      <c r="II81" s="134"/>
      <c r="IJ81" s="134"/>
      <c r="IK81" s="134"/>
      <c r="IL81" s="134"/>
      <c r="IM81" s="134"/>
      <c r="IN81" s="135"/>
      <c r="IO81" s="135"/>
      <c r="IP81" s="135"/>
      <c r="XEP81" s="7" t="str">
        <f t="shared" si="15"/>
        <v/>
      </c>
      <c r="XEQ81" s="7" t="str">
        <f t="shared" si="16"/>
        <v/>
      </c>
      <c r="XER81" s="7" t="str">
        <f t="shared" si="17"/>
        <v/>
      </c>
      <c r="XES81" s="7" t="str">
        <f t="shared" si="18"/>
        <v/>
      </c>
    </row>
    <row r="82" spans="1:250 16370:16373" ht="23.25" customHeight="1" x14ac:dyDescent="0.25">
      <c r="A82" s="74">
        <f>IF($I82&gt;0,VLOOKUP(I82,'Lista de Precios'!$A$3:$L$2883,9,0),0)</f>
        <v>0</v>
      </c>
      <c r="B82" s="74">
        <f>IF($I82&gt;0,VLOOKUP(I82,'Lista de Precios'!$A$3:$H$2883,7,0),0)</f>
        <v>0</v>
      </c>
      <c r="C82" s="7" t="str">
        <f>IF($I82&gt;0,VLOOKUP(I82,'Lista de Precios'!$A$3:$H$2883,2,0),"")</f>
        <v/>
      </c>
      <c r="D82" s="7" t="str">
        <f>IF($I82&gt;0,VLOOKUP(I82,'Lista de Precios'!$A$3:$H$2883,3,0),"")</f>
        <v/>
      </c>
      <c r="E82" s="76" t="str">
        <f>IF($I82&gt;0,VLOOKUP(I82,'Lista de Precios'!$A$3:$H$2883,6,0),"")</f>
        <v/>
      </c>
      <c r="F82" s="76" t="str">
        <f>IF($I82&gt;0,VLOOKUP(I82,'Lista de Precios'!$A$3:$H$2883,8,0),"")</f>
        <v/>
      </c>
      <c r="G82" s="101" t="str">
        <f t="shared" si="13"/>
        <v/>
      </c>
      <c r="H82" s="20" t="s">
        <v>3</v>
      </c>
      <c r="I82" s="18"/>
      <c r="J82" s="28" t="str">
        <f t="shared" si="19"/>
        <v/>
      </c>
      <c r="K82" s="24">
        <f>+IF($I82&gt;0,VLOOKUP($I82,'Lista de Precios'!$A$3:$H$2883,5,0),0)</f>
        <v>0</v>
      </c>
      <c r="L82" s="43"/>
      <c r="M82" s="43"/>
      <c r="N82" s="43"/>
      <c r="O82" s="43"/>
      <c r="P82" s="44"/>
      <c r="Q82" s="45"/>
      <c r="R82" s="43"/>
      <c r="S82" s="43"/>
      <c r="T82" s="43"/>
      <c r="U82" s="43"/>
      <c r="V82" s="43"/>
      <c r="W82" s="43"/>
      <c r="X82" s="43"/>
      <c r="Y82" s="37"/>
      <c r="Z82" s="40"/>
      <c r="AA82" s="41"/>
      <c r="AB82" s="37"/>
      <c r="AC82" s="37"/>
      <c r="AD82" s="37"/>
      <c r="AE82" s="37"/>
      <c r="AF82" s="37"/>
      <c r="AG82" s="43"/>
      <c r="AH82" s="42"/>
      <c r="AI82" s="42"/>
      <c r="AJ82" s="49"/>
      <c r="AK82" s="49"/>
      <c r="AL82" s="49"/>
      <c r="AM82" s="73">
        <f t="shared" si="12"/>
        <v>0</v>
      </c>
      <c r="AN82" s="71" t="str">
        <f>+IF($I82&gt;0,VLOOKUP($I82,'Lista de Precios'!$A$3:$H$2883,4,0),"")</f>
        <v/>
      </c>
      <c r="AO82" s="68" t="str">
        <f t="shared" si="14"/>
        <v/>
      </c>
      <c r="AP82" s="7" t="str">
        <f>IF($I82&gt;0,VLOOKUP($I82,'Lista de Precios'!$A$3:$K$2883,10,0),"")</f>
        <v/>
      </c>
      <c r="AQ82" s="7" t="str">
        <f>IF($I82&gt;0,VLOOKUP($I82,'Lista de Precios'!$A$3:$M$4893,13,0),"")</f>
        <v/>
      </c>
      <c r="AR82" s="7" t="str">
        <f>IF($I82&gt;0,VLOOKUP(I82,'Lista de Precios'!$A$3:$M$2883,13,0),"")</f>
        <v/>
      </c>
      <c r="HR82" s="134"/>
      <c r="HS82" s="134"/>
      <c r="HT82" s="134"/>
      <c r="HU82" s="134"/>
      <c r="HV82" s="134"/>
      <c r="HW82" s="134"/>
      <c r="HX82" s="134"/>
      <c r="HY82" s="134"/>
      <c r="HZ82" s="134"/>
      <c r="IA82" s="134"/>
      <c r="IB82" s="134"/>
      <c r="IC82" s="134"/>
      <c r="IE82" s="134"/>
      <c r="IF82" s="134"/>
      <c r="IG82" s="134"/>
      <c r="IH82" s="134"/>
      <c r="II82" s="134"/>
      <c r="IJ82" s="134"/>
      <c r="IK82" s="134"/>
      <c r="IL82" s="134"/>
      <c r="IM82" s="134"/>
      <c r="IN82" s="135"/>
      <c r="IO82" s="135"/>
      <c r="IP82" s="135"/>
      <c r="XEP82" s="7" t="str">
        <f t="shared" si="15"/>
        <v/>
      </c>
      <c r="XEQ82" s="7" t="str">
        <f t="shared" si="16"/>
        <v/>
      </c>
      <c r="XER82" s="7" t="str">
        <f t="shared" si="17"/>
        <v/>
      </c>
      <c r="XES82" s="7" t="str">
        <f t="shared" si="18"/>
        <v/>
      </c>
    </row>
    <row r="83" spans="1:250 16370:16373" ht="23.25" customHeight="1" x14ac:dyDescent="0.25">
      <c r="A83" s="74">
        <f>IF($I83&gt;0,VLOOKUP(I83,'Lista de Precios'!$A$3:$L$2883,9,0),0)</f>
        <v>0</v>
      </c>
      <c r="B83" s="74">
        <f>IF($I83&gt;0,VLOOKUP(I83,'Lista de Precios'!$A$3:$H$2883,7,0),0)</f>
        <v>0</v>
      </c>
      <c r="C83" s="7" t="str">
        <f>IF($I83&gt;0,VLOOKUP(I83,'Lista de Precios'!$A$3:$H$2883,2,0),"")</f>
        <v/>
      </c>
      <c r="D83" s="7" t="str">
        <f>IF($I83&gt;0,VLOOKUP(I83,'Lista de Precios'!$A$3:$H$2883,3,0),"")</f>
        <v/>
      </c>
      <c r="E83" s="76" t="str">
        <f>IF($I83&gt;0,VLOOKUP(I83,'Lista de Precios'!$A$3:$H$2883,6,0),"")</f>
        <v/>
      </c>
      <c r="F83" s="76" t="str">
        <f>IF($I83&gt;0,VLOOKUP(I83,'Lista de Precios'!$A$3:$H$2883,8,0),"")</f>
        <v/>
      </c>
      <c r="G83" s="101" t="str">
        <f t="shared" si="13"/>
        <v/>
      </c>
      <c r="H83" s="20" t="s">
        <v>3</v>
      </c>
      <c r="I83" s="18"/>
      <c r="J83" s="28" t="str">
        <f t="shared" si="19"/>
        <v/>
      </c>
      <c r="K83" s="24">
        <f>+IF($I83&gt;0,VLOOKUP($I83,'Lista de Precios'!$A$3:$H$2883,5,0),0)</f>
        <v>0</v>
      </c>
      <c r="L83" s="48"/>
      <c r="M83" s="48"/>
      <c r="N83" s="48"/>
      <c r="O83" s="48"/>
      <c r="P83" s="47"/>
      <c r="Q83" s="50"/>
      <c r="R83" s="43"/>
      <c r="S83" s="43"/>
      <c r="T83" s="43"/>
      <c r="U83" s="43"/>
      <c r="V83" s="43"/>
      <c r="W83" s="43"/>
      <c r="X83" s="43"/>
      <c r="Y83" s="37"/>
      <c r="Z83" s="40"/>
      <c r="AA83" s="41"/>
      <c r="AB83" s="37"/>
      <c r="AC83" s="37"/>
      <c r="AD83" s="37"/>
      <c r="AE83" s="37"/>
      <c r="AF83" s="37"/>
      <c r="AG83" s="43"/>
      <c r="AH83" s="42"/>
      <c r="AI83" s="42"/>
      <c r="AJ83" s="49"/>
      <c r="AK83" s="49"/>
      <c r="AL83" s="48"/>
      <c r="AM83" s="73">
        <f t="shared" si="12"/>
        <v>0</v>
      </c>
      <c r="AN83" s="71" t="str">
        <f>+IF($I83&gt;0,VLOOKUP($I83,'Lista de Precios'!$A$3:$H$2883,4,0),"")</f>
        <v/>
      </c>
      <c r="AO83" s="68" t="str">
        <f t="shared" si="14"/>
        <v/>
      </c>
      <c r="AP83" s="7" t="str">
        <f>IF($I83&gt;0,VLOOKUP($I83,'Lista de Precios'!$A$3:$K$2883,10,0),"")</f>
        <v/>
      </c>
      <c r="AQ83" s="7" t="str">
        <f>IF($I83&gt;0,VLOOKUP($I83,'Lista de Precios'!$A$3:$M$4893,13,0),"")</f>
        <v/>
      </c>
      <c r="AR83" s="7" t="str">
        <f>IF($I83&gt;0,VLOOKUP(I83,'Lista de Precios'!$A$3:$M$2883,13,0),"")</f>
        <v/>
      </c>
      <c r="HR83" s="134"/>
      <c r="HS83" s="134"/>
      <c r="HT83" s="134"/>
      <c r="HU83" s="134"/>
      <c r="HV83" s="134"/>
      <c r="HW83" s="134"/>
      <c r="HX83" s="134"/>
      <c r="HY83" s="134"/>
      <c r="HZ83" s="134"/>
      <c r="IA83" s="134"/>
      <c r="IB83" s="134"/>
      <c r="IC83" s="134"/>
      <c r="IE83" s="134"/>
      <c r="IF83" s="134"/>
      <c r="IG83" s="134"/>
      <c r="IH83" s="134"/>
      <c r="II83" s="134"/>
      <c r="IJ83" s="134"/>
      <c r="IK83" s="134"/>
      <c r="IL83" s="134"/>
      <c r="IM83" s="134"/>
      <c r="IN83" s="135"/>
      <c r="IO83" s="135"/>
      <c r="IP83" s="135"/>
      <c r="XEP83" s="7" t="str">
        <f t="shared" si="15"/>
        <v/>
      </c>
      <c r="XEQ83" s="7" t="str">
        <f t="shared" si="16"/>
        <v/>
      </c>
      <c r="XER83" s="7" t="str">
        <f t="shared" si="17"/>
        <v/>
      </c>
      <c r="XES83" s="7" t="str">
        <f t="shared" si="18"/>
        <v/>
      </c>
    </row>
    <row r="84" spans="1:250 16370:16373" ht="23.25" customHeight="1" x14ac:dyDescent="0.25">
      <c r="A84" s="74">
        <f>IF($I84&gt;0,VLOOKUP(I84,'Lista de Precios'!$A$3:$L$2883,9,0),0)</f>
        <v>0</v>
      </c>
      <c r="B84" s="74">
        <f>IF($I84&gt;0,VLOOKUP(I84,'Lista de Precios'!$A$3:$H$2883,7,0),0)</f>
        <v>0</v>
      </c>
      <c r="C84" s="7" t="str">
        <f>IF($I84&gt;0,VLOOKUP(I84,'Lista de Precios'!$A$3:$H$2883,2,0),"")</f>
        <v/>
      </c>
      <c r="D84" s="7" t="str">
        <f>IF($I84&gt;0,VLOOKUP(I84,'Lista de Precios'!$A$3:$H$2883,3,0),"")</f>
        <v/>
      </c>
      <c r="E84" s="76" t="str">
        <f>IF($I84&gt;0,VLOOKUP(I84,'Lista de Precios'!$A$3:$H$2883,6,0),"")</f>
        <v/>
      </c>
      <c r="F84" s="76" t="str">
        <f>IF($I84&gt;0,VLOOKUP(I84,'Lista de Precios'!$A$3:$H$2883,8,0),"")</f>
        <v/>
      </c>
      <c r="G84" s="101" t="str">
        <f t="shared" si="13"/>
        <v/>
      </c>
      <c r="H84" s="20" t="s">
        <v>3</v>
      </c>
      <c r="I84" s="18"/>
      <c r="J84" s="28" t="str">
        <f t="shared" si="19"/>
        <v/>
      </c>
      <c r="K84" s="24">
        <f>+IF($I84&gt;0,VLOOKUP($I84,'Lista de Precios'!$A$3:$H$2883,5,0),0)</f>
        <v>0</v>
      </c>
      <c r="L84" s="51"/>
      <c r="M84" s="51"/>
      <c r="N84" s="51"/>
      <c r="O84" s="48"/>
      <c r="P84" s="52"/>
      <c r="Q84" s="50"/>
      <c r="R84" s="43"/>
      <c r="S84" s="43"/>
      <c r="T84" s="43"/>
      <c r="U84" s="43"/>
      <c r="V84" s="43"/>
      <c r="W84" s="43"/>
      <c r="X84" s="43"/>
      <c r="Y84" s="43"/>
      <c r="Z84" s="44"/>
      <c r="AA84" s="53"/>
      <c r="AB84" s="48"/>
      <c r="AC84" s="48"/>
      <c r="AD84" s="48"/>
      <c r="AE84" s="48"/>
      <c r="AF84" s="48"/>
      <c r="AG84" s="54"/>
      <c r="AH84" s="54"/>
      <c r="AI84" s="54"/>
      <c r="AJ84" s="54"/>
      <c r="AK84" s="54"/>
      <c r="AL84" s="54"/>
      <c r="AM84" s="73">
        <f t="shared" si="12"/>
        <v>0</v>
      </c>
      <c r="AN84" s="71" t="str">
        <f>+IF($I84&gt;0,VLOOKUP($I84,'Lista de Precios'!$A$3:$H$2883,4,0),"")</f>
        <v/>
      </c>
      <c r="AO84" s="68" t="str">
        <f t="shared" si="14"/>
        <v/>
      </c>
      <c r="AP84" s="7" t="str">
        <f>IF($I84&gt;0,VLOOKUP($I84,'Lista de Precios'!$A$3:$K$2883,10,0),"")</f>
        <v/>
      </c>
      <c r="AQ84" s="7" t="str">
        <f>IF($I84&gt;0,VLOOKUP($I84,'Lista de Precios'!$A$3:$M$4893,13,0),"")</f>
        <v/>
      </c>
      <c r="AR84" s="7" t="str">
        <f>IF($I84&gt;0,VLOOKUP(I84,'Lista de Precios'!$A$3:$M$2883,13,0),"")</f>
        <v/>
      </c>
      <c r="HR84" s="134"/>
      <c r="HS84" s="134"/>
      <c r="HT84" s="134"/>
      <c r="HU84" s="134"/>
      <c r="HV84" s="134"/>
      <c r="HW84" s="134"/>
      <c r="HX84" s="134"/>
      <c r="HY84" s="134"/>
      <c r="HZ84" s="134"/>
      <c r="IA84" s="134"/>
      <c r="IB84" s="134"/>
      <c r="IC84" s="134"/>
      <c r="IE84" s="134"/>
      <c r="IF84" s="134"/>
      <c r="IG84" s="134"/>
      <c r="IH84" s="134"/>
      <c r="II84" s="134"/>
      <c r="IJ84" s="134"/>
      <c r="IK84" s="134"/>
      <c r="IL84" s="134"/>
      <c r="IM84" s="134"/>
      <c r="IN84" s="135"/>
      <c r="IO84" s="135"/>
      <c r="IP84" s="135"/>
      <c r="XEP84" s="7" t="str">
        <f t="shared" si="15"/>
        <v/>
      </c>
      <c r="XEQ84" s="7" t="str">
        <f t="shared" si="16"/>
        <v/>
      </c>
      <c r="XER84" s="7" t="str">
        <f t="shared" si="17"/>
        <v/>
      </c>
      <c r="XES84" s="7" t="str">
        <f t="shared" si="18"/>
        <v/>
      </c>
    </row>
    <row r="85" spans="1:250 16370:16373" ht="23.25" customHeight="1" x14ac:dyDescent="0.25">
      <c r="A85" s="74">
        <f>IF($I85&gt;0,VLOOKUP(I85,'Lista de Precios'!$A$3:$L$2883,9,0),0)</f>
        <v>0</v>
      </c>
      <c r="B85" s="74">
        <f>IF($I85&gt;0,VLOOKUP(I85,'Lista de Precios'!$A$3:$H$2883,7,0),0)</f>
        <v>0</v>
      </c>
      <c r="C85" s="7" t="str">
        <f>IF($I85&gt;0,VLOOKUP(I85,'Lista de Precios'!$A$3:$H$2883,2,0),"")</f>
        <v/>
      </c>
      <c r="D85" s="7" t="str">
        <f>IF($I85&gt;0,VLOOKUP(I85,'Lista de Precios'!$A$3:$H$2883,3,0),"")</f>
        <v/>
      </c>
      <c r="E85" s="76" t="str">
        <f>IF($I85&gt;0,VLOOKUP(I85,'Lista de Precios'!$A$3:$H$2883,6,0),"")</f>
        <v/>
      </c>
      <c r="F85" s="76" t="str">
        <f>IF($I85&gt;0,VLOOKUP(I85,'Lista de Precios'!$A$3:$H$2883,8,0),"")</f>
        <v/>
      </c>
      <c r="G85" s="101" t="str">
        <f t="shared" si="13"/>
        <v/>
      </c>
      <c r="H85" s="20" t="s">
        <v>3</v>
      </c>
      <c r="I85" s="18"/>
      <c r="J85" s="28" t="str">
        <f t="shared" si="19"/>
        <v/>
      </c>
      <c r="K85" s="24">
        <f>+IF($I85&gt;0,VLOOKUP($I85,'Lista de Precios'!$A$3:$H$2883,5,0),0)</f>
        <v>0</v>
      </c>
      <c r="L85" s="54"/>
      <c r="M85" s="54"/>
      <c r="N85" s="54"/>
      <c r="O85" s="48"/>
      <c r="P85" s="55"/>
      <c r="Q85" s="50"/>
      <c r="R85" s="43"/>
      <c r="S85" s="43"/>
      <c r="T85" s="43"/>
      <c r="U85" s="43"/>
      <c r="V85" s="43"/>
      <c r="W85" s="43"/>
      <c r="X85" s="43"/>
      <c r="Y85" s="43"/>
      <c r="Z85" s="44"/>
      <c r="AA85" s="53"/>
      <c r="AB85" s="48"/>
      <c r="AC85" s="48"/>
      <c r="AD85" s="48"/>
      <c r="AE85" s="48"/>
      <c r="AF85" s="48"/>
      <c r="AG85" s="54"/>
      <c r="AH85" s="54"/>
      <c r="AI85" s="54"/>
      <c r="AJ85" s="54"/>
      <c r="AK85" s="54"/>
      <c r="AL85" s="54"/>
      <c r="AM85" s="73">
        <f t="shared" si="12"/>
        <v>0</v>
      </c>
      <c r="AN85" s="71" t="str">
        <f>+IF($I85&gt;0,VLOOKUP($I85,'Lista de Precios'!$A$3:$H$2883,4,0),"")</f>
        <v/>
      </c>
      <c r="AO85" s="68" t="str">
        <f t="shared" si="14"/>
        <v/>
      </c>
      <c r="AP85" s="7" t="str">
        <f>IF($I85&gt;0,VLOOKUP($I85,'Lista de Precios'!$A$3:$K$2883,10,0),"")</f>
        <v/>
      </c>
      <c r="AQ85" s="7" t="str">
        <f>IF($I85&gt;0,VLOOKUP($I85,'Lista de Precios'!$A$3:$M$4893,13,0),"")</f>
        <v/>
      </c>
      <c r="AR85" s="7" t="str">
        <f>IF($I85&gt;0,VLOOKUP(I85,'Lista de Precios'!$A$3:$M$2883,13,0),"")</f>
        <v/>
      </c>
      <c r="HR85" s="134"/>
      <c r="HS85" s="134"/>
      <c r="HT85" s="134"/>
      <c r="HU85" s="134"/>
      <c r="HV85" s="134"/>
      <c r="HW85" s="134"/>
      <c r="HX85" s="134"/>
      <c r="HY85" s="134"/>
      <c r="HZ85" s="134"/>
      <c r="IA85" s="134"/>
      <c r="IB85" s="134"/>
      <c r="IC85" s="134"/>
      <c r="IE85" s="134"/>
      <c r="IF85" s="134"/>
      <c r="IG85" s="134"/>
      <c r="IH85" s="134"/>
      <c r="II85" s="134"/>
      <c r="IJ85" s="134"/>
      <c r="IK85" s="134"/>
      <c r="IL85" s="134"/>
      <c r="IM85" s="134"/>
      <c r="IN85" s="135"/>
      <c r="IO85" s="135"/>
      <c r="IP85" s="135"/>
      <c r="XEP85" s="7" t="str">
        <f t="shared" si="15"/>
        <v/>
      </c>
      <c r="XEQ85" s="7" t="str">
        <f t="shared" si="16"/>
        <v/>
      </c>
      <c r="XER85" s="7" t="str">
        <f t="shared" si="17"/>
        <v/>
      </c>
      <c r="XES85" s="7" t="str">
        <f t="shared" si="18"/>
        <v/>
      </c>
    </row>
    <row r="86" spans="1:250 16370:16373" ht="23.25" customHeight="1" x14ac:dyDescent="0.25">
      <c r="A86" s="74">
        <f>IF($I86&gt;0,VLOOKUP(I86,'Lista de Precios'!$A$3:$L$2883,9,0),0)</f>
        <v>0</v>
      </c>
      <c r="B86" s="74">
        <f>IF($I86&gt;0,VLOOKUP(I86,'Lista de Precios'!$A$3:$H$2883,7,0),0)</f>
        <v>0</v>
      </c>
      <c r="C86" s="7" t="str">
        <f>IF($I86&gt;0,VLOOKUP(I86,'Lista de Precios'!$A$3:$H$2883,2,0),"")</f>
        <v/>
      </c>
      <c r="D86" s="7" t="str">
        <f>IF($I86&gt;0,VLOOKUP(I86,'Lista de Precios'!$A$3:$H$2883,3,0),"")</f>
        <v/>
      </c>
      <c r="E86" s="76" t="str">
        <f>IF($I86&gt;0,VLOOKUP(I86,'Lista de Precios'!$A$3:$H$2883,6,0),"")</f>
        <v/>
      </c>
      <c r="F86" s="76" t="str">
        <f>IF($I86&gt;0,VLOOKUP(I86,'Lista de Precios'!$A$3:$H$2883,8,0),"")</f>
        <v/>
      </c>
      <c r="G86" s="101" t="str">
        <f t="shared" si="13"/>
        <v/>
      </c>
      <c r="H86" s="20" t="s">
        <v>3</v>
      </c>
      <c r="I86" s="18"/>
      <c r="J86" s="28" t="str">
        <f t="shared" si="19"/>
        <v/>
      </c>
      <c r="K86" s="24">
        <f>+IF($I86&gt;0,VLOOKUP($I86,'Lista de Precios'!$A$3:$H$2883,5,0),0)</f>
        <v>0</v>
      </c>
      <c r="L86" s="43"/>
      <c r="M86" s="43"/>
      <c r="N86" s="43"/>
      <c r="O86" s="48"/>
      <c r="P86" s="44"/>
      <c r="Q86" s="50"/>
      <c r="R86" s="43"/>
      <c r="S86" s="43"/>
      <c r="T86" s="43"/>
      <c r="U86" s="43"/>
      <c r="V86" s="43"/>
      <c r="W86" s="43"/>
      <c r="X86" s="43"/>
      <c r="Y86" s="43"/>
      <c r="Z86" s="44"/>
      <c r="AA86" s="53"/>
      <c r="AB86" s="48"/>
      <c r="AC86" s="48"/>
      <c r="AD86" s="48"/>
      <c r="AE86" s="49"/>
      <c r="AF86" s="48"/>
      <c r="AG86" s="43"/>
      <c r="AH86" s="42"/>
      <c r="AI86" s="42"/>
      <c r="AJ86" s="42"/>
      <c r="AK86" s="42"/>
      <c r="AL86" s="42"/>
      <c r="AM86" s="73">
        <f t="shared" si="12"/>
        <v>0</v>
      </c>
      <c r="AN86" s="71" t="str">
        <f>+IF($I86&gt;0,VLOOKUP($I86,'Lista de Precios'!$A$3:$H$2883,4,0),"")</f>
        <v/>
      </c>
      <c r="AO86" s="68" t="str">
        <f t="shared" si="14"/>
        <v/>
      </c>
      <c r="AP86" s="7" t="str">
        <f>IF($I86&gt;0,VLOOKUP($I86,'Lista de Precios'!$A$3:$K$2883,10,0),"")</f>
        <v/>
      </c>
      <c r="AQ86" s="7" t="str">
        <f>IF($I86&gt;0,VLOOKUP($I86,'Lista de Precios'!$A$3:$M$4893,13,0),"")</f>
        <v/>
      </c>
      <c r="AR86" s="7" t="str">
        <f>IF($I86&gt;0,VLOOKUP(I86,'Lista de Precios'!$A$3:$M$2883,13,0),"")</f>
        <v/>
      </c>
      <c r="HR86" s="134"/>
      <c r="HS86" s="134"/>
      <c r="HT86" s="134"/>
      <c r="HU86" s="134"/>
      <c r="HV86" s="134"/>
      <c r="HW86" s="134"/>
      <c r="HX86" s="134"/>
      <c r="HY86" s="134"/>
      <c r="HZ86" s="134"/>
      <c r="IA86" s="134"/>
      <c r="IB86" s="134"/>
      <c r="IC86" s="134"/>
      <c r="IE86" s="134"/>
      <c r="IF86" s="134"/>
      <c r="IG86" s="134"/>
      <c r="IH86" s="134"/>
      <c r="II86" s="134"/>
      <c r="IJ86" s="134"/>
      <c r="IK86" s="134"/>
      <c r="IL86" s="134"/>
      <c r="IM86" s="134"/>
      <c r="IN86" s="135"/>
      <c r="IO86" s="135"/>
      <c r="IP86" s="135"/>
      <c r="XEP86" s="7" t="str">
        <f t="shared" si="15"/>
        <v/>
      </c>
      <c r="XEQ86" s="7" t="str">
        <f t="shared" si="16"/>
        <v/>
      </c>
      <c r="XER86" s="7" t="str">
        <f t="shared" si="17"/>
        <v/>
      </c>
      <c r="XES86" s="7" t="str">
        <f t="shared" si="18"/>
        <v/>
      </c>
    </row>
    <row r="87" spans="1:250 16370:16373" ht="23.25" customHeight="1" x14ac:dyDescent="0.25">
      <c r="A87" s="74">
        <f>IF($I87&gt;0,VLOOKUP(I87,'Lista de Precios'!$A$3:$L$2883,9,0),0)</f>
        <v>0</v>
      </c>
      <c r="B87" s="74">
        <f>IF($I87&gt;0,VLOOKUP(I87,'Lista de Precios'!$A$3:$H$2883,7,0),0)</f>
        <v>0</v>
      </c>
      <c r="C87" s="7" t="str">
        <f>IF($I87&gt;0,VLOOKUP(I87,'Lista de Precios'!$A$3:$H$2883,2,0),"")</f>
        <v/>
      </c>
      <c r="D87" s="7" t="str">
        <f>IF($I87&gt;0,VLOOKUP(I87,'Lista de Precios'!$A$3:$H$2883,3,0),"")</f>
        <v/>
      </c>
      <c r="E87" s="76" t="str">
        <f>IF($I87&gt;0,VLOOKUP(I87,'Lista de Precios'!$A$3:$H$2883,6,0),"")</f>
        <v/>
      </c>
      <c r="F87" s="76" t="str">
        <f>IF($I87&gt;0,VLOOKUP(I87,'Lista de Precios'!$A$3:$H$2883,8,0),"")</f>
        <v/>
      </c>
      <c r="G87" s="101" t="str">
        <f t="shared" si="13"/>
        <v/>
      </c>
      <c r="H87" s="20" t="s">
        <v>3</v>
      </c>
      <c r="I87" s="18"/>
      <c r="J87" s="28" t="str">
        <f t="shared" si="19"/>
        <v/>
      </c>
      <c r="K87" s="24">
        <f>+IF($I87&gt;0,VLOOKUP($I87,'Lista de Precios'!$A$3:$H$2883,5,0),0)</f>
        <v>0</v>
      </c>
      <c r="L87" s="54"/>
      <c r="M87" s="54"/>
      <c r="N87" s="54"/>
      <c r="O87" s="43"/>
      <c r="P87" s="55"/>
      <c r="Q87" s="45"/>
      <c r="R87" s="43"/>
      <c r="S87" s="43"/>
      <c r="T87" s="43"/>
      <c r="U87" s="43"/>
      <c r="V87" s="43"/>
      <c r="W87" s="43"/>
      <c r="X87" s="43"/>
      <c r="Y87" s="43"/>
      <c r="Z87" s="44"/>
      <c r="AA87" s="56"/>
      <c r="AB87" s="43"/>
      <c r="AC87" s="43"/>
      <c r="AD87" s="43"/>
      <c r="AE87" s="43"/>
      <c r="AF87" s="43"/>
      <c r="AG87" s="54"/>
      <c r="AH87" s="54"/>
      <c r="AI87" s="54"/>
      <c r="AJ87" s="54"/>
      <c r="AK87" s="54"/>
      <c r="AL87" s="54"/>
      <c r="AM87" s="73">
        <f t="shared" si="12"/>
        <v>0</v>
      </c>
      <c r="AN87" s="71" t="str">
        <f>+IF($I87&gt;0,VLOOKUP($I87,'Lista de Precios'!$A$3:$H$2883,4,0),"")</f>
        <v/>
      </c>
      <c r="AO87" s="68" t="str">
        <f t="shared" si="14"/>
        <v/>
      </c>
      <c r="AP87" s="7" t="str">
        <f>IF($I87&gt;0,VLOOKUP($I87,'Lista de Precios'!$A$3:$K$2883,10,0),"")</f>
        <v/>
      </c>
      <c r="AQ87" s="7" t="str">
        <f>IF($I87&gt;0,VLOOKUP($I87,'Lista de Precios'!$A$3:$M$4893,13,0),"")</f>
        <v/>
      </c>
      <c r="AR87" s="7" t="str">
        <f>IF($I87&gt;0,VLOOKUP(I87,'Lista de Precios'!$A$3:$M$2883,13,0),"")</f>
        <v/>
      </c>
      <c r="HR87" s="134"/>
      <c r="HS87" s="134"/>
      <c r="HT87" s="134"/>
      <c r="HU87" s="134"/>
      <c r="HV87" s="134"/>
      <c r="HW87" s="134"/>
      <c r="HX87" s="134"/>
      <c r="HY87" s="134"/>
      <c r="HZ87" s="134"/>
      <c r="IA87" s="134"/>
      <c r="IB87" s="134"/>
      <c r="IC87" s="134"/>
      <c r="IE87" s="134"/>
      <c r="IF87" s="134"/>
      <c r="IG87" s="134"/>
      <c r="IH87" s="134"/>
      <c r="II87" s="134"/>
      <c r="IJ87" s="134"/>
      <c r="IK87" s="134"/>
      <c r="IL87" s="134"/>
      <c r="IM87" s="134"/>
      <c r="IN87" s="135"/>
      <c r="IO87" s="135"/>
      <c r="IP87" s="135"/>
      <c r="XEP87" s="7" t="str">
        <f t="shared" si="15"/>
        <v/>
      </c>
      <c r="XEQ87" s="7" t="str">
        <f t="shared" si="16"/>
        <v/>
      </c>
      <c r="XER87" s="7" t="str">
        <f t="shared" si="17"/>
        <v/>
      </c>
      <c r="XES87" s="7" t="str">
        <f t="shared" si="18"/>
        <v/>
      </c>
    </row>
    <row r="88" spans="1:250 16370:16373" ht="23.25" customHeight="1" x14ac:dyDescent="0.25">
      <c r="A88" s="74">
        <f>IF($I88&gt;0,VLOOKUP(I88,'Lista de Precios'!$A$3:$L$2883,9,0),0)</f>
        <v>0</v>
      </c>
      <c r="B88" s="74">
        <f>IF($I88&gt;0,VLOOKUP(I88,'Lista de Precios'!$A$3:$H$2883,7,0),0)</f>
        <v>0</v>
      </c>
      <c r="C88" s="7" t="str">
        <f>IF($I88&gt;0,VLOOKUP(I88,'Lista de Precios'!$A$3:$H$2883,2,0),"")</f>
        <v/>
      </c>
      <c r="D88" s="7" t="str">
        <f>IF($I88&gt;0,VLOOKUP(I88,'Lista de Precios'!$A$3:$H$2883,3,0),"")</f>
        <v/>
      </c>
      <c r="E88" s="76" t="str">
        <f>IF($I88&gt;0,VLOOKUP(I88,'Lista de Precios'!$A$3:$H$2883,6,0),"")</f>
        <v/>
      </c>
      <c r="F88" s="76" t="str">
        <f>IF($I88&gt;0,VLOOKUP(I88,'Lista de Precios'!$A$3:$H$2883,8,0),"")</f>
        <v/>
      </c>
      <c r="G88" s="101" t="str">
        <f t="shared" si="13"/>
        <v/>
      </c>
      <c r="H88" s="20" t="s">
        <v>3</v>
      </c>
      <c r="I88" s="18"/>
      <c r="J88" s="28" t="str">
        <f t="shared" si="19"/>
        <v/>
      </c>
      <c r="K88" s="24">
        <f>+IF($I88&gt;0,VLOOKUP($I88,'Lista de Precios'!$A$3:$H$2883,5,0),0)</f>
        <v>0</v>
      </c>
      <c r="L88" s="37"/>
      <c r="M88" s="37"/>
      <c r="N88" s="37"/>
      <c r="O88" s="37"/>
      <c r="P88" s="40"/>
      <c r="Q88" s="39"/>
      <c r="R88" s="37"/>
      <c r="S88" s="37"/>
      <c r="T88" s="37"/>
      <c r="U88" s="37"/>
      <c r="V88" s="37"/>
      <c r="W88" s="37"/>
      <c r="X88" s="37"/>
      <c r="Y88" s="37"/>
      <c r="Z88" s="40"/>
      <c r="AA88" s="41"/>
      <c r="AB88" s="37"/>
      <c r="AC88" s="37"/>
      <c r="AD88" s="37"/>
      <c r="AE88" s="37"/>
      <c r="AF88" s="37"/>
      <c r="AG88" s="37"/>
      <c r="AH88" s="36"/>
      <c r="AI88" s="36"/>
      <c r="AJ88" s="36"/>
      <c r="AK88" s="42"/>
      <c r="AL88" s="36"/>
      <c r="AM88" s="73">
        <f t="shared" si="12"/>
        <v>0</v>
      </c>
      <c r="AN88" s="71" t="str">
        <f>+IF($I88&gt;0,VLOOKUP($I88,'Lista de Precios'!$A$3:$H$2883,4,0),"")</f>
        <v/>
      </c>
      <c r="AO88" s="68" t="str">
        <f t="shared" si="14"/>
        <v/>
      </c>
      <c r="AP88" s="7" t="str">
        <f>IF($I88&gt;0,VLOOKUP($I88,'Lista de Precios'!$A$3:$K$2883,10,0),"")</f>
        <v/>
      </c>
      <c r="AQ88" s="7" t="str">
        <f>IF($I88&gt;0,VLOOKUP($I88,'Lista de Precios'!$A$3:$M$4893,13,0),"")</f>
        <v/>
      </c>
      <c r="AR88" s="7" t="str">
        <f>IF($I88&gt;0,VLOOKUP(I88,'Lista de Precios'!$A$3:$M$2883,13,0),"")</f>
        <v/>
      </c>
      <c r="HR88" s="134"/>
      <c r="HS88" s="134"/>
      <c r="HT88" s="134"/>
      <c r="HU88" s="134"/>
      <c r="HV88" s="134"/>
      <c r="HW88" s="134"/>
      <c r="HX88" s="134"/>
      <c r="HY88" s="134"/>
      <c r="HZ88" s="134"/>
      <c r="IA88" s="134"/>
      <c r="IB88" s="134"/>
      <c r="IC88" s="134"/>
      <c r="IE88" s="134"/>
      <c r="IF88" s="134"/>
      <c r="IG88" s="134"/>
      <c r="IH88" s="134"/>
      <c r="II88" s="134"/>
      <c r="IJ88" s="134"/>
      <c r="IK88" s="134"/>
      <c r="IL88" s="134"/>
      <c r="IM88" s="134"/>
      <c r="IN88" s="135"/>
      <c r="IO88" s="135"/>
      <c r="IP88" s="135"/>
      <c r="XEP88" s="7" t="str">
        <f t="shared" si="15"/>
        <v/>
      </c>
      <c r="XEQ88" s="7" t="str">
        <f t="shared" si="16"/>
        <v/>
      </c>
      <c r="XER88" s="7" t="str">
        <f t="shared" si="17"/>
        <v/>
      </c>
      <c r="XES88" s="7" t="str">
        <f t="shared" si="18"/>
        <v/>
      </c>
    </row>
    <row r="89" spans="1:250 16370:16373" ht="23.25" customHeight="1" x14ac:dyDescent="0.25">
      <c r="A89" s="74">
        <f>IF($I89&gt;0,VLOOKUP(I89,'Lista de Precios'!$A$3:$L$2883,9,0),0)</f>
        <v>0</v>
      </c>
      <c r="B89" s="74">
        <f>IF($I89&gt;0,VLOOKUP(I89,'Lista de Precios'!$A$3:$H$2883,7,0),0)</f>
        <v>0</v>
      </c>
      <c r="C89" s="7" t="str">
        <f>IF($I89&gt;0,VLOOKUP(I89,'Lista de Precios'!$A$3:$H$2883,2,0),"")</f>
        <v/>
      </c>
      <c r="D89" s="7" t="str">
        <f>IF($I89&gt;0,VLOOKUP(I89,'Lista de Precios'!$A$3:$H$2883,3,0),"")</f>
        <v/>
      </c>
      <c r="E89" s="76" t="str">
        <f>IF($I89&gt;0,VLOOKUP(I89,'Lista de Precios'!$A$3:$H$2883,6,0),"")</f>
        <v/>
      </c>
      <c r="F89" s="76" t="str">
        <f>IF($I89&gt;0,VLOOKUP(I89,'Lista de Precios'!$A$3:$H$2883,8,0),"")</f>
        <v/>
      </c>
      <c r="G89" s="101" t="str">
        <f t="shared" si="13"/>
        <v/>
      </c>
      <c r="H89" s="20" t="s">
        <v>3</v>
      </c>
      <c r="I89" s="18"/>
      <c r="J89" s="28" t="str">
        <f t="shared" si="19"/>
        <v/>
      </c>
      <c r="K89" s="24">
        <f>+IF($I89&gt;0,VLOOKUP($I89,'Lista de Precios'!$A$3:$H$2883,5,0),0)</f>
        <v>0</v>
      </c>
      <c r="L89" s="37"/>
      <c r="M89" s="37"/>
      <c r="N89" s="37"/>
      <c r="O89" s="37"/>
      <c r="P89" s="40"/>
      <c r="Q89" s="39"/>
      <c r="R89" s="37"/>
      <c r="S89" s="37"/>
      <c r="T89" s="37"/>
      <c r="U89" s="37"/>
      <c r="V89" s="37"/>
      <c r="W89" s="37"/>
      <c r="X89" s="37"/>
      <c r="Y89" s="37"/>
      <c r="Z89" s="40"/>
      <c r="AA89" s="41"/>
      <c r="AB89" s="37"/>
      <c r="AC89" s="37"/>
      <c r="AD89" s="37"/>
      <c r="AE89" s="37"/>
      <c r="AF89" s="37"/>
      <c r="AG89" s="37"/>
      <c r="AH89" s="36"/>
      <c r="AI89" s="36"/>
      <c r="AJ89" s="36"/>
      <c r="AK89" s="42"/>
      <c r="AL89" s="36"/>
      <c r="AM89" s="73">
        <f t="shared" si="12"/>
        <v>0</v>
      </c>
      <c r="AN89" s="71" t="str">
        <f>+IF($I89&gt;0,VLOOKUP($I89,'Lista de Precios'!$A$3:$H$2883,4,0),"")</f>
        <v/>
      </c>
      <c r="AO89" s="68" t="str">
        <f t="shared" si="14"/>
        <v/>
      </c>
      <c r="AP89" s="7" t="str">
        <f>IF($I89&gt;0,VLOOKUP($I89,'Lista de Precios'!$A$3:$K$2883,10,0),"")</f>
        <v/>
      </c>
      <c r="AQ89" s="7" t="str">
        <f>IF($I89&gt;0,VLOOKUP($I89,'Lista de Precios'!$A$3:$M$4893,13,0),"")</f>
        <v/>
      </c>
      <c r="AR89" s="7" t="str">
        <f>IF($I89&gt;0,VLOOKUP(I89,'Lista de Precios'!$A$3:$M$2883,13,0),"")</f>
        <v/>
      </c>
      <c r="HR89" s="134"/>
      <c r="HS89" s="134"/>
      <c r="HT89" s="134"/>
      <c r="HU89" s="134"/>
      <c r="HV89" s="134"/>
      <c r="HW89" s="134"/>
      <c r="HX89" s="134"/>
      <c r="HY89" s="134"/>
      <c r="HZ89" s="134"/>
      <c r="IA89" s="134"/>
      <c r="IB89" s="134"/>
      <c r="IC89" s="134"/>
      <c r="IE89" s="134"/>
      <c r="IF89" s="134"/>
      <c r="IG89" s="134"/>
      <c r="IH89" s="134"/>
      <c r="II89" s="134"/>
      <c r="IJ89" s="134"/>
      <c r="IK89" s="134"/>
      <c r="IL89" s="134"/>
      <c r="IM89" s="134"/>
      <c r="IN89" s="135"/>
      <c r="IO89" s="135"/>
      <c r="IP89" s="135"/>
      <c r="XEP89" s="7" t="str">
        <f t="shared" si="15"/>
        <v/>
      </c>
      <c r="XEQ89" s="7" t="str">
        <f t="shared" si="16"/>
        <v/>
      </c>
      <c r="XER89" s="7" t="str">
        <f t="shared" si="17"/>
        <v/>
      </c>
      <c r="XES89" s="7" t="str">
        <f t="shared" si="18"/>
        <v/>
      </c>
    </row>
    <row r="90" spans="1:250 16370:16373" ht="23.25" customHeight="1" x14ac:dyDescent="0.25">
      <c r="A90" s="74">
        <f>IF($I90&gt;0,VLOOKUP(I90,'Lista de Precios'!$A$3:$L$2883,9,0),0)</f>
        <v>0</v>
      </c>
      <c r="B90" s="74">
        <f>IF($I90&gt;0,VLOOKUP(I90,'Lista de Precios'!$A$3:$H$2883,7,0),0)</f>
        <v>0</v>
      </c>
      <c r="C90" s="7" t="str">
        <f>IF($I90&gt;0,VLOOKUP(I90,'Lista de Precios'!$A$3:$H$2883,2,0),"")</f>
        <v/>
      </c>
      <c r="D90" s="7" t="str">
        <f>IF($I90&gt;0,VLOOKUP(I90,'Lista de Precios'!$A$3:$H$2883,3,0),"")</f>
        <v/>
      </c>
      <c r="E90" s="76" t="str">
        <f>IF($I90&gt;0,VLOOKUP(I90,'Lista de Precios'!$A$3:$H$2883,6,0),"")</f>
        <v/>
      </c>
      <c r="F90" s="76" t="str">
        <f>IF($I90&gt;0,VLOOKUP(I90,'Lista de Precios'!$A$3:$H$2883,8,0),"")</f>
        <v/>
      </c>
      <c r="G90" s="101" t="str">
        <f t="shared" si="13"/>
        <v/>
      </c>
      <c r="H90" s="20" t="s">
        <v>3</v>
      </c>
      <c r="I90" s="18"/>
      <c r="J90" s="28" t="str">
        <f t="shared" si="19"/>
        <v/>
      </c>
      <c r="K90" s="24">
        <f>+IF($I90&gt;0,VLOOKUP($I90,'Lista de Precios'!$A$3:$H$2883,5,0),0)</f>
        <v>0</v>
      </c>
      <c r="L90" s="36"/>
      <c r="M90" s="36"/>
      <c r="N90" s="36"/>
      <c r="O90" s="37"/>
      <c r="P90" s="38"/>
      <c r="Q90" s="39"/>
      <c r="R90" s="37"/>
      <c r="S90" s="37"/>
      <c r="T90" s="37"/>
      <c r="U90" s="37"/>
      <c r="V90" s="37"/>
      <c r="W90" s="37"/>
      <c r="X90" s="37"/>
      <c r="Y90" s="37"/>
      <c r="Z90" s="40"/>
      <c r="AA90" s="41"/>
      <c r="AB90" s="37"/>
      <c r="AC90" s="37"/>
      <c r="AD90" s="37"/>
      <c r="AE90" s="37"/>
      <c r="AF90" s="37"/>
      <c r="AG90" s="37"/>
      <c r="AH90" s="36"/>
      <c r="AI90" s="36"/>
      <c r="AJ90" s="36"/>
      <c r="AK90" s="42"/>
      <c r="AL90" s="42"/>
      <c r="AM90" s="73">
        <f t="shared" si="12"/>
        <v>0</v>
      </c>
      <c r="AN90" s="71" t="str">
        <f>+IF($I90&gt;0,VLOOKUP($I90,'Lista de Precios'!$A$3:$H$2883,4,0),"")</f>
        <v/>
      </c>
      <c r="AO90" s="68" t="str">
        <f t="shared" si="14"/>
        <v/>
      </c>
      <c r="AP90" s="7" t="str">
        <f>IF($I90&gt;0,VLOOKUP($I90,'Lista de Precios'!$A$3:$K$2883,10,0),"")</f>
        <v/>
      </c>
      <c r="AQ90" s="7" t="str">
        <f>IF($I90&gt;0,VLOOKUP($I90,'Lista de Precios'!$A$3:$M$4893,13,0),"")</f>
        <v/>
      </c>
      <c r="AR90" s="7" t="str">
        <f>IF($I90&gt;0,VLOOKUP(I90,'Lista de Precios'!$A$3:$M$2883,13,0),"")</f>
        <v/>
      </c>
      <c r="HR90" s="134"/>
      <c r="HS90" s="134"/>
      <c r="HT90" s="134"/>
      <c r="HU90" s="134"/>
      <c r="HV90" s="134"/>
      <c r="HW90" s="134"/>
      <c r="HX90" s="134"/>
      <c r="HY90" s="134"/>
      <c r="HZ90" s="134"/>
      <c r="IA90" s="134"/>
      <c r="IB90" s="134"/>
      <c r="IC90" s="134"/>
      <c r="IE90" s="134"/>
      <c r="IF90" s="134"/>
      <c r="IG90" s="134"/>
      <c r="IH90" s="134"/>
      <c r="II90" s="134"/>
      <c r="IJ90" s="134"/>
      <c r="IK90" s="134"/>
      <c r="IL90" s="134"/>
      <c r="IM90" s="134"/>
      <c r="IN90" s="135"/>
      <c r="IO90" s="135"/>
      <c r="IP90" s="135"/>
      <c r="XEP90" s="7" t="str">
        <f t="shared" si="15"/>
        <v/>
      </c>
      <c r="XEQ90" s="7" t="str">
        <f t="shared" si="16"/>
        <v/>
      </c>
      <c r="XER90" s="7" t="str">
        <f t="shared" si="17"/>
        <v/>
      </c>
      <c r="XES90" s="7" t="str">
        <f t="shared" si="18"/>
        <v/>
      </c>
    </row>
    <row r="91" spans="1:250 16370:16373" ht="23.25" customHeight="1" x14ac:dyDescent="0.25">
      <c r="A91" s="74">
        <f>IF($I91&gt;0,VLOOKUP(I91,'Lista de Precios'!$A$3:$L$2883,9,0),0)</f>
        <v>0</v>
      </c>
      <c r="B91" s="74">
        <f>IF($I91&gt;0,VLOOKUP(I91,'Lista de Precios'!$A$3:$H$2883,7,0),0)</f>
        <v>0</v>
      </c>
      <c r="C91" s="7" t="str">
        <f>IF($I91&gt;0,VLOOKUP(I91,'Lista de Precios'!$A$3:$H$2883,2,0),"")</f>
        <v/>
      </c>
      <c r="D91" s="7" t="str">
        <f>IF($I91&gt;0,VLOOKUP(I91,'Lista de Precios'!$A$3:$H$2883,3,0),"")</f>
        <v/>
      </c>
      <c r="E91" s="76" t="str">
        <f>IF($I91&gt;0,VLOOKUP(I91,'Lista de Precios'!$A$3:$H$2883,6,0),"")</f>
        <v/>
      </c>
      <c r="F91" s="76" t="str">
        <f>IF($I91&gt;0,VLOOKUP(I91,'Lista de Precios'!$A$3:$H$2883,8,0),"")</f>
        <v/>
      </c>
      <c r="G91" s="101" t="str">
        <f t="shared" si="13"/>
        <v/>
      </c>
      <c r="H91" s="20" t="s">
        <v>3</v>
      </c>
      <c r="I91" s="18"/>
      <c r="J91" s="28" t="str">
        <f t="shared" si="19"/>
        <v/>
      </c>
      <c r="K91" s="24">
        <f>+IF($I91&gt;0,VLOOKUP($I91,'Lista de Precios'!$A$3:$H$2883,5,0),0)</f>
        <v>0</v>
      </c>
      <c r="L91" s="37"/>
      <c r="M91" s="37"/>
      <c r="N91" s="37"/>
      <c r="O91" s="37"/>
      <c r="P91" s="40"/>
      <c r="Q91" s="39"/>
      <c r="R91" s="37"/>
      <c r="S91" s="37"/>
      <c r="T91" s="37"/>
      <c r="U91" s="37"/>
      <c r="V91" s="37"/>
      <c r="W91" s="37"/>
      <c r="X91" s="37"/>
      <c r="Y91" s="37"/>
      <c r="Z91" s="40"/>
      <c r="AA91" s="41"/>
      <c r="AB91" s="37"/>
      <c r="AC91" s="37"/>
      <c r="AD91" s="37"/>
      <c r="AE91" s="37"/>
      <c r="AF91" s="37"/>
      <c r="AG91" s="37"/>
      <c r="AH91" s="36"/>
      <c r="AI91" s="36"/>
      <c r="AJ91" s="36"/>
      <c r="AK91" s="42"/>
      <c r="AL91" s="42"/>
      <c r="AM91" s="73">
        <f t="shared" si="12"/>
        <v>0</v>
      </c>
      <c r="AN91" s="71" t="str">
        <f>+IF($I91&gt;0,VLOOKUP($I91,'Lista de Precios'!$A$3:$H$2883,4,0),"")</f>
        <v/>
      </c>
      <c r="AO91" s="68" t="str">
        <f t="shared" si="14"/>
        <v/>
      </c>
      <c r="AP91" s="7" t="str">
        <f>IF($I91&gt;0,VLOOKUP($I91,'Lista de Precios'!$A$3:$K$2883,10,0),"")</f>
        <v/>
      </c>
      <c r="AQ91" s="7" t="str">
        <f>IF($I91&gt;0,VLOOKUP($I91,'Lista de Precios'!$A$3:$M$4893,13,0),"")</f>
        <v/>
      </c>
      <c r="AR91" s="7" t="str">
        <f>IF($I91&gt;0,VLOOKUP(I91,'Lista de Precios'!$A$3:$M$2883,13,0),"")</f>
        <v/>
      </c>
      <c r="HR91" s="134"/>
      <c r="HS91" s="134"/>
      <c r="HT91" s="134"/>
      <c r="HU91" s="134"/>
      <c r="HV91" s="134"/>
      <c r="HW91" s="134"/>
      <c r="HX91" s="134"/>
      <c r="HY91" s="134"/>
      <c r="HZ91" s="134"/>
      <c r="IA91" s="134"/>
      <c r="IB91" s="134"/>
      <c r="IC91" s="134"/>
      <c r="IE91" s="134"/>
      <c r="IF91" s="134"/>
      <c r="IG91" s="134"/>
      <c r="IH91" s="134"/>
      <c r="II91" s="134"/>
      <c r="IJ91" s="134"/>
      <c r="IK91" s="134"/>
      <c r="IL91" s="134"/>
      <c r="IM91" s="134"/>
      <c r="IN91" s="135"/>
      <c r="IO91" s="135"/>
      <c r="IP91" s="135"/>
      <c r="XEP91" s="7" t="str">
        <f t="shared" si="15"/>
        <v/>
      </c>
      <c r="XEQ91" s="7" t="str">
        <f t="shared" si="16"/>
        <v/>
      </c>
      <c r="XER91" s="7" t="str">
        <f t="shared" si="17"/>
        <v/>
      </c>
      <c r="XES91" s="7" t="str">
        <f t="shared" si="18"/>
        <v/>
      </c>
    </row>
    <row r="92" spans="1:250 16370:16373" ht="23.25" customHeight="1" x14ac:dyDescent="0.25">
      <c r="A92" s="74">
        <f>IF($I92&gt;0,VLOOKUP(I92,'Lista de Precios'!$A$3:$L$2883,9,0),0)</f>
        <v>0</v>
      </c>
      <c r="B92" s="74">
        <f>IF($I92&gt;0,VLOOKUP(I92,'Lista de Precios'!$A$3:$H$2883,7,0),0)</f>
        <v>0</v>
      </c>
      <c r="C92" s="7" t="str">
        <f>IF($I92&gt;0,VLOOKUP(I92,'Lista de Precios'!$A$3:$H$2883,2,0),"")</f>
        <v/>
      </c>
      <c r="D92" s="7" t="str">
        <f>IF($I92&gt;0,VLOOKUP(I92,'Lista de Precios'!$A$3:$H$2883,3,0),"")</f>
        <v/>
      </c>
      <c r="E92" s="76" t="str">
        <f>IF($I92&gt;0,VLOOKUP(I92,'Lista de Precios'!$A$3:$H$2883,6,0),"")</f>
        <v/>
      </c>
      <c r="F92" s="76" t="str">
        <f>IF($I92&gt;0,VLOOKUP(I92,'Lista de Precios'!$A$3:$H$2883,8,0),"")</f>
        <v/>
      </c>
      <c r="G92" s="101" t="str">
        <f t="shared" si="13"/>
        <v/>
      </c>
      <c r="H92" s="20" t="s">
        <v>3</v>
      </c>
      <c r="I92" s="18"/>
      <c r="J92" s="28" t="str">
        <f t="shared" si="19"/>
        <v/>
      </c>
      <c r="K92" s="24">
        <f>+IF($I92&gt;0,VLOOKUP($I92,'Lista de Precios'!$A$3:$H$2883,5,0),0)</f>
        <v>0</v>
      </c>
      <c r="L92" s="37"/>
      <c r="M92" s="37"/>
      <c r="N92" s="37"/>
      <c r="O92" s="37"/>
      <c r="P92" s="40"/>
      <c r="Q92" s="39"/>
      <c r="R92" s="37"/>
      <c r="S92" s="37"/>
      <c r="T92" s="37"/>
      <c r="U92" s="37"/>
      <c r="V92" s="37"/>
      <c r="W92" s="37"/>
      <c r="X92" s="37"/>
      <c r="Y92" s="37"/>
      <c r="Z92" s="40"/>
      <c r="AA92" s="41"/>
      <c r="AB92" s="37"/>
      <c r="AC92" s="37"/>
      <c r="AD92" s="37"/>
      <c r="AE92" s="36"/>
      <c r="AF92" s="37"/>
      <c r="AG92" s="37"/>
      <c r="AH92" s="36"/>
      <c r="AI92" s="36"/>
      <c r="AJ92" s="42"/>
      <c r="AK92" s="42"/>
      <c r="AL92" s="43"/>
      <c r="AM92" s="73">
        <f t="shared" si="12"/>
        <v>0</v>
      </c>
      <c r="AN92" s="71" t="str">
        <f>+IF($I92&gt;0,VLOOKUP($I92,'Lista de Precios'!$A$3:$H$2883,4,0),"")</f>
        <v/>
      </c>
      <c r="AO92" s="68" t="str">
        <f t="shared" si="14"/>
        <v/>
      </c>
      <c r="AP92" s="7" t="str">
        <f>IF($I92&gt;0,VLOOKUP($I92,'Lista de Precios'!$A$3:$K$2883,10,0),"")</f>
        <v/>
      </c>
      <c r="AQ92" s="7" t="str">
        <f>IF($I92&gt;0,VLOOKUP($I92,'Lista de Precios'!$A$3:$M$4893,13,0),"")</f>
        <v/>
      </c>
      <c r="AR92" s="7" t="str">
        <f>IF($I92&gt;0,VLOOKUP(I92,'Lista de Precios'!$A$3:$M$2883,13,0),"")</f>
        <v/>
      </c>
      <c r="HR92" s="134"/>
      <c r="HS92" s="134"/>
      <c r="HT92" s="134"/>
      <c r="HU92" s="134"/>
      <c r="HV92" s="134"/>
      <c r="HW92" s="134"/>
      <c r="HX92" s="134"/>
      <c r="HY92" s="134"/>
      <c r="HZ92" s="134"/>
      <c r="IA92" s="134"/>
      <c r="IB92" s="134"/>
      <c r="IC92" s="134"/>
      <c r="IE92" s="134"/>
      <c r="IF92" s="134"/>
      <c r="IG92" s="134"/>
      <c r="IH92" s="134"/>
      <c r="II92" s="134"/>
      <c r="IJ92" s="134"/>
      <c r="IK92" s="134"/>
      <c r="IL92" s="134"/>
      <c r="IM92" s="134"/>
      <c r="IN92" s="135"/>
      <c r="IO92" s="135"/>
      <c r="IP92" s="135"/>
      <c r="XEP92" s="7" t="str">
        <f t="shared" si="15"/>
        <v/>
      </c>
      <c r="XEQ92" s="7" t="str">
        <f t="shared" si="16"/>
        <v/>
      </c>
      <c r="XER92" s="7" t="str">
        <f t="shared" si="17"/>
        <v/>
      </c>
      <c r="XES92" s="7" t="str">
        <f t="shared" si="18"/>
        <v/>
      </c>
    </row>
    <row r="93" spans="1:250 16370:16373" ht="23.25" customHeight="1" x14ac:dyDescent="0.25">
      <c r="A93" s="74">
        <f>IF($I93&gt;0,VLOOKUP(I93,'Lista de Precios'!$A$3:$L$2883,9,0),0)</f>
        <v>0</v>
      </c>
      <c r="B93" s="74">
        <f>IF($I93&gt;0,VLOOKUP(I93,'Lista de Precios'!$A$3:$H$2883,7,0),0)</f>
        <v>0</v>
      </c>
      <c r="C93" s="7" t="str">
        <f>IF($I93&gt;0,VLOOKUP(I93,'Lista de Precios'!$A$3:$H$2883,2,0),"")</f>
        <v/>
      </c>
      <c r="D93" s="7" t="str">
        <f>IF($I93&gt;0,VLOOKUP(I93,'Lista de Precios'!$A$3:$H$2883,3,0),"")</f>
        <v/>
      </c>
      <c r="E93" s="76" t="str">
        <f>IF($I93&gt;0,VLOOKUP(I93,'Lista de Precios'!$A$3:$H$2883,6,0),"")</f>
        <v/>
      </c>
      <c r="F93" s="76" t="str">
        <f>IF($I93&gt;0,VLOOKUP(I93,'Lista de Precios'!$A$3:$H$2883,8,0),"")</f>
        <v/>
      </c>
      <c r="G93" s="101" t="str">
        <f t="shared" si="13"/>
        <v/>
      </c>
      <c r="H93" s="20" t="s">
        <v>3</v>
      </c>
      <c r="I93" s="18"/>
      <c r="J93" s="28" t="str">
        <f t="shared" si="19"/>
        <v/>
      </c>
      <c r="K93" s="24">
        <f>+IF($I93&gt;0,VLOOKUP($I93,'Lista de Precios'!$A$3:$H$2883,5,0),0)</f>
        <v>0</v>
      </c>
      <c r="L93" s="37"/>
      <c r="M93" s="37"/>
      <c r="N93" s="37"/>
      <c r="O93" s="37"/>
      <c r="P93" s="40"/>
      <c r="Q93" s="39"/>
      <c r="R93" s="37"/>
      <c r="S93" s="37"/>
      <c r="T93" s="37"/>
      <c r="U93" s="37"/>
      <c r="V93" s="37"/>
      <c r="W93" s="37"/>
      <c r="X93" s="37"/>
      <c r="Y93" s="37"/>
      <c r="Z93" s="37"/>
      <c r="AA93" s="41"/>
      <c r="AB93" s="37"/>
      <c r="AC93" s="37"/>
      <c r="AD93" s="37"/>
      <c r="AE93" s="36"/>
      <c r="AF93" s="37"/>
      <c r="AG93" s="37"/>
      <c r="AH93" s="36"/>
      <c r="AI93" s="36"/>
      <c r="AJ93" s="42"/>
      <c r="AK93" s="42"/>
      <c r="AL93" s="42"/>
      <c r="AM93" s="73">
        <f t="shared" si="12"/>
        <v>0</v>
      </c>
      <c r="AN93" s="71" t="str">
        <f>+IF($I93&gt;0,VLOOKUP($I93,'Lista de Precios'!$A$3:$H$2883,4,0),"")</f>
        <v/>
      </c>
      <c r="AO93" s="68" t="str">
        <f t="shared" si="14"/>
        <v/>
      </c>
      <c r="AP93" s="7" t="str">
        <f>IF($I93&gt;0,VLOOKUP($I93,'Lista de Precios'!$A$3:$K$2883,10,0),"")</f>
        <v/>
      </c>
      <c r="AQ93" s="7" t="str">
        <f>IF($I93&gt;0,VLOOKUP($I93,'Lista de Precios'!$A$3:$M$4893,13,0),"")</f>
        <v/>
      </c>
      <c r="AR93" s="7" t="str">
        <f>IF($I93&gt;0,VLOOKUP(I93,'Lista de Precios'!$A$3:$M$2883,13,0),"")</f>
        <v/>
      </c>
      <c r="HR93" s="134"/>
      <c r="HS93" s="134"/>
      <c r="HT93" s="134"/>
      <c r="HU93" s="134"/>
      <c r="HV93" s="134"/>
      <c r="HW93" s="134"/>
      <c r="HX93" s="134"/>
      <c r="HY93" s="134"/>
      <c r="HZ93" s="134"/>
      <c r="IA93" s="134"/>
      <c r="IB93" s="134"/>
      <c r="IC93" s="134"/>
      <c r="IE93" s="134"/>
      <c r="IF93" s="134"/>
      <c r="IG93" s="134"/>
      <c r="IH93" s="134"/>
      <c r="II93" s="134"/>
      <c r="IJ93" s="134"/>
      <c r="IK93" s="134"/>
      <c r="IL93" s="134"/>
      <c r="IM93" s="134"/>
      <c r="IN93" s="135"/>
      <c r="IO93" s="135"/>
      <c r="IP93" s="135"/>
      <c r="XEP93" s="7" t="str">
        <f t="shared" si="15"/>
        <v/>
      </c>
      <c r="XEQ93" s="7" t="str">
        <f t="shared" si="16"/>
        <v/>
      </c>
      <c r="XER93" s="7" t="str">
        <f t="shared" si="17"/>
        <v/>
      </c>
      <c r="XES93" s="7" t="str">
        <f t="shared" si="18"/>
        <v/>
      </c>
    </row>
    <row r="94" spans="1:250 16370:16373" ht="23.25" customHeight="1" x14ac:dyDescent="0.25">
      <c r="A94" s="74">
        <f>IF($I94&gt;0,VLOOKUP(I94,'Lista de Precios'!$A$3:$L$2883,9,0),0)</f>
        <v>0</v>
      </c>
      <c r="B94" s="74">
        <f>IF($I94&gt;0,VLOOKUP(I94,'Lista de Precios'!$A$3:$H$2883,7,0),0)</f>
        <v>0</v>
      </c>
      <c r="C94" s="7" t="str">
        <f>IF($I94&gt;0,VLOOKUP(I94,'Lista de Precios'!$A$3:$H$2883,2,0),"")</f>
        <v/>
      </c>
      <c r="D94" s="7" t="str">
        <f>IF($I94&gt;0,VLOOKUP(I94,'Lista de Precios'!$A$3:$H$2883,3,0),"")</f>
        <v/>
      </c>
      <c r="E94" s="76" t="str">
        <f>IF($I94&gt;0,VLOOKUP(I94,'Lista de Precios'!$A$3:$H$2883,6,0),"")</f>
        <v/>
      </c>
      <c r="F94" s="76" t="str">
        <f>IF($I94&gt;0,VLOOKUP(I94,'Lista de Precios'!$A$3:$H$2883,8,0),"")</f>
        <v/>
      </c>
      <c r="G94" s="101" t="str">
        <f t="shared" si="13"/>
        <v/>
      </c>
      <c r="H94" s="20" t="s">
        <v>3</v>
      </c>
      <c r="I94" s="18"/>
      <c r="J94" s="28" t="str">
        <f t="shared" si="19"/>
        <v/>
      </c>
      <c r="K94" s="24">
        <f>+IF($I94&gt;0,VLOOKUP($I94,'Lista de Precios'!$A$3:$H$2883,5,0),0)</f>
        <v>0</v>
      </c>
      <c r="L94" s="37"/>
      <c r="M94" s="37"/>
      <c r="N94" s="37"/>
      <c r="O94" s="37"/>
      <c r="P94" s="40"/>
      <c r="Q94" s="39"/>
      <c r="R94" s="37"/>
      <c r="S94" s="37"/>
      <c r="T94" s="37"/>
      <c r="U94" s="37"/>
      <c r="V94" s="37"/>
      <c r="W94" s="37"/>
      <c r="X94" s="37"/>
      <c r="Y94" s="37"/>
      <c r="Z94" s="40"/>
      <c r="AA94" s="41"/>
      <c r="AB94" s="37"/>
      <c r="AC94" s="37"/>
      <c r="AD94" s="37"/>
      <c r="AE94" s="36"/>
      <c r="AF94" s="37"/>
      <c r="AG94" s="37"/>
      <c r="AH94" s="36"/>
      <c r="AI94" s="36"/>
      <c r="AJ94" s="42"/>
      <c r="AK94" s="42"/>
      <c r="AL94" s="42"/>
      <c r="AM94" s="73">
        <f t="shared" si="12"/>
        <v>0</v>
      </c>
      <c r="AN94" s="71" t="str">
        <f>+IF($I94&gt;0,VLOOKUP($I94,'Lista de Precios'!$A$3:$H$2883,4,0),"")</f>
        <v/>
      </c>
      <c r="AO94" s="68" t="str">
        <f t="shared" si="14"/>
        <v/>
      </c>
      <c r="AP94" s="7" t="str">
        <f>IF($I94&gt;0,VLOOKUP($I94,'Lista de Precios'!$A$3:$K$2883,10,0),"")</f>
        <v/>
      </c>
      <c r="AQ94" s="7" t="str">
        <f>IF($I94&gt;0,VLOOKUP($I94,'Lista de Precios'!$A$3:$M$4893,13,0),"")</f>
        <v/>
      </c>
      <c r="AR94" s="7" t="str">
        <f>IF($I94&gt;0,VLOOKUP(I94,'Lista de Precios'!$A$3:$M$2883,13,0),"")</f>
        <v/>
      </c>
      <c r="HR94" s="134"/>
      <c r="HS94" s="134"/>
      <c r="HT94" s="134"/>
      <c r="HU94" s="134"/>
      <c r="HV94" s="134"/>
      <c r="HW94" s="134"/>
      <c r="HX94" s="134"/>
      <c r="HY94" s="134"/>
      <c r="HZ94" s="134"/>
      <c r="IA94" s="134"/>
      <c r="IB94" s="134"/>
      <c r="IC94" s="134"/>
      <c r="IE94" s="134"/>
      <c r="IF94" s="134"/>
      <c r="IG94" s="134"/>
      <c r="IH94" s="134"/>
      <c r="II94" s="134"/>
      <c r="IJ94" s="134"/>
      <c r="IK94" s="134"/>
      <c r="IL94" s="134"/>
      <c r="IM94" s="134"/>
      <c r="IN94" s="135"/>
      <c r="IO94" s="135"/>
      <c r="IP94" s="135"/>
      <c r="XEP94" s="7" t="str">
        <f t="shared" si="15"/>
        <v/>
      </c>
      <c r="XEQ94" s="7" t="str">
        <f t="shared" si="16"/>
        <v/>
      </c>
      <c r="XER94" s="7" t="str">
        <f t="shared" si="17"/>
        <v/>
      </c>
      <c r="XES94" s="7" t="str">
        <f t="shared" si="18"/>
        <v/>
      </c>
    </row>
    <row r="95" spans="1:250 16370:16373" ht="23.25" customHeight="1" x14ac:dyDescent="0.25">
      <c r="A95" s="74">
        <f>IF($I95&gt;0,VLOOKUP(I95,'Lista de Precios'!$A$3:$L$2883,9,0),0)</f>
        <v>0</v>
      </c>
      <c r="B95" s="74">
        <f>IF($I95&gt;0,VLOOKUP(I95,'Lista de Precios'!$A$3:$H$2883,7,0),0)</f>
        <v>0</v>
      </c>
      <c r="C95" s="7" t="str">
        <f>IF($I95&gt;0,VLOOKUP(I95,'Lista de Precios'!$A$3:$H$2883,2,0),"")</f>
        <v/>
      </c>
      <c r="D95" s="7" t="str">
        <f>IF($I95&gt;0,VLOOKUP(I95,'Lista de Precios'!$A$3:$H$2883,3,0),"")</f>
        <v/>
      </c>
      <c r="E95" s="76" t="str">
        <f>IF($I95&gt;0,VLOOKUP(I95,'Lista de Precios'!$A$3:$H$2883,6,0),"")</f>
        <v/>
      </c>
      <c r="F95" s="76" t="str">
        <f>IF($I95&gt;0,VLOOKUP(I95,'Lista de Precios'!$A$3:$H$2883,8,0),"")</f>
        <v/>
      </c>
      <c r="G95" s="101" t="str">
        <f t="shared" si="13"/>
        <v/>
      </c>
      <c r="H95" s="20" t="s">
        <v>3</v>
      </c>
      <c r="I95" s="18"/>
      <c r="J95" s="28" t="str">
        <f t="shared" si="19"/>
        <v/>
      </c>
      <c r="K95" s="24">
        <f>+IF($I95&gt;0,VLOOKUP($I95,'Lista de Precios'!$A$3:$H$2883,5,0),0)</f>
        <v>0</v>
      </c>
      <c r="L95" s="37"/>
      <c r="M95" s="37"/>
      <c r="N95" s="37"/>
      <c r="O95" s="37"/>
      <c r="P95" s="40"/>
      <c r="Q95" s="39"/>
      <c r="R95" s="37"/>
      <c r="S95" s="37"/>
      <c r="T95" s="37"/>
      <c r="U95" s="37"/>
      <c r="V95" s="37"/>
      <c r="W95" s="37"/>
      <c r="X95" s="37"/>
      <c r="Y95" s="37"/>
      <c r="Z95" s="40"/>
      <c r="AA95" s="41"/>
      <c r="AB95" s="37"/>
      <c r="AC95" s="37"/>
      <c r="AD95" s="37"/>
      <c r="AE95" s="36"/>
      <c r="AF95" s="37"/>
      <c r="AG95" s="37"/>
      <c r="AH95" s="36"/>
      <c r="AI95" s="36"/>
      <c r="AJ95" s="42"/>
      <c r="AK95" s="42"/>
      <c r="AL95" s="42"/>
      <c r="AM95" s="73">
        <f t="shared" si="12"/>
        <v>0</v>
      </c>
      <c r="AN95" s="71" t="str">
        <f>+IF($I95&gt;0,VLOOKUP($I95,'Lista de Precios'!$A$3:$H$2883,4,0),"")</f>
        <v/>
      </c>
      <c r="AO95" s="68" t="str">
        <f t="shared" si="14"/>
        <v/>
      </c>
      <c r="AP95" s="7" t="str">
        <f>IF($I95&gt;0,VLOOKUP($I95,'Lista de Precios'!$A$3:$K$2883,10,0),"")</f>
        <v/>
      </c>
      <c r="AR95" s="7" t="str">
        <f>IF($I95&gt;0,VLOOKUP(I95,'Lista de Precios'!$A$3:$M$2883,13,0),"")</f>
        <v/>
      </c>
      <c r="HR95" s="134"/>
      <c r="HS95" s="134"/>
      <c r="HT95" s="134"/>
      <c r="HU95" s="134"/>
      <c r="HV95" s="134"/>
      <c r="HW95" s="134"/>
      <c r="HX95" s="134"/>
      <c r="HY95" s="134"/>
      <c r="HZ95" s="134"/>
      <c r="IA95" s="134"/>
      <c r="IB95" s="134"/>
      <c r="IC95" s="134"/>
      <c r="IE95" s="134"/>
      <c r="IF95" s="134"/>
      <c r="IG95" s="134"/>
      <c r="IH95" s="134"/>
      <c r="II95" s="134"/>
      <c r="IJ95" s="134"/>
      <c r="IK95" s="134"/>
      <c r="IL95" s="134"/>
      <c r="IM95" s="134"/>
      <c r="IN95" s="135"/>
      <c r="IO95" s="135"/>
      <c r="IP95" s="135"/>
    </row>
    <row r="96" spans="1:250 16370:16373" ht="23.25" customHeight="1" x14ac:dyDescent="0.25">
      <c r="A96" s="74">
        <f>IF($I96&gt;0,VLOOKUP(I96,'Lista de Precios'!$A$3:$L$2883,9,0),0)</f>
        <v>0</v>
      </c>
      <c r="B96" s="74">
        <f>IF($I96&gt;0,VLOOKUP(I96,'Lista de Precios'!$A$3:$H$2883,7,0),0)</f>
        <v>0</v>
      </c>
      <c r="C96" s="7" t="str">
        <f>IF($I96&gt;0,VLOOKUP(I96,'Lista de Precios'!$A$3:$H$2883,2,0),"")</f>
        <v/>
      </c>
      <c r="D96" s="7" t="str">
        <f>IF($I96&gt;0,VLOOKUP(I96,'Lista de Precios'!$A$3:$H$2883,3,0),"")</f>
        <v/>
      </c>
      <c r="E96" s="76" t="str">
        <f>IF($I96&gt;0,VLOOKUP(I96,'Lista de Precios'!$A$3:$H$2883,6,0),"")</f>
        <v/>
      </c>
      <c r="F96" s="76" t="str">
        <f>IF($I96&gt;0,VLOOKUP(I96,'Lista de Precios'!$A$3:$H$2883,8,0),"")</f>
        <v/>
      </c>
      <c r="G96" s="101" t="str">
        <f t="shared" si="13"/>
        <v/>
      </c>
      <c r="H96" s="20" t="s">
        <v>3</v>
      </c>
      <c r="I96" s="18"/>
      <c r="J96" s="28" t="str">
        <f t="shared" si="19"/>
        <v/>
      </c>
      <c r="K96" s="24">
        <f>+IF($I96&gt;0,VLOOKUP($I96,'Lista de Precios'!$A$3:$H$2883,5,0),0)</f>
        <v>0</v>
      </c>
      <c r="L96" s="37"/>
      <c r="M96" s="37"/>
      <c r="N96" s="37"/>
      <c r="O96" s="37"/>
      <c r="P96" s="40"/>
      <c r="Q96" s="39"/>
      <c r="R96" s="37"/>
      <c r="S96" s="37"/>
      <c r="T96" s="37"/>
      <c r="U96" s="37"/>
      <c r="V96" s="37"/>
      <c r="W96" s="37"/>
      <c r="X96" s="37"/>
      <c r="Y96" s="37"/>
      <c r="Z96" s="40"/>
      <c r="AA96" s="41"/>
      <c r="AB96" s="37"/>
      <c r="AC96" s="37"/>
      <c r="AD96" s="37"/>
      <c r="AE96" s="37"/>
      <c r="AF96" s="37"/>
      <c r="AG96" s="57"/>
      <c r="AH96" s="54"/>
      <c r="AI96" s="54"/>
      <c r="AJ96" s="54"/>
      <c r="AK96" s="54"/>
      <c r="AL96" s="54"/>
      <c r="AM96" s="73">
        <f t="shared" si="12"/>
        <v>0</v>
      </c>
      <c r="AN96" s="71" t="str">
        <f>+IF($I96&gt;0,VLOOKUP($I96,'Lista de Precios'!$A$3:$H$2883,4,0),"")</f>
        <v/>
      </c>
      <c r="AO96" s="68" t="str">
        <f t="shared" si="14"/>
        <v/>
      </c>
      <c r="AP96" s="7" t="str">
        <f>IF($I96&gt;0,VLOOKUP($I96,'Lista de Precios'!$A$3:$K$2883,10,0),"")</f>
        <v/>
      </c>
      <c r="AR96" s="7" t="str">
        <f>IF($I96&gt;0,VLOOKUP(I96,'Lista de Precios'!$A$3:$M$2883,13,0),"")</f>
        <v/>
      </c>
      <c r="HR96" s="134"/>
      <c r="HS96" s="134"/>
      <c r="HT96" s="134"/>
      <c r="HU96" s="134"/>
      <c r="HV96" s="134"/>
      <c r="HW96" s="134"/>
      <c r="HX96" s="134"/>
      <c r="HY96" s="134"/>
      <c r="HZ96" s="134"/>
      <c r="IA96" s="134"/>
      <c r="IB96" s="134"/>
      <c r="IC96" s="134"/>
      <c r="IE96" s="134"/>
      <c r="IF96" s="134"/>
      <c r="IG96" s="134"/>
      <c r="IH96" s="134"/>
      <c r="II96" s="134"/>
      <c r="IJ96" s="134"/>
      <c r="IK96" s="134"/>
      <c r="IL96" s="134"/>
      <c r="IM96" s="134"/>
      <c r="IN96" s="135"/>
      <c r="IO96" s="135"/>
      <c r="IP96" s="135"/>
    </row>
    <row r="97" spans="1:252" ht="23.25" customHeight="1" x14ac:dyDescent="0.25">
      <c r="A97" s="74">
        <f>IF($I97&gt;0,VLOOKUP(I97,'Lista de Precios'!$A$3:$L$2883,9,0),0)</f>
        <v>0</v>
      </c>
      <c r="B97" s="74">
        <f>IF($I97&gt;0,VLOOKUP(I97,'Lista de Precios'!$A$3:$H$2883,7,0),0)</f>
        <v>0</v>
      </c>
      <c r="C97" s="7" t="str">
        <f>IF($I97&gt;0,VLOOKUP(I97,'Lista de Precios'!$A$3:$H$2883,2,0),"")</f>
        <v/>
      </c>
      <c r="D97" s="7" t="str">
        <f>IF($I97&gt;0,VLOOKUP(I97,'Lista de Precios'!$A$3:$H$2883,3,0),"")</f>
        <v/>
      </c>
      <c r="E97" s="76" t="str">
        <f>IF($I97&gt;0,VLOOKUP(I97,'Lista de Precios'!$A$3:$H$2883,6,0),"")</f>
        <v/>
      </c>
      <c r="F97" s="76" t="str">
        <f>IF($I97&gt;0,VLOOKUP(I97,'Lista de Precios'!$A$3:$H$2883,8,0),"")</f>
        <v/>
      </c>
      <c r="G97" s="101" t="str">
        <f t="shared" si="13"/>
        <v/>
      </c>
      <c r="H97" s="20" t="s">
        <v>3</v>
      </c>
      <c r="I97" s="18"/>
      <c r="J97" s="28" t="str">
        <f t="shared" si="19"/>
        <v/>
      </c>
      <c r="K97" s="24">
        <f>+IF($I97&gt;0,VLOOKUP($I97,'Lista de Precios'!$A$3:$H$2883,5,0),0)</f>
        <v>0</v>
      </c>
      <c r="L97" s="37"/>
      <c r="M97" s="37"/>
      <c r="N97" s="37"/>
      <c r="O97" s="37"/>
      <c r="P97" s="40"/>
      <c r="Q97" s="39"/>
      <c r="R97" s="37"/>
      <c r="S97" s="37"/>
      <c r="T97" s="37"/>
      <c r="U97" s="37"/>
      <c r="V97" s="37"/>
      <c r="W97" s="37"/>
      <c r="X97" s="37"/>
      <c r="Y97" s="37"/>
      <c r="Z97" s="40"/>
      <c r="AA97" s="41"/>
      <c r="AB97" s="37"/>
      <c r="AC97" s="37"/>
      <c r="AD97" s="37"/>
      <c r="AE97" s="37"/>
      <c r="AF97" s="37"/>
      <c r="AG97" s="57"/>
      <c r="AH97" s="54"/>
      <c r="AI97" s="54"/>
      <c r="AJ97" s="42"/>
      <c r="AK97" s="42"/>
      <c r="AL97" s="42"/>
      <c r="AM97" s="73">
        <f t="shared" si="12"/>
        <v>0</v>
      </c>
      <c r="AN97" s="71" t="str">
        <f>+IF($I97&gt;0,VLOOKUP($I97,'Lista de Precios'!$A$3:$H$2883,4,0),"")</f>
        <v/>
      </c>
      <c r="AO97" s="68" t="str">
        <f t="shared" si="14"/>
        <v/>
      </c>
      <c r="AP97" s="7" t="str">
        <f>IF($I97&gt;0,VLOOKUP($I97,'Lista de Precios'!$A$3:$K$2883,10,0),"")</f>
        <v/>
      </c>
      <c r="AR97" s="7" t="str">
        <f>IF($I97&gt;0,VLOOKUP(I97,'Lista de Precios'!$A$3:$M$2883,13,0),"")</f>
        <v/>
      </c>
      <c r="HR97" s="134"/>
      <c r="HS97" s="134"/>
      <c r="HT97" s="134"/>
      <c r="HU97" s="134"/>
      <c r="HV97" s="134"/>
      <c r="HW97" s="134"/>
      <c r="HX97" s="134"/>
      <c r="HY97" s="134"/>
      <c r="HZ97" s="134"/>
      <c r="IA97" s="134"/>
      <c r="IB97" s="134"/>
      <c r="IC97" s="134"/>
      <c r="IE97" s="134"/>
      <c r="IF97" s="134"/>
      <c r="IG97" s="134"/>
      <c r="IH97" s="134"/>
      <c r="II97" s="134"/>
      <c r="IJ97" s="134"/>
      <c r="IK97" s="134"/>
      <c r="IL97" s="134"/>
      <c r="IM97" s="134"/>
      <c r="IN97" s="135"/>
      <c r="IO97" s="135"/>
      <c r="IP97" s="135"/>
    </row>
    <row r="98" spans="1:252" ht="23.25" customHeight="1" x14ac:dyDescent="0.25">
      <c r="A98" s="74">
        <f>IF($I98&gt;0,VLOOKUP(I98,'Lista de Precios'!$A$3:$L$2883,9,0),0)</f>
        <v>0</v>
      </c>
      <c r="B98" s="74">
        <f>IF($I98&gt;0,VLOOKUP(I98,'Lista de Precios'!$A$3:$H$2883,7,0),0)</f>
        <v>0</v>
      </c>
      <c r="C98" s="7" t="str">
        <f>IF($I98&gt;0,VLOOKUP(I98,'Lista de Precios'!$A$3:$H$2883,2,0),"")</f>
        <v/>
      </c>
      <c r="D98" s="7" t="str">
        <f>IF($I98&gt;0,VLOOKUP(I98,'Lista de Precios'!$A$3:$H$2883,3,0),"")</f>
        <v/>
      </c>
      <c r="E98" s="76" t="str">
        <f>IF($I98&gt;0,VLOOKUP(I98,'Lista de Precios'!$A$3:$H$2883,6,0),"")</f>
        <v/>
      </c>
      <c r="F98" s="76" t="str">
        <f>IF($I98&gt;0,VLOOKUP(I98,'Lista de Precios'!$A$3:$H$2883,8,0),"")</f>
        <v/>
      </c>
      <c r="G98" s="101" t="str">
        <f t="shared" si="13"/>
        <v/>
      </c>
      <c r="H98" s="20" t="s">
        <v>3</v>
      </c>
      <c r="I98" s="18"/>
      <c r="J98" s="28" t="str">
        <f t="shared" si="19"/>
        <v/>
      </c>
      <c r="K98" s="24">
        <f>+IF($I98&gt;0,VLOOKUP($I98,'Lista de Precios'!$A$3:$H$2883,5,0),0)</f>
        <v>0</v>
      </c>
      <c r="L98" s="37"/>
      <c r="M98" s="37"/>
      <c r="N98" s="37"/>
      <c r="O98" s="37"/>
      <c r="P98" s="40"/>
      <c r="Q98" s="39"/>
      <c r="R98" s="37"/>
      <c r="S98" s="37"/>
      <c r="T98" s="37"/>
      <c r="U98" s="37"/>
      <c r="V98" s="37"/>
      <c r="W98" s="37"/>
      <c r="X98" s="37"/>
      <c r="Y98" s="37"/>
      <c r="Z98" s="40"/>
      <c r="AA98" s="41"/>
      <c r="AB98" s="37"/>
      <c r="AC98" s="37"/>
      <c r="AD98" s="37"/>
      <c r="AE98" s="37"/>
      <c r="AF98" s="37"/>
      <c r="AG98" s="37"/>
      <c r="AH98" s="42"/>
      <c r="AI98" s="42"/>
      <c r="AJ98" s="43"/>
      <c r="AK98" s="43"/>
      <c r="AL98" s="43"/>
      <c r="AM98" s="73">
        <f t="shared" si="12"/>
        <v>0</v>
      </c>
      <c r="AN98" s="71" t="str">
        <f>+IF($I98&gt;0,VLOOKUP($I98,'Lista de Precios'!$A$3:$H$2883,4,0),"")</f>
        <v/>
      </c>
      <c r="AO98" s="68" t="str">
        <f t="shared" si="14"/>
        <v/>
      </c>
      <c r="AP98" s="7" t="str">
        <f>IF($I98&gt;0,VLOOKUP($I98,'Lista de Precios'!$A$3:$K$2883,10,0),"")</f>
        <v/>
      </c>
      <c r="AR98" s="7" t="str">
        <f>IF($I98&gt;0,VLOOKUP(I98,'Lista de Precios'!$A$3:$M$2883,13,0),"")</f>
        <v/>
      </c>
      <c r="HR98" s="134"/>
      <c r="HS98" s="134"/>
      <c r="HT98" s="134"/>
      <c r="HU98" s="134"/>
      <c r="HV98" s="134"/>
      <c r="HW98" s="134"/>
      <c r="HX98" s="134"/>
      <c r="HY98" s="134"/>
      <c r="HZ98" s="134"/>
      <c r="IA98" s="134"/>
      <c r="IB98" s="134"/>
      <c r="IC98" s="134"/>
      <c r="IE98" s="134"/>
      <c r="IF98" s="134"/>
      <c r="IG98" s="134"/>
      <c r="IH98" s="134"/>
      <c r="II98" s="134"/>
      <c r="IJ98" s="134"/>
      <c r="IK98" s="134"/>
      <c r="IL98" s="134"/>
      <c r="IM98" s="134"/>
      <c r="IN98" s="135"/>
      <c r="IO98" s="135"/>
      <c r="IP98" s="135"/>
    </row>
    <row r="99" spans="1:252" ht="23.25" customHeight="1" x14ac:dyDescent="0.25">
      <c r="A99" s="74">
        <f>IF($I99&gt;0,VLOOKUP(I99,'Lista de Precios'!$A$3:$L$2883,9,0),0)</f>
        <v>0</v>
      </c>
      <c r="B99" s="74">
        <f>IF($I99&gt;0,VLOOKUP(I99,'Lista de Precios'!$A$3:$H$2883,7,0),0)</f>
        <v>0</v>
      </c>
      <c r="C99" s="7" t="str">
        <f>IF($I99&gt;0,VLOOKUP(I99,'Lista de Precios'!$A$3:$H$2883,2,0),"")</f>
        <v/>
      </c>
      <c r="D99" s="7" t="str">
        <f>IF($I99&gt;0,VLOOKUP(I99,'Lista de Precios'!$A$3:$H$2883,3,0),"")</f>
        <v/>
      </c>
      <c r="E99" s="76" t="str">
        <f>IF($I99&gt;0,VLOOKUP(I99,'Lista de Precios'!$A$3:$H$2883,6,0),"")</f>
        <v/>
      </c>
      <c r="F99" s="76" t="str">
        <f>IF($I99&gt;0,VLOOKUP(I99,'Lista de Precios'!$A$3:$H$2883,8,0),"")</f>
        <v/>
      </c>
      <c r="G99" s="101" t="str">
        <f t="shared" si="13"/>
        <v/>
      </c>
      <c r="H99" s="20" t="s">
        <v>3</v>
      </c>
      <c r="I99" s="18"/>
      <c r="J99" s="28" t="str">
        <f t="shared" si="19"/>
        <v/>
      </c>
      <c r="K99" s="24">
        <f>+IF($I99&gt;0,VLOOKUP($I99,'Lista de Precios'!$A$3:$H$2883,5,0),0)</f>
        <v>0</v>
      </c>
      <c r="L99" s="36"/>
      <c r="M99" s="36"/>
      <c r="N99" s="36"/>
      <c r="O99" s="37"/>
      <c r="P99" s="38"/>
      <c r="Q99" s="39"/>
      <c r="R99" s="37"/>
      <c r="S99" s="37"/>
      <c r="T99" s="37"/>
      <c r="U99" s="37"/>
      <c r="V99" s="37"/>
      <c r="W99" s="37"/>
      <c r="X99" s="37"/>
      <c r="Y99" s="37"/>
      <c r="Z99" s="40"/>
      <c r="AA99" s="41"/>
      <c r="AB99" s="37"/>
      <c r="AC99" s="37"/>
      <c r="AD99" s="37"/>
      <c r="AE99" s="37"/>
      <c r="AF99" s="37"/>
      <c r="AG99" s="37"/>
      <c r="AH99" s="42"/>
      <c r="AI99" s="42"/>
      <c r="AJ99" s="43"/>
      <c r="AK99" s="43"/>
      <c r="AL99" s="43"/>
      <c r="AM99" s="73">
        <f t="shared" si="12"/>
        <v>0</v>
      </c>
      <c r="AN99" s="71" t="str">
        <f>+IF($I99&gt;0,VLOOKUP($I99,'Lista de Precios'!$A$3:$H$2883,4,0),"")</f>
        <v/>
      </c>
      <c r="AO99" s="68" t="str">
        <f t="shared" si="14"/>
        <v/>
      </c>
      <c r="AP99" s="7" t="str">
        <f>IF($I99&gt;0,VLOOKUP($I99,'Lista de Precios'!$A$3:$K$2883,10,0),"")</f>
        <v/>
      </c>
      <c r="AR99" s="7" t="str">
        <f>IF($I99&gt;0,VLOOKUP(I99,'Lista de Precios'!$A$3:$M$2883,13,0),"")</f>
        <v/>
      </c>
      <c r="HR99" s="134"/>
      <c r="HS99" s="134"/>
      <c r="HT99" s="134"/>
      <c r="HU99" s="134"/>
      <c r="HV99" s="134"/>
      <c r="HW99" s="134"/>
      <c r="HX99" s="134"/>
      <c r="HY99" s="134"/>
      <c r="HZ99" s="134"/>
      <c r="IA99" s="134"/>
      <c r="IB99" s="134"/>
      <c r="IC99" s="134"/>
      <c r="IE99" s="134"/>
      <c r="IF99" s="134"/>
      <c r="IG99" s="134"/>
      <c r="IH99" s="134"/>
      <c r="II99" s="134"/>
      <c r="IJ99" s="134"/>
      <c r="IK99" s="134"/>
      <c r="IL99" s="134"/>
      <c r="IM99" s="134"/>
      <c r="IN99" s="135"/>
      <c r="IO99" s="135"/>
      <c r="IP99" s="135"/>
    </row>
    <row r="100" spans="1:252" ht="23.25" customHeight="1" x14ac:dyDescent="0.25">
      <c r="A100" s="74">
        <f>IF($I100&gt;0,VLOOKUP(I100,'Lista de Precios'!$A$3:$L$2883,9,0),0)</f>
        <v>0</v>
      </c>
      <c r="B100" s="74">
        <f>IF($I100&gt;0,VLOOKUP(I100,'Lista de Precios'!$A$3:$H$2883,7,0),0)</f>
        <v>0</v>
      </c>
      <c r="C100" s="7" t="str">
        <f>IF($I100&gt;0,VLOOKUP(I100,'Lista de Precios'!$A$3:$H$2883,2,0),"")</f>
        <v/>
      </c>
      <c r="D100" s="7" t="str">
        <f>IF($I100&gt;0,VLOOKUP(I100,'Lista de Precios'!$A$3:$H$2883,3,0),"")</f>
        <v/>
      </c>
      <c r="E100" s="76" t="str">
        <f>IF($I100&gt;0,VLOOKUP(I100,'Lista de Precios'!$A$3:$H$2883,6,0),"")</f>
        <v/>
      </c>
      <c r="F100" s="76" t="str">
        <f>IF($I100&gt;0,VLOOKUP(I100,'Lista de Precios'!$A$3:$H$2883,8,0),"")</f>
        <v/>
      </c>
      <c r="G100" s="101" t="str">
        <f t="shared" si="13"/>
        <v/>
      </c>
      <c r="H100" s="20" t="s">
        <v>3</v>
      </c>
      <c r="I100" s="18"/>
      <c r="J100" s="28" t="str">
        <f t="shared" si="19"/>
        <v/>
      </c>
      <c r="K100" s="24">
        <f>+IF($I100&gt;0,VLOOKUP($I100,'Lista de Precios'!$A$3:$H$2883,5,0),0)</f>
        <v>0</v>
      </c>
      <c r="L100" s="37"/>
      <c r="M100" s="37"/>
      <c r="N100" s="37"/>
      <c r="O100" s="37"/>
      <c r="P100" s="40"/>
      <c r="Q100" s="39"/>
      <c r="R100" s="37"/>
      <c r="S100" s="37"/>
      <c r="T100" s="37"/>
      <c r="U100" s="37"/>
      <c r="V100" s="37"/>
      <c r="W100" s="37"/>
      <c r="X100" s="37"/>
      <c r="Y100" s="37"/>
      <c r="Z100" s="40"/>
      <c r="AA100" s="41"/>
      <c r="AB100" s="37"/>
      <c r="AC100" s="43"/>
      <c r="AD100" s="43"/>
      <c r="AE100" s="43"/>
      <c r="AF100" s="43"/>
      <c r="AG100" s="43"/>
      <c r="AH100" s="42"/>
      <c r="AI100" s="42"/>
      <c r="AJ100" s="42"/>
      <c r="AK100" s="42"/>
      <c r="AL100" s="43"/>
      <c r="AM100" s="73">
        <f t="shared" si="12"/>
        <v>0</v>
      </c>
      <c r="AN100" s="71" t="str">
        <f>+IF($I100&gt;0,VLOOKUP($I100,'Lista de Precios'!$A$3:$H$2883,4,0),"")</f>
        <v/>
      </c>
      <c r="AO100" s="68" t="str">
        <f t="shared" si="14"/>
        <v/>
      </c>
      <c r="AP100" s="7" t="str">
        <f>IF($I100&gt;0,VLOOKUP($I100,'Lista de Precios'!$A$3:$K$2883,10,0),"")</f>
        <v/>
      </c>
      <c r="AR100" s="7" t="str">
        <f>IF($I100&gt;0,VLOOKUP(I100,'Lista de Precios'!$A$3:$M$2883,13,0),"")</f>
        <v/>
      </c>
      <c r="HR100" s="134"/>
      <c r="HS100" s="134"/>
      <c r="HT100" s="134"/>
      <c r="HU100" s="134"/>
      <c r="HV100" s="134"/>
      <c r="HW100" s="134"/>
      <c r="HX100" s="134"/>
      <c r="HY100" s="134"/>
      <c r="HZ100" s="134"/>
      <c r="IA100" s="134"/>
      <c r="IB100" s="134"/>
      <c r="IC100" s="134"/>
      <c r="IE100" s="134"/>
      <c r="IF100" s="134"/>
      <c r="IG100" s="134"/>
      <c r="IH100" s="134"/>
      <c r="II100" s="134"/>
      <c r="IJ100" s="134"/>
      <c r="IK100" s="134"/>
      <c r="IL100" s="134"/>
      <c r="IM100" s="134"/>
      <c r="IN100" s="135"/>
      <c r="IO100" s="135"/>
      <c r="IP100" s="135"/>
    </row>
    <row r="101" spans="1:252" ht="23.25" customHeight="1" x14ac:dyDescent="0.25">
      <c r="A101" s="74">
        <f>IF($I101&gt;0,VLOOKUP(I101,'Lista de Precios'!$A$3:$L$2883,9,0),0)</f>
        <v>0</v>
      </c>
      <c r="B101" s="74">
        <f>IF($I101&gt;0,VLOOKUP(I101,'Lista de Precios'!$A$3:$H$2883,7,0),0)</f>
        <v>0</v>
      </c>
      <c r="C101" s="7" t="str">
        <f>IF($I101&gt;0,VLOOKUP(I101,'Lista de Precios'!$A$3:$H$2883,2,0),"")</f>
        <v/>
      </c>
      <c r="D101" s="7" t="str">
        <f>IF($I101&gt;0,VLOOKUP(I101,'Lista de Precios'!$A$3:$H$2883,3,0),"")</f>
        <v/>
      </c>
      <c r="E101" s="76" t="str">
        <f>IF($I101&gt;0,VLOOKUP(I101,'Lista de Precios'!$A$3:$H$2883,6,0),"")</f>
        <v/>
      </c>
      <c r="F101" s="76" t="str">
        <f>IF($I101&gt;0,VLOOKUP(I101,'Lista de Precios'!$A$3:$H$2883,8,0),"")</f>
        <v/>
      </c>
      <c r="G101" s="101" t="str">
        <f t="shared" si="13"/>
        <v/>
      </c>
      <c r="H101" s="20" t="s">
        <v>3</v>
      </c>
      <c r="I101" s="18"/>
      <c r="J101" s="28" t="str">
        <f t="shared" si="19"/>
        <v/>
      </c>
      <c r="K101" s="24">
        <f>+IF($I101&gt;0,VLOOKUP($I101,'Lista de Precios'!$A$3:$H$2883,5,0),0)</f>
        <v>0</v>
      </c>
      <c r="L101" s="36"/>
      <c r="M101" s="36"/>
      <c r="N101" s="36"/>
      <c r="O101" s="37"/>
      <c r="P101" s="38"/>
      <c r="Q101" s="45"/>
      <c r="R101" s="43"/>
      <c r="S101" s="43"/>
      <c r="T101" s="43"/>
      <c r="U101" s="43"/>
      <c r="V101" s="43"/>
      <c r="W101" s="43"/>
      <c r="X101" s="43"/>
      <c r="Y101" s="37"/>
      <c r="Z101" s="40"/>
      <c r="AA101" s="41"/>
      <c r="AB101" s="37"/>
      <c r="AC101" s="43"/>
      <c r="AD101" s="43"/>
      <c r="AE101" s="43"/>
      <c r="AF101" s="43"/>
      <c r="AG101" s="43"/>
      <c r="AH101" s="42"/>
      <c r="AI101" s="42"/>
      <c r="AJ101" s="42"/>
      <c r="AK101" s="42"/>
      <c r="AL101" s="43"/>
      <c r="AM101" s="73">
        <f t="shared" si="12"/>
        <v>0</v>
      </c>
      <c r="AN101" s="71" t="str">
        <f>+IF($I101&gt;0,VLOOKUP($I101,'Lista de Precios'!$A$3:$H$2883,4,0),"")</f>
        <v/>
      </c>
      <c r="AO101" s="68" t="str">
        <f t="shared" si="14"/>
        <v/>
      </c>
      <c r="AP101" s="7" t="str">
        <f>IF($I101&gt;0,VLOOKUP($I101,'Lista de Precios'!$A$3:$K$2883,10,0),"")</f>
        <v/>
      </c>
      <c r="AR101" s="7" t="str">
        <f>IF($I101&gt;0,VLOOKUP(I101,'Lista de Precios'!$A$3:$M$2883,13,0),"")</f>
        <v/>
      </c>
      <c r="HR101" s="134"/>
      <c r="HS101" s="134"/>
      <c r="HT101" s="134"/>
      <c r="HU101" s="134"/>
      <c r="HV101" s="134"/>
      <c r="HW101" s="134"/>
      <c r="HX101" s="134"/>
      <c r="HY101" s="134"/>
      <c r="HZ101" s="134"/>
      <c r="IA101" s="134"/>
      <c r="IB101" s="134"/>
      <c r="IC101" s="134"/>
      <c r="IE101" s="134"/>
      <c r="IF101" s="134"/>
      <c r="IG101" s="134"/>
      <c r="IH101" s="134"/>
      <c r="II101" s="134"/>
      <c r="IJ101" s="134"/>
      <c r="IK101" s="134"/>
      <c r="IL101" s="134"/>
      <c r="IM101" s="134"/>
      <c r="IN101" s="135"/>
      <c r="IO101" s="135"/>
      <c r="IP101" s="135"/>
    </row>
    <row r="102" spans="1:252" x14ac:dyDescent="0.2">
      <c r="C102" s="17"/>
      <c r="HT102" s="134"/>
      <c r="HU102" s="134"/>
      <c r="HV102" s="134"/>
      <c r="HW102" s="134"/>
      <c r="HX102" s="134"/>
      <c r="HY102" s="134"/>
      <c r="HZ102" s="134"/>
      <c r="IA102" s="134"/>
      <c r="IB102" s="134"/>
      <c r="IC102" s="134"/>
      <c r="ID102" s="134"/>
      <c r="IE102" s="134"/>
      <c r="IG102" s="134"/>
      <c r="IH102" s="134"/>
      <c r="II102" s="134"/>
      <c r="IJ102" s="134"/>
      <c r="IK102" s="134"/>
      <c r="IL102" s="134"/>
      <c r="IM102" s="134"/>
      <c r="IN102" s="134"/>
      <c r="IO102" s="134"/>
      <c r="IP102" s="134"/>
      <c r="IQ102" s="134"/>
      <c r="IR102" s="134"/>
    </row>
  </sheetData>
  <mergeCells count="6">
    <mergeCell ref="H12:I12"/>
    <mergeCell ref="D5:J5"/>
    <mergeCell ref="I7:Q8"/>
    <mergeCell ref="J9:K9"/>
    <mergeCell ref="M9:Q9"/>
    <mergeCell ref="H11:I11"/>
  </mergeCells>
  <conditionalFormatting sqref="A14:B30 A33:B35 A37:B101">
    <cfRule type="cellIs" dxfId="160" priority="33" stopIfTrue="1" operator="greaterThan">
      <formula>0</formula>
    </cfRule>
    <cfRule type="cellIs" dxfId="159" priority="34" stopIfTrue="1" operator="equal">
      <formula>0</formula>
    </cfRule>
    <cfRule type="cellIs" dxfId="158" priority="35" operator="greaterThan">
      <formula>0</formula>
    </cfRule>
    <cfRule type="cellIs" dxfId="157" priority="36" stopIfTrue="1" operator="greaterThan">
      <formula>0</formula>
    </cfRule>
    <cfRule type="cellIs" dxfId="156" priority="37" stopIfTrue="1" operator="equal">
      <formula>0</formula>
    </cfRule>
  </conditionalFormatting>
  <conditionalFormatting sqref="J14:J30 J33:J35 J37:J101">
    <cfRule type="cellIs" dxfId="155" priority="38" stopIfTrue="1" operator="lessThan">
      <formula>E14</formula>
    </cfRule>
  </conditionalFormatting>
  <conditionalFormatting sqref="A31:B31">
    <cfRule type="cellIs" dxfId="154" priority="14" stopIfTrue="1" operator="greaterThan">
      <formula>0</formula>
    </cfRule>
    <cfRule type="cellIs" dxfId="153" priority="15" stopIfTrue="1" operator="equal">
      <formula>0</formula>
    </cfRule>
    <cfRule type="cellIs" dxfId="152" priority="16" operator="greaterThan">
      <formula>0</formula>
    </cfRule>
    <cfRule type="cellIs" dxfId="151" priority="17" stopIfTrue="1" operator="greaterThan">
      <formula>0</formula>
    </cfRule>
    <cfRule type="cellIs" dxfId="150" priority="18" stopIfTrue="1" operator="equal">
      <formula>0</formula>
    </cfRule>
  </conditionalFormatting>
  <conditionalFormatting sqref="J31">
    <cfRule type="cellIs" dxfId="149" priority="13" stopIfTrue="1" operator="lessThan">
      <formula>E31</formula>
    </cfRule>
  </conditionalFormatting>
  <conditionalFormatting sqref="A32:B32">
    <cfRule type="cellIs" dxfId="148" priority="8" stopIfTrue="1" operator="greaterThan">
      <formula>0</formula>
    </cfRule>
    <cfRule type="cellIs" dxfId="147" priority="9" stopIfTrue="1" operator="equal">
      <formula>0</formula>
    </cfRule>
    <cfRule type="cellIs" dxfId="146" priority="10" operator="greaterThan">
      <formula>0</formula>
    </cfRule>
    <cfRule type="cellIs" dxfId="145" priority="11" stopIfTrue="1" operator="greaterThan">
      <formula>0</formula>
    </cfRule>
    <cfRule type="cellIs" dxfId="144" priority="12" stopIfTrue="1" operator="equal">
      <formula>0</formula>
    </cfRule>
  </conditionalFormatting>
  <conditionalFormatting sqref="J32">
    <cfRule type="cellIs" dxfId="143" priority="7" stopIfTrue="1" operator="lessThan">
      <formula>E32</formula>
    </cfRule>
  </conditionalFormatting>
  <conditionalFormatting sqref="A36:B36">
    <cfRule type="cellIs" dxfId="142" priority="2" stopIfTrue="1" operator="greaterThan">
      <formula>0</formula>
    </cfRule>
    <cfRule type="cellIs" dxfId="141" priority="3" stopIfTrue="1" operator="equal">
      <formula>0</formula>
    </cfRule>
    <cfRule type="cellIs" dxfId="140" priority="4" operator="greaterThan">
      <formula>0</formula>
    </cfRule>
    <cfRule type="cellIs" dxfId="139" priority="5" stopIfTrue="1" operator="greaterThan">
      <formula>0</formula>
    </cfRule>
    <cfRule type="cellIs" dxfId="138" priority="6" stopIfTrue="1" operator="equal">
      <formula>0</formula>
    </cfRule>
  </conditionalFormatting>
  <conditionalFormatting sqref="J36">
    <cfRule type="cellIs" dxfId="137" priority="1" stopIfTrue="1" operator="lessThan">
      <formula>E36</formula>
    </cfRule>
  </conditionalFormatting>
  <printOptions horizontalCentered="1"/>
  <pageMargins left="0" right="0" top="0.39370078740157483" bottom="0.39370078740157483" header="0" footer="0"/>
  <pageSetup paperSize="5" scale="38" fitToHeight="2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pageSetUpPr fitToPage="1"/>
  </sheetPr>
  <dimension ref="A1:XES102"/>
  <sheetViews>
    <sheetView showGridLines="0" zoomScale="60" zoomScaleNormal="60" workbookViewId="0">
      <pane xSplit="11" ySplit="13" topLeftCell="L14" activePane="bottomRight" state="frozen"/>
      <selection activeCell="I14" sqref="I14"/>
      <selection pane="topRight" activeCell="I14" sqref="I14"/>
      <selection pane="bottomLeft" activeCell="I14" sqref="I14"/>
      <selection pane="bottomRight" activeCell="D33" sqref="D33"/>
    </sheetView>
  </sheetViews>
  <sheetFormatPr baseColWidth="10" defaultColWidth="11.42578125" defaultRowHeight="12.75" x14ac:dyDescent="0.2"/>
  <cols>
    <col min="1" max="1" width="11.42578125" style="7"/>
    <col min="2" max="2" width="8.42578125" style="7" customWidth="1"/>
    <col min="3" max="3" width="40.7109375" style="7" customWidth="1"/>
    <col min="4" max="4" width="36" style="7" bestFit="1" customWidth="1"/>
    <col min="5" max="5" width="20.28515625" style="7" bestFit="1" customWidth="1"/>
    <col min="6" max="7" width="16.42578125" style="7" customWidth="1"/>
    <col min="8" max="8" width="3.42578125" style="7" customWidth="1"/>
    <col min="9" max="9" width="13" style="7" bestFit="1" customWidth="1"/>
    <col min="10" max="10" width="17.7109375" style="7" bestFit="1" customWidth="1"/>
    <col min="11" max="11" width="4.7109375" style="7" hidden="1" customWidth="1"/>
    <col min="12" max="39" width="7.28515625" style="7" customWidth="1"/>
    <col min="40" max="40" width="14" style="7" customWidth="1"/>
    <col min="41" max="41" width="20.85546875" style="7" customWidth="1"/>
    <col min="42" max="42" width="12.7109375" style="7" hidden="1" customWidth="1"/>
    <col min="43" max="43" width="19.42578125" style="7" hidden="1" customWidth="1"/>
    <col min="44" max="44" width="4.28515625" style="7" customWidth="1"/>
    <col min="45" max="45" width="10.42578125" style="7" customWidth="1"/>
    <col min="46" max="16371" width="11.42578125" style="7"/>
    <col min="16372" max="16376" width="0" style="7" hidden="1" customWidth="1"/>
    <col min="16377" max="16384" width="11.42578125" style="7"/>
  </cols>
  <sheetData>
    <row r="1" spans="1:250 16370:16373" ht="27.75" customHeight="1" x14ac:dyDescent="0.2">
      <c r="B1" s="75"/>
      <c r="C1" s="84" t="str">
        <f>+'ENE 26'!$C$1</f>
        <v>NOTA DE PEDIDO - 1° SEMESTRE 2026 (Enero - Junio)</v>
      </c>
      <c r="D1" s="85"/>
      <c r="E1" s="85"/>
      <c r="F1" s="85"/>
      <c r="G1" s="85"/>
      <c r="H1" s="85"/>
      <c r="I1" s="85"/>
      <c r="J1" s="85"/>
    </row>
    <row r="2" spans="1:250 16370:16373" ht="6" customHeight="1" x14ac:dyDescent="0.2"/>
    <row r="3" spans="1:250 16370:16373" ht="20.25" x14ac:dyDescent="0.2">
      <c r="C3" s="31" t="s">
        <v>54</v>
      </c>
      <c r="D3" s="83" t="s">
        <v>2</v>
      </c>
      <c r="I3" s="32"/>
      <c r="J3" s="32"/>
    </row>
    <row r="4" spans="1:250 16370:16373" ht="6" customHeight="1" x14ac:dyDescent="0.2"/>
    <row r="5" spans="1:250 16370:16373" ht="23.25" x14ac:dyDescent="0.2">
      <c r="C5" s="31" t="s">
        <v>4</v>
      </c>
      <c r="D5" s="305" t="str">
        <f>+IF(D7="","",(VLOOKUP(D7,AUX!$A$1:$B$5610,2,FALSE)))</f>
        <v/>
      </c>
      <c r="E5" s="306"/>
      <c r="F5" s="306"/>
      <c r="G5" s="306"/>
      <c r="H5" s="306"/>
      <c r="I5" s="306"/>
      <c r="J5" s="307"/>
    </row>
    <row r="6" spans="1:250 16370:16373" ht="6" customHeight="1" thickBot="1" x14ac:dyDescent="0.25"/>
    <row r="7" spans="1:250 16370:16373" ht="23.25" x14ac:dyDescent="0.35">
      <c r="C7" s="31" t="s">
        <v>53</v>
      </c>
      <c r="D7" s="86"/>
      <c r="E7" s="33"/>
      <c r="F7" s="33"/>
      <c r="G7" s="33"/>
      <c r="H7" s="34"/>
      <c r="I7" s="314" t="s">
        <v>55</v>
      </c>
      <c r="J7" s="315"/>
      <c r="K7" s="315"/>
      <c r="L7" s="315"/>
      <c r="M7" s="315"/>
      <c r="N7" s="315"/>
      <c r="O7" s="315"/>
      <c r="P7" s="315"/>
      <c r="Q7" s="316"/>
    </row>
    <row r="8" spans="1:250 16370:16373" ht="6" customHeight="1" thickBot="1" x14ac:dyDescent="0.25">
      <c r="I8" s="317"/>
      <c r="J8" s="318"/>
      <c r="K8" s="318"/>
      <c r="L8" s="318"/>
      <c r="M8" s="318"/>
      <c r="N8" s="318"/>
      <c r="O8" s="318"/>
      <c r="P8" s="318"/>
      <c r="Q8" s="326"/>
    </row>
    <row r="9" spans="1:250 16370:16373" ht="27" customHeight="1" thickBot="1" x14ac:dyDescent="0.25">
      <c r="C9" s="31"/>
      <c r="D9" s="103" t="str">
        <f>+AUX!J6</f>
        <v>ABR 2026</v>
      </c>
      <c r="I9" s="35" t="s">
        <v>52</v>
      </c>
      <c r="J9" s="337">
        <f>+AM9</f>
        <v>416</v>
      </c>
      <c r="K9" s="338"/>
      <c r="L9" s="35" t="s">
        <v>35</v>
      </c>
      <c r="M9" s="339">
        <f>+AO9</f>
        <v>14869304.812834224</v>
      </c>
      <c r="N9" s="340"/>
      <c r="O9" s="340"/>
      <c r="P9" s="340"/>
      <c r="Q9" s="341"/>
      <c r="AM9" s="77">
        <f>SUM(AM14:AM101)</f>
        <v>416</v>
      </c>
      <c r="AN9" s="27"/>
      <c r="AO9" s="78">
        <f>SUM(AO14:AO101)</f>
        <v>14869304.812834224</v>
      </c>
    </row>
    <row r="10" spans="1:250 16370:16373" ht="6" customHeight="1" thickBot="1" x14ac:dyDescent="0.25"/>
    <row r="11" spans="1:250 16370:16373" ht="21" thickBot="1" x14ac:dyDescent="0.25">
      <c r="C11" s="1"/>
      <c r="D11" s="1"/>
      <c r="E11" s="1"/>
      <c r="F11" s="1"/>
      <c r="G11" s="1"/>
      <c r="H11" s="308" t="s">
        <v>6</v>
      </c>
      <c r="I11" s="309"/>
      <c r="J11" s="3" t="s">
        <v>51</v>
      </c>
      <c r="K11" s="4">
        <v>1</v>
      </c>
      <c r="L11" s="5" t="s">
        <v>7</v>
      </c>
      <c r="M11" s="6" t="s">
        <v>8</v>
      </c>
      <c r="N11" s="6" t="s">
        <v>9</v>
      </c>
      <c r="O11" s="6" t="s">
        <v>10</v>
      </c>
      <c r="P11" s="6" t="s">
        <v>11</v>
      </c>
      <c r="Q11" s="5" t="s">
        <v>12</v>
      </c>
      <c r="R11" s="6" t="s">
        <v>13</v>
      </c>
      <c r="S11" s="6" t="s">
        <v>14</v>
      </c>
      <c r="T11" s="6" t="s">
        <v>15</v>
      </c>
      <c r="U11" s="6" t="s">
        <v>16</v>
      </c>
      <c r="V11" s="6" t="s">
        <v>17</v>
      </c>
      <c r="W11" s="6" t="s">
        <v>18</v>
      </c>
      <c r="X11" s="6" t="s">
        <v>19</v>
      </c>
      <c r="Y11" s="6" t="s">
        <v>20</v>
      </c>
      <c r="Z11" s="6" t="s">
        <v>21</v>
      </c>
      <c r="AA11" s="5" t="s">
        <v>22</v>
      </c>
      <c r="AB11" s="6" t="s">
        <v>23</v>
      </c>
      <c r="AC11" s="6" t="s">
        <v>24</v>
      </c>
      <c r="AD11" s="6" t="s">
        <v>25</v>
      </c>
      <c r="AE11" s="6" t="s">
        <v>26</v>
      </c>
      <c r="AF11" s="6" t="s">
        <v>27</v>
      </c>
      <c r="AG11" s="6" t="s">
        <v>28</v>
      </c>
      <c r="AH11" s="6" t="s">
        <v>29</v>
      </c>
      <c r="AI11" s="6" t="s">
        <v>30</v>
      </c>
      <c r="AJ11" s="6" t="s">
        <v>31</v>
      </c>
      <c r="AK11" s="6" t="s">
        <v>32</v>
      </c>
      <c r="AL11" s="6" t="s">
        <v>33</v>
      </c>
      <c r="AM11" s="81" t="s">
        <v>34</v>
      </c>
      <c r="AN11" s="2" t="s">
        <v>5</v>
      </c>
      <c r="AO11" s="79" t="s">
        <v>35</v>
      </c>
    </row>
    <row r="12" spans="1:250 16370:16373" ht="21" thickBot="1" x14ac:dyDescent="0.25">
      <c r="H12" s="310" t="s">
        <v>37</v>
      </c>
      <c r="I12" s="311"/>
      <c r="J12" s="9" t="s">
        <v>670</v>
      </c>
      <c r="K12" s="10">
        <v>2</v>
      </c>
      <c r="L12" s="226"/>
      <c r="M12" s="189"/>
      <c r="N12" s="189"/>
      <c r="O12" s="189"/>
      <c r="P12" s="189"/>
      <c r="Q12" s="95"/>
      <c r="R12" s="189"/>
      <c r="S12" s="189"/>
      <c r="T12" s="189"/>
      <c r="U12" s="227"/>
      <c r="V12" s="189"/>
      <c r="W12" s="189"/>
      <c r="X12" s="189"/>
      <c r="Y12" s="189"/>
      <c r="Z12" s="228"/>
      <c r="AA12" s="229"/>
      <c r="AB12" s="189"/>
      <c r="AC12" s="189"/>
      <c r="AD12" s="189"/>
      <c r="AE12" s="189"/>
      <c r="AF12" s="230"/>
      <c r="AG12" s="230"/>
      <c r="AH12" s="230"/>
      <c r="AI12" s="231"/>
      <c r="AJ12" s="95"/>
      <c r="AK12" s="230"/>
      <c r="AL12" s="230"/>
      <c r="AM12" s="82" t="s">
        <v>38</v>
      </c>
      <c r="AN12" s="8" t="s">
        <v>36</v>
      </c>
      <c r="AO12" s="80" t="s">
        <v>38</v>
      </c>
      <c r="HR12" s="123"/>
      <c r="HS12" s="123"/>
      <c r="HT12" s="123"/>
      <c r="HU12" s="123"/>
      <c r="HV12" s="123"/>
      <c r="HW12" s="123"/>
      <c r="HX12" s="123"/>
      <c r="HY12" s="123"/>
      <c r="HZ12" s="123"/>
      <c r="IA12" s="123"/>
      <c r="IB12" s="123"/>
      <c r="IC12" s="123"/>
      <c r="IE12" s="123"/>
      <c r="IF12" s="123"/>
      <c r="IG12" s="123"/>
      <c r="IH12" s="123"/>
      <c r="II12" s="123"/>
      <c r="IJ12" s="123"/>
      <c r="IK12" s="123"/>
      <c r="IL12" s="123"/>
      <c r="IM12" s="123"/>
      <c r="IN12" s="123"/>
      <c r="IO12" s="123"/>
      <c r="IP12" s="123"/>
      <c r="XEP12" s="7">
        <f>+SUM(XEP14:XEP94)</f>
        <v>74</v>
      </c>
      <c r="XEQ12" s="7">
        <f t="shared" ref="XEQ12:XES12" si="0">+SUM(XEQ14:XEQ94)</f>
        <v>0</v>
      </c>
      <c r="XER12" s="7">
        <f t="shared" si="0"/>
        <v>0</v>
      </c>
      <c r="XES12" s="7">
        <f t="shared" si="0"/>
        <v>130</v>
      </c>
    </row>
    <row r="13" spans="1:250 16370:16373" ht="21" thickBot="1" x14ac:dyDescent="0.25">
      <c r="A13" s="75" t="s">
        <v>437</v>
      </c>
      <c r="B13" s="75"/>
      <c r="C13" s="75" t="s">
        <v>39</v>
      </c>
      <c r="D13" s="75" t="s">
        <v>40</v>
      </c>
      <c r="E13" s="75" t="s">
        <v>56</v>
      </c>
      <c r="F13" s="75" t="s">
        <v>373</v>
      </c>
      <c r="G13" s="75" t="s">
        <v>380</v>
      </c>
      <c r="H13" s="12"/>
      <c r="I13" s="13"/>
      <c r="J13" s="23"/>
      <c r="K13" s="14"/>
      <c r="L13" s="270"/>
      <c r="M13" s="271"/>
      <c r="N13" s="95"/>
      <c r="O13" s="96"/>
      <c r="P13" s="97"/>
      <c r="Q13" s="98"/>
      <c r="R13" s="95"/>
      <c r="S13" s="95"/>
      <c r="T13" s="95"/>
      <c r="U13" s="95"/>
      <c r="V13" s="95"/>
      <c r="W13" s="95"/>
      <c r="X13" s="95"/>
      <c r="Y13" s="96"/>
      <c r="Z13" s="97"/>
      <c r="AA13" s="99"/>
      <c r="AB13" s="95"/>
      <c r="AC13" s="95"/>
      <c r="AD13" s="95"/>
      <c r="AE13" s="95"/>
      <c r="AF13" s="95"/>
      <c r="AG13" s="95"/>
      <c r="AH13" s="95"/>
      <c r="AI13" s="100"/>
      <c r="AJ13" s="95"/>
      <c r="AK13" s="95"/>
      <c r="AL13" s="95"/>
      <c r="AM13" s="15"/>
      <c r="AN13" s="11"/>
      <c r="AO13" s="16"/>
      <c r="AP13" s="75" t="s">
        <v>442</v>
      </c>
      <c r="AQ13" s="75" t="s">
        <v>616</v>
      </c>
      <c r="IA13" s="123"/>
      <c r="IB13" s="123"/>
      <c r="IC13" s="123"/>
      <c r="IN13" s="123"/>
      <c r="IO13" s="123"/>
      <c r="IP13" s="123"/>
      <c r="XEP13" s="7" t="s">
        <v>451</v>
      </c>
      <c r="XEQ13" s="7" t="s">
        <v>617</v>
      </c>
      <c r="XER13" s="7" t="s">
        <v>618</v>
      </c>
      <c r="XES13" s="7" t="s">
        <v>453</v>
      </c>
    </row>
    <row r="14" spans="1:250 16370:16373" ht="23.25" customHeight="1" x14ac:dyDescent="0.25">
      <c r="A14" s="104" t="str">
        <f>IF($I14&gt;0,VLOOKUP(I14,'Lista de Precios'!$A$3:$L$2883,9,0),0)</f>
        <v>Mujer</v>
      </c>
      <c r="B14" s="74" t="str">
        <f>IF($I14&gt;0,VLOOKUP(I14,'Lista de Precios'!$A$3:$H$2883,7,0),0)</f>
        <v>NC</v>
      </c>
      <c r="C14" s="7" t="str">
        <f>IF($I14&gt;0,VLOOKUP(I14,'Lista de Precios'!$A$3:$H$2883,2,0),"")</f>
        <v>DRIVE 2</v>
      </c>
      <c r="D14" s="7" t="str">
        <f>IF($I14&gt;0,VLOOKUP($I14,'Lista de Precios'!$A$3:$H$2883,3,0),"")</f>
        <v>ROSA STOOL/VIOLETA HUCKLE</v>
      </c>
      <c r="E14" s="76" t="str">
        <f>IF($I14&gt;0,VLOOKUP(I14,'Lista de Precios'!$A$3:$H$2883,6,0),"")</f>
        <v>FEBRERO</v>
      </c>
      <c r="F14" s="76" t="str">
        <f>IF($I14&gt;0,VLOOKUP(I14,'Lista de Precios'!$A$3:$H$2883,8,0),"")</f>
        <v>35 AL 40</v>
      </c>
      <c r="G14" s="101">
        <f>IF(AN14="","",AN14*1.87)</f>
        <v>78900</v>
      </c>
      <c r="H14" s="19" t="s">
        <v>3</v>
      </c>
      <c r="I14" s="18">
        <v>27351</v>
      </c>
      <c r="J14" s="28" t="str">
        <f>+E14</f>
        <v>FEBRERO</v>
      </c>
      <c r="K14" s="24">
        <f>+IF($I14&gt;0,VLOOKUP($I14,'Lista de Precios'!$A$3:$H$2883,5,0),0)</f>
        <v>1</v>
      </c>
      <c r="L14" s="36"/>
      <c r="M14" s="36"/>
      <c r="N14" s="36"/>
      <c r="O14" s="37"/>
      <c r="P14" s="38"/>
      <c r="Q14" s="39"/>
      <c r="R14" s="37"/>
      <c r="S14" s="37"/>
      <c r="T14" s="37"/>
      <c r="U14" s="37"/>
      <c r="V14" s="37"/>
      <c r="W14" s="37"/>
      <c r="X14" s="37"/>
      <c r="Y14" s="37"/>
      <c r="Z14" s="40"/>
      <c r="AA14" s="41"/>
      <c r="AB14" s="37"/>
      <c r="AC14" s="37">
        <v>2</v>
      </c>
      <c r="AD14" s="37">
        <v>4</v>
      </c>
      <c r="AE14" s="37">
        <v>4</v>
      </c>
      <c r="AF14" s="37">
        <v>2</v>
      </c>
      <c r="AG14" s="37"/>
      <c r="AH14" s="36"/>
      <c r="AI14" s="36"/>
      <c r="AJ14" s="43"/>
      <c r="AK14" s="43"/>
      <c r="AL14" s="43"/>
      <c r="AM14" s="73">
        <f t="shared" ref="AM14:AM46" si="1">+IF(I14&gt;0,SUM(L14:AL14),0)</f>
        <v>12</v>
      </c>
      <c r="AN14" s="70">
        <f>+IF($I14&gt;0,VLOOKUP($I14,'Lista de Precios'!$A$3:$H$2883,4,0),"")</f>
        <v>42192.513368983957</v>
      </c>
      <c r="AO14" s="67">
        <f>+IF(AM14&gt;0,AN14*AM14,"")</f>
        <v>506310.16042780748</v>
      </c>
      <c r="AP14" s="7" t="str">
        <f>IF($I14&gt;0,VLOOKUP($I14,'Lista de Precios'!$A$3:$K$2883,10,0),"")</f>
        <v>Training</v>
      </c>
      <c r="AQ14" s="7" t="str">
        <f>IF($I14&gt;0,VLOOKUP($I14,'Lista de Precios'!$A$3:$M$4893,13,0),"")</f>
        <v>Running+Training</v>
      </c>
      <c r="AR14" s="7" t="str">
        <f>IF($I14&gt;0,VLOOKUP(I14,'Lista de Precios'!$A$3:$M$2883,13,0),"")</f>
        <v>Running+Training</v>
      </c>
      <c r="HR14" s="134"/>
      <c r="HS14" s="134"/>
      <c r="HT14" s="134"/>
      <c r="HU14" s="134"/>
      <c r="HV14" s="134"/>
      <c r="HW14" s="134"/>
      <c r="HX14" s="134"/>
      <c r="HY14" s="134"/>
      <c r="HZ14" s="134"/>
      <c r="IA14" s="134"/>
      <c r="IB14" s="134"/>
      <c r="IC14" s="134"/>
      <c r="IE14" s="134"/>
      <c r="IF14" s="134"/>
      <c r="IG14" s="134"/>
      <c r="IH14" s="134"/>
      <c r="II14" s="134"/>
      <c r="IJ14" s="134"/>
      <c r="IK14" s="134"/>
      <c r="IL14" s="134"/>
      <c r="IM14" s="134"/>
      <c r="IN14" s="135"/>
      <c r="IO14" s="135"/>
      <c r="IP14" s="135"/>
      <c r="XEP14" s="7" t="str">
        <f>+IF($AQ14=$XEP$13,$AM14,"")</f>
        <v/>
      </c>
      <c r="XEQ14" s="7" t="str">
        <f>+IF($AQ14=$XEQ$13,$AM14,"")</f>
        <v/>
      </c>
      <c r="XER14" s="7" t="str">
        <f>+IF($AQ14=$XER$13,$AM14,"")</f>
        <v/>
      </c>
      <c r="XES14" s="7" t="str">
        <f>+IF($AQ14=$XES$13,$AM14,"")</f>
        <v/>
      </c>
    </row>
    <row r="15" spans="1:250 16370:16373" ht="23.25" customHeight="1" x14ac:dyDescent="0.25">
      <c r="A15" s="74" t="str">
        <f>IF($I15&gt;0,VLOOKUP(I15,'Lista de Precios'!$A$3:$L$2883,9,0),0)</f>
        <v>Mujer</v>
      </c>
      <c r="B15" s="74" t="str">
        <f>IF($I15&gt;0,VLOOKUP(I15,'Lista de Precios'!$A$3:$H$2883,7,0),0)</f>
        <v>NC</v>
      </c>
      <c r="C15" s="7" t="str">
        <f>IF($I15&gt;0,VLOOKUP(I15,'Lista de Precios'!$A$3:$H$2883,2,0),"")</f>
        <v>STANCE 3</v>
      </c>
      <c r="D15" s="7" t="str">
        <f>IF($I15&gt;0,VLOOKUP(I15,'Lista de Precios'!$A$3:$H$2883,3,0),"")</f>
        <v>AZUL POND/CELESTE SKY/DIVA PINK</v>
      </c>
      <c r="E15" s="76" t="str">
        <f>IF($I15&gt;0,VLOOKUP(I15,'Lista de Precios'!$A$3:$H$2883,6,0),"")</f>
        <v>MARZO</v>
      </c>
      <c r="F15" s="76" t="str">
        <f>IF($I15&gt;0,VLOOKUP(I15,'Lista de Precios'!$A$3:$H$2883,8,0),"")</f>
        <v>35 AL 40</v>
      </c>
      <c r="G15" s="101">
        <f t="shared" ref="G15:G79" si="2">IF(AN15="","",AN15*1.87)</f>
        <v>78900</v>
      </c>
      <c r="H15" s="20" t="s">
        <v>3</v>
      </c>
      <c r="I15" s="18">
        <v>52402</v>
      </c>
      <c r="J15" s="28" t="str">
        <f>+E15</f>
        <v>MARZO</v>
      </c>
      <c r="K15" s="24">
        <f>+IF($I15&gt;0,VLOOKUP($I15,'Lista de Precios'!$A$3:$H$2883,5,0),0)</f>
        <v>1</v>
      </c>
      <c r="L15" s="36"/>
      <c r="M15" s="36"/>
      <c r="N15" s="36"/>
      <c r="O15" s="37"/>
      <c r="P15" s="38"/>
      <c r="Q15" s="39"/>
      <c r="R15" s="37"/>
      <c r="S15" s="37"/>
      <c r="T15" s="37"/>
      <c r="U15" s="37"/>
      <c r="V15" s="37"/>
      <c r="W15" s="37"/>
      <c r="X15" s="37"/>
      <c r="Y15" s="37"/>
      <c r="Z15" s="40"/>
      <c r="AA15" s="41"/>
      <c r="AB15" s="37">
        <v>2</v>
      </c>
      <c r="AC15" s="37">
        <v>4</v>
      </c>
      <c r="AD15" s="37">
        <v>10</v>
      </c>
      <c r="AE15" s="37">
        <v>8</v>
      </c>
      <c r="AF15" s="37">
        <v>6</v>
      </c>
      <c r="AG15" s="37"/>
      <c r="AH15" s="36"/>
      <c r="AI15" s="36"/>
      <c r="AJ15" s="43"/>
      <c r="AK15" s="43"/>
      <c r="AL15" s="43"/>
      <c r="AM15" s="73">
        <f t="shared" si="1"/>
        <v>30</v>
      </c>
      <c r="AN15" s="71">
        <f>+IF($I15&gt;0,VLOOKUP($I15,'Lista de Precios'!$A$3:$H$2883,4,0),"")</f>
        <v>42192.513368983957</v>
      </c>
      <c r="AO15" s="68">
        <f t="shared" ref="AO15:AO79" si="3">+IF(AM15&gt;0,AN15*AM15,"")</f>
        <v>1265775.4010695186</v>
      </c>
      <c r="AP15" s="7" t="str">
        <f>IF($I15&gt;0,VLOOKUP($I15,'Lista de Precios'!$A$3:$K$2883,10,0),"")</f>
        <v>Training</v>
      </c>
      <c r="AQ15" s="7" t="str">
        <f>IF($I15&gt;0,VLOOKUP($I15,'Lista de Precios'!$A$3:$M$4893,13,0),"")</f>
        <v>Running+Training</v>
      </c>
      <c r="AR15" s="7" t="str">
        <f>IF($I15&gt;0,VLOOKUP(I15,'Lista de Precios'!$A$3:$M$2883,13,0),"")</f>
        <v>Running+Training</v>
      </c>
      <c r="HR15" s="134"/>
      <c r="HS15" s="134"/>
      <c r="HT15" s="134"/>
      <c r="HU15" s="134"/>
      <c r="HV15" s="134"/>
      <c r="HW15" s="134"/>
      <c r="HX15" s="134"/>
      <c r="HY15" s="134"/>
      <c r="HZ15" s="134"/>
      <c r="IA15" s="134"/>
      <c r="IB15" s="134"/>
      <c r="IC15" s="134"/>
      <c r="IE15" s="134"/>
      <c r="IF15" s="134"/>
      <c r="IG15" s="134"/>
      <c r="IH15" s="134"/>
      <c r="II15" s="134"/>
      <c r="IJ15" s="134"/>
      <c r="IK15" s="134"/>
      <c r="IL15" s="134"/>
      <c r="IM15" s="134"/>
      <c r="IN15" s="135"/>
      <c r="IO15" s="135"/>
      <c r="IP15" s="135"/>
      <c r="XEP15" s="7" t="str">
        <f t="shared" ref="XEP15:XEP79" si="4">+IF($AQ15=$XEP$13,$AM15,"")</f>
        <v/>
      </c>
      <c r="XEQ15" s="7" t="str">
        <f t="shared" ref="XEQ15:XEQ79" si="5">+IF($AQ15=$XEQ$13,$AM15,"")</f>
        <v/>
      </c>
      <c r="XER15" s="7" t="str">
        <f t="shared" ref="XER15:XER79" si="6">+IF($AQ15=$XER$13,$AM15,"")</f>
        <v/>
      </c>
      <c r="XES15" s="7" t="str">
        <f t="shared" ref="XES15:XES79" si="7">+IF($AQ15=$XES$13,$AM15,"")</f>
        <v/>
      </c>
    </row>
    <row r="16" spans="1:250 16370:16373" ht="23.25" customHeight="1" x14ac:dyDescent="0.25">
      <c r="A16" s="74" t="str">
        <f>IF($I16&gt;0,VLOOKUP(I16,'Lista de Precios'!$A$3:$L$2883,9,0),0)</f>
        <v>Hombre</v>
      </c>
      <c r="B16" s="74" t="str">
        <f>IF($I16&gt;0,VLOOKUP(I16,'Lista de Precios'!$A$3:$H$2883,7,0),0)</f>
        <v>LANZ</v>
      </c>
      <c r="C16" s="7" t="str">
        <f>IF($I16&gt;0,VLOOKUP(I16,'Lista de Precios'!$A$3:$H$2883,2,0),"")</f>
        <v>STRONG PACE 4</v>
      </c>
      <c r="D16" s="7" t="str">
        <f>IF($I16&gt;0,VLOOKUP(I16,'Lista de Precios'!$A$3:$H$2883,3,0),"")</f>
        <v>NEGRO/BLANCO</v>
      </c>
      <c r="E16" s="76" t="str">
        <f>IF($I16&gt;0,VLOOKUP(I16,'Lista de Precios'!$A$3:$H$2883,6,0),"")</f>
        <v>MARZO</v>
      </c>
      <c r="F16" s="76" t="str">
        <f>IF($I16&gt;0,VLOOKUP(I16,'Lista de Precios'!$A$3:$H$2883,8,0),"")</f>
        <v>35 AL 46</v>
      </c>
      <c r="G16" s="101">
        <f t="shared" si="2"/>
        <v>62899.999999999993</v>
      </c>
      <c r="H16" s="20" t="s">
        <v>3</v>
      </c>
      <c r="I16" s="18">
        <v>27352</v>
      </c>
      <c r="J16" s="28" t="str">
        <f t="shared" ref="J16:J80" si="8">+E16</f>
        <v>MARZO</v>
      </c>
      <c r="K16" s="24">
        <f>+IF($I16&gt;0,VLOOKUP($I16,'Lista de Precios'!$A$3:$H$2883,5,0),0)</f>
        <v>1</v>
      </c>
      <c r="L16" s="36"/>
      <c r="M16" s="36"/>
      <c r="N16" s="36"/>
      <c r="O16" s="37"/>
      <c r="P16" s="38"/>
      <c r="Q16" s="39"/>
      <c r="R16" s="37"/>
      <c r="S16" s="37"/>
      <c r="T16" s="37"/>
      <c r="U16" s="37"/>
      <c r="V16" s="37"/>
      <c r="W16" s="37"/>
      <c r="X16" s="37"/>
      <c r="Y16" s="37"/>
      <c r="Z16" s="40"/>
      <c r="AA16" s="41">
        <v>2</v>
      </c>
      <c r="AB16" s="37">
        <v>2</v>
      </c>
      <c r="AC16" s="37">
        <v>4</v>
      </c>
      <c r="AD16" s="37">
        <v>8</v>
      </c>
      <c r="AE16" s="37">
        <v>8</v>
      </c>
      <c r="AF16" s="37">
        <v>6</v>
      </c>
      <c r="AG16" s="37">
        <v>8</v>
      </c>
      <c r="AH16" s="36">
        <v>8</v>
      </c>
      <c r="AI16" s="36">
        <v>4</v>
      </c>
      <c r="AJ16" s="43">
        <v>2</v>
      </c>
      <c r="AK16" s="43">
        <v>2</v>
      </c>
      <c r="AL16" s="43">
        <v>2</v>
      </c>
      <c r="AM16" s="73">
        <f t="shared" si="1"/>
        <v>56</v>
      </c>
      <c r="AN16" s="71">
        <f>+IF($I16&gt;0,VLOOKUP($I16,'Lista de Precios'!$A$3:$H$2883,4,0),"")</f>
        <v>33636.363636363632</v>
      </c>
      <c r="AO16" s="68">
        <f t="shared" si="3"/>
        <v>1883636.3636363633</v>
      </c>
      <c r="AP16" s="7" t="str">
        <f>IF($I16&gt;0,VLOOKUP($I16,'Lista de Precios'!$A$3:$K$2883,10,0),"")</f>
        <v>Training</v>
      </c>
      <c r="AQ16" s="7" t="str">
        <f>IF($I16&gt;0,VLOOKUP($I16,'Lista de Precios'!$A$3:$M$4893,13,0),"")</f>
        <v>Running+Training</v>
      </c>
      <c r="AR16" s="7" t="str">
        <f>IF($I16&gt;0,VLOOKUP(I16,'Lista de Precios'!$A$3:$M$2883,13,0),"")</f>
        <v>Running+Training</v>
      </c>
      <c r="HR16" s="134"/>
      <c r="HS16" s="134"/>
      <c r="HT16" s="134"/>
      <c r="HU16" s="134"/>
      <c r="HV16" s="134"/>
      <c r="HW16" s="134"/>
      <c r="HX16" s="134"/>
      <c r="HY16" s="134"/>
      <c r="HZ16" s="134"/>
      <c r="IA16" s="134"/>
      <c r="IB16" s="134"/>
      <c r="IC16" s="134"/>
      <c r="IE16" s="134"/>
      <c r="IF16" s="134"/>
      <c r="IG16" s="134"/>
      <c r="IH16" s="134"/>
      <c r="II16" s="134"/>
      <c r="IJ16" s="134"/>
      <c r="IK16" s="134"/>
      <c r="IL16" s="134"/>
      <c r="IM16" s="134"/>
      <c r="IN16" s="135"/>
      <c r="IO16" s="135"/>
      <c r="IP16" s="135"/>
      <c r="XEP16" s="7" t="str">
        <f t="shared" si="4"/>
        <v/>
      </c>
      <c r="XEQ16" s="7" t="str">
        <f t="shared" si="5"/>
        <v/>
      </c>
      <c r="XER16" s="7" t="str">
        <f t="shared" si="6"/>
        <v/>
      </c>
      <c r="XES16" s="7" t="str">
        <f t="shared" si="7"/>
        <v/>
      </c>
    </row>
    <row r="17" spans="1:250 16369:16373" ht="23.25" customHeight="1" x14ac:dyDescent="0.25">
      <c r="A17" s="74" t="str">
        <f>IF($I17&gt;0,VLOOKUP(I17,'Lista de Precios'!$A$3:$L$2883,9,0),0)</f>
        <v>Mujer</v>
      </c>
      <c r="B17" s="74" t="str">
        <f>IF($I17&gt;0,VLOOKUP(I17,'Lista de Precios'!$A$3:$H$2883,7,0),0)</f>
        <v>LANZ</v>
      </c>
      <c r="C17" s="7" t="str">
        <f>IF($I17&gt;0,VLOOKUP(I17,'Lista de Precios'!$A$3:$H$2883,2,0),"")</f>
        <v>STRONG PACE 4</v>
      </c>
      <c r="D17" s="7" t="str">
        <f>IF($I17&gt;0,VLOOKUP(I17,'Lista de Precios'!$A$3:$H$2883,3,0),"")</f>
        <v>GRIS PE/ROSA PEONY</v>
      </c>
      <c r="E17" s="76" t="str">
        <f>IF($I17&gt;0,VLOOKUP(I17,'Lista de Precios'!$A$3:$H$2883,6,0),"")</f>
        <v>MARZO</v>
      </c>
      <c r="F17" s="76" t="str">
        <f>IF($I17&gt;0,VLOOKUP(I17,'Lista de Precios'!$A$3:$H$2883,8,0),"")</f>
        <v>35 AL 40</v>
      </c>
      <c r="G17" s="101">
        <f t="shared" si="2"/>
        <v>62899.999999999993</v>
      </c>
      <c r="H17" s="20" t="s">
        <v>3</v>
      </c>
      <c r="I17" s="18">
        <v>27354</v>
      </c>
      <c r="J17" s="28" t="str">
        <f t="shared" si="8"/>
        <v>MARZO</v>
      </c>
      <c r="K17" s="24">
        <f>+IF($I17&gt;0,VLOOKUP($I17,'Lista de Precios'!$A$3:$H$2883,5,0),0)</f>
        <v>1</v>
      </c>
      <c r="L17" s="36"/>
      <c r="M17" s="36"/>
      <c r="N17" s="36"/>
      <c r="O17" s="37"/>
      <c r="P17" s="38"/>
      <c r="Q17" s="39"/>
      <c r="R17" s="37"/>
      <c r="S17" s="37"/>
      <c r="T17" s="37"/>
      <c r="U17" s="37"/>
      <c r="V17" s="37"/>
      <c r="W17" s="37"/>
      <c r="X17" s="37"/>
      <c r="Y17" s="37"/>
      <c r="Z17" s="40"/>
      <c r="AA17" s="41"/>
      <c r="AB17" s="37">
        <v>2</v>
      </c>
      <c r="AC17" s="37">
        <v>4</v>
      </c>
      <c r="AD17" s="37">
        <v>8</v>
      </c>
      <c r="AE17" s="37">
        <v>8</v>
      </c>
      <c r="AF17" s="37">
        <v>6</v>
      </c>
      <c r="AG17" s="37"/>
      <c r="AH17" s="36"/>
      <c r="AI17" s="36"/>
      <c r="AJ17" s="43"/>
      <c r="AK17" s="43"/>
      <c r="AL17" s="43"/>
      <c r="AM17" s="73">
        <f t="shared" si="1"/>
        <v>28</v>
      </c>
      <c r="AN17" s="71">
        <f>+IF($I17&gt;0,VLOOKUP($I17,'Lista de Precios'!$A$3:$H$2883,4,0),"")</f>
        <v>33636.363636363632</v>
      </c>
      <c r="AO17" s="68">
        <f t="shared" si="3"/>
        <v>941818.18181818165</v>
      </c>
      <c r="AP17" s="7" t="str">
        <f>IF($I17&gt;0,VLOOKUP($I17,'Lista de Precios'!$A$3:$K$2883,10,0),"")</f>
        <v>Training</v>
      </c>
      <c r="AQ17" s="7" t="str">
        <f>IF($I17&gt;0,VLOOKUP($I17,'Lista de Precios'!$A$3:$M$4893,13,0),"")</f>
        <v>Running+Training</v>
      </c>
      <c r="AR17" s="7" t="str">
        <f>IF($I17&gt;0,VLOOKUP(I17,'Lista de Precios'!$A$3:$M$2883,13,0),"")</f>
        <v>Running+Training</v>
      </c>
      <c r="HR17" s="134"/>
      <c r="HS17" s="134"/>
      <c r="HT17" s="134"/>
      <c r="HU17" s="134"/>
      <c r="HV17" s="134"/>
      <c r="HW17" s="134"/>
      <c r="HX17" s="134"/>
      <c r="HY17" s="134"/>
      <c r="HZ17" s="134"/>
      <c r="IA17" s="134"/>
      <c r="IB17" s="134"/>
      <c r="IC17" s="134"/>
      <c r="IE17" s="134"/>
      <c r="IF17" s="134"/>
      <c r="IG17" s="134"/>
      <c r="IH17" s="134"/>
      <c r="II17" s="134"/>
      <c r="IJ17" s="134"/>
      <c r="IK17" s="134"/>
      <c r="IL17" s="134"/>
      <c r="IM17" s="134"/>
      <c r="IN17" s="135"/>
      <c r="IO17" s="135"/>
      <c r="IP17" s="135"/>
      <c r="XEP17" s="7" t="str">
        <f t="shared" si="4"/>
        <v/>
      </c>
      <c r="XEQ17" s="7" t="str">
        <f t="shared" si="5"/>
        <v/>
      </c>
      <c r="XER17" s="7" t="str">
        <f t="shared" si="6"/>
        <v/>
      </c>
      <c r="XES17" s="7" t="str">
        <f t="shared" si="7"/>
        <v/>
      </c>
    </row>
    <row r="18" spans="1:250 16369:16373" ht="23.25" customHeight="1" x14ac:dyDescent="0.25">
      <c r="A18" s="74">
        <f>IF($I18&gt;0,VLOOKUP(I18,'Lista de Precios'!$A$3:$L$2883,9,0),0)</f>
        <v>0</v>
      </c>
      <c r="B18" s="74">
        <f>IF($I18&gt;0,VLOOKUP(I18,'Lista de Precios'!$A$3:$H$2883,7,0),0)</f>
        <v>0</v>
      </c>
      <c r="C18" s="7" t="str">
        <f>IF($I18&gt;0,VLOOKUP(I18,'Lista de Precios'!$A$3:$H$2883,2,0),"")</f>
        <v/>
      </c>
      <c r="D18" s="7" t="str">
        <f>IF($I18&gt;0,VLOOKUP(I18,'Lista de Precios'!$A$3:$H$2883,3,0),"")</f>
        <v/>
      </c>
      <c r="E18" s="76" t="str">
        <f>IF($I18&gt;0,VLOOKUP(I18,'Lista de Precios'!$A$3:$H$2883,6,0),"")</f>
        <v/>
      </c>
      <c r="F18" s="76" t="str">
        <f>IF($I18&gt;0,VLOOKUP(I18,'Lista de Precios'!$A$3:$H$2883,8,0),"")</f>
        <v/>
      </c>
      <c r="G18" s="101" t="str">
        <f t="shared" si="2"/>
        <v/>
      </c>
      <c r="H18" s="20" t="s">
        <v>3</v>
      </c>
      <c r="I18" s="18"/>
      <c r="J18" s="28" t="str">
        <f t="shared" si="8"/>
        <v/>
      </c>
      <c r="K18" s="24">
        <f>+IF($I18&gt;0,VLOOKUP($I18,'Lista de Precios'!$A$3:$H$2883,5,0),0)</f>
        <v>0</v>
      </c>
      <c r="L18" s="36"/>
      <c r="M18" s="36"/>
      <c r="N18" s="36"/>
      <c r="O18" s="37"/>
      <c r="P18" s="38"/>
      <c r="Q18" s="39"/>
      <c r="R18" s="37"/>
      <c r="S18" s="37"/>
      <c r="T18" s="37"/>
      <c r="U18" s="37"/>
      <c r="V18" s="37"/>
      <c r="W18" s="37"/>
      <c r="X18" s="37"/>
      <c r="Y18" s="37"/>
      <c r="Z18" s="40"/>
      <c r="AA18" s="41"/>
      <c r="AB18" s="37"/>
      <c r="AC18" s="37"/>
      <c r="AD18" s="37"/>
      <c r="AE18" s="37"/>
      <c r="AF18" s="37"/>
      <c r="AG18" s="37"/>
      <c r="AH18" s="42"/>
      <c r="AI18" s="42"/>
      <c r="AJ18" s="43"/>
      <c r="AK18" s="43"/>
      <c r="AL18" s="43"/>
      <c r="AM18" s="73">
        <f t="shared" si="1"/>
        <v>0</v>
      </c>
      <c r="AN18" s="71" t="str">
        <f>+IF($I18&gt;0,VLOOKUP($I18,'Lista de Precios'!$A$3:$H$2883,4,0),"")</f>
        <v/>
      </c>
      <c r="AO18" s="68" t="str">
        <f t="shared" si="3"/>
        <v/>
      </c>
      <c r="AP18" s="7" t="str">
        <f>IF($I18&gt;0,VLOOKUP($I18,'Lista de Precios'!$A$3:$K$2883,10,0),"")</f>
        <v/>
      </c>
      <c r="AQ18" s="7" t="str">
        <f>IF($I18&gt;0,VLOOKUP($I18,'Lista de Precios'!$A$3:$M$4893,13,0),"")</f>
        <v/>
      </c>
      <c r="AR18" s="7" t="str">
        <f>IF($I18&gt;0,VLOOKUP(I18,'Lista de Precios'!$A$3:$M$2883,13,0),"")</f>
        <v/>
      </c>
      <c r="HR18" s="134"/>
      <c r="HS18" s="134"/>
      <c r="HT18" s="134"/>
      <c r="HU18" s="134"/>
      <c r="HV18" s="134"/>
      <c r="HW18" s="134"/>
      <c r="HX18" s="134"/>
      <c r="HY18" s="134"/>
      <c r="HZ18" s="134"/>
      <c r="IA18" s="134"/>
      <c r="IB18" s="134"/>
      <c r="IC18" s="134"/>
      <c r="IE18" s="134"/>
      <c r="IF18" s="134"/>
      <c r="IG18" s="134"/>
      <c r="IH18" s="134"/>
      <c r="II18" s="134"/>
      <c r="IJ18" s="134"/>
      <c r="IK18" s="134"/>
      <c r="IL18" s="134"/>
      <c r="IM18" s="134"/>
      <c r="IN18" s="135"/>
      <c r="IO18" s="135"/>
      <c r="IP18" s="135"/>
      <c r="XEP18" s="7" t="str">
        <f t="shared" si="4"/>
        <v/>
      </c>
      <c r="XEQ18" s="7" t="str">
        <f t="shared" si="5"/>
        <v/>
      </c>
      <c r="XER18" s="7" t="str">
        <f t="shared" si="6"/>
        <v/>
      </c>
      <c r="XES18" s="7" t="str">
        <f t="shared" si="7"/>
        <v/>
      </c>
    </row>
    <row r="19" spans="1:250 16369:16373" ht="23.25" customHeight="1" x14ac:dyDescent="0.25">
      <c r="A19" s="74" t="str">
        <f>IF($I19&gt;0,VLOOKUP(I19,'Lista de Precios'!$A$3:$L$2883,9,0),0)</f>
        <v>Kids</v>
      </c>
      <c r="B19" s="74" t="str">
        <f>IF($I19&gt;0,VLOOKUP(I19,'Lista de Precios'!$A$3:$H$2883,7,0),0)</f>
        <v>CONT</v>
      </c>
      <c r="C19" s="7" t="str">
        <f>IF($I19&gt;0,VLOOKUP(I19,'Lista de Precios'!$A$3:$H$2883,2,0),"")</f>
        <v>SAN CIRO V FG KIDS</v>
      </c>
      <c r="D19" s="7" t="str">
        <f>IF($I19&gt;0,VLOOKUP(I19,'Lista de Precios'!$A$3:$H$2883,3,0),"")</f>
        <v>NEGRO</v>
      </c>
      <c r="E19" s="76" t="str">
        <f>IF($I19&gt;0,VLOOKUP(I19,'Lista de Precios'!$A$3:$H$2883,6,0),"")</f>
        <v>ENERO</v>
      </c>
      <c r="F19" s="76" t="str">
        <f>IF($I19&gt;0,VLOOKUP(I19,'Lista de Precios'!$A$3:$H$2883,8,0),"")</f>
        <v>27 AL 34</v>
      </c>
      <c r="G19" s="101">
        <f t="shared" si="2"/>
        <v>46900</v>
      </c>
      <c r="H19" s="20" t="s">
        <v>3</v>
      </c>
      <c r="I19" s="18">
        <v>55182</v>
      </c>
      <c r="J19" s="28" t="str">
        <f t="shared" si="8"/>
        <v>ENERO</v>
      </c>
      <c r="K19" s="24">
        <f>+IF($I19&gt;0,VLOOKUP($I19,'Lista de Precios'!$A$3:$H$2883,5,0),0)</f>
        <v>1</v>
      </c>
      <c r="L19" s="36"/>
      <c r="M19" s="36"/>
      <c r="N19" s="36"/>
      <c r="O19" s="37"/>
      <c r="P19" s="38"/>
      <c r="Q19" s="39"/>
      <c r="R19" s="37"/>
      <c r="S19" s="37"/>
      <c r="T19" s="37"/>
      <c r="U19" s="37">
        <v>2</v>
      </c>
      <c r="V19" s="37">
        <v>4</v>
      </c>
      <c r="W19" s="37">
        <v>4</v>
      </c>
      <c r="X19" s="37">
        <v>6</v>
      </c>
      <c r="Y19" s="37">
        <v>4</v>
      </c>
      <c r="Z19" s="40">
        <v>6</v>
      </c>
      <c r="AA19" s="41"/>
      <c r="AB19" s="37"/>
      <c r="AC19" s="37"/>
      <c r="AD19" s="37"/>
      <c r="AE19" s="37"/>
      <c r="AF19" s="37"/>
      <c r="AG19" s="37"/>
      <c r="AH19" s="42"/>
      <c r="AI19" s="42"/>
      <c r="AJ19" s="43"/>
      <c r="AK19" s="43"/>
      <c r="AL19" s="43"/>
      <c r="AM19" s="73">
        <f t="shared" si="1"/>
        <v>26</v>
      </c>
      <c r="AN19" s="71">
        <f>+IF($I19&gt;0,VLOOKUP($I19,'Lista de Precios'!$A$3:$H$2883,4,0),"")</f>
        <v>25080.213903743315</v>
      </c>
      <c r="AO19" s="68">
        <f t="shared" si="3"/>
        <v>652085.56149732624</v>
      </c>
      <c r="AP19" s="7" t="str">
        <f>IF($I19&gt;0,VLOOKUP($I19,'Lista de Precios'!$A$3:$K$2883,10,0),"")</f>
        <v>Futbol</v>
      </c>
      <c r="AQ19" s="7" t="str">
        <f>IF($I19&gt;0,VLOOKUP($I19,'Lista de Precios'!$A$3:$M$4893,13,0),"")</f>
        <v>Kids</v>
      </c>
      <c r="AR19" s="7" t="str">
        <f>IF($I19&gt;0,VLOOKUP(I19,'Lista de Precios'!$A$3:$M$2883,13,0),"")</f>
        <v>Kids</v>
      </c>
      <c r="HR19" s="134"/>
      <c r="HS19" s="134"/>
      <c r="HT19" s="134"/>
      <c r="HU19" s="134"/>
      <c r="HV19" s="134"/>
      <c r="HW19" s="134"/>
      <c r="HX19" s="134"/>
      <c r="HY19" s="134"/>
      <c r="HZ19" s="134"/>
      <c r="IA19" s="134"/>
      <c r="IB19" s="134"/>
      <c r="IC19" s="134"/>
      <c r="IE19" s="134"/>
      <c r="IF19" s="134"/>
      <c r="IG19" s="134"/>
      <c r="IH19" s="134"/>
      <c r="II19" s="134"/>
      <c r="IJ19" s="134"/>
      <c r="IK19" s="134"/>
      <c r="IL19" s="134"/>
      <c r="IM19" s="134"/>
      <c r="IN19" s="135"/>
      <c r="IO19" s="135"/>
      <c r="IP19" s="135"/>
      <c r="XEP19" s="7" t="str">
        <f t="shared" si="4"/>
        <v/>
      </c>
      <c r="XEQ19" s="7" t="str">
        <f t="shared" si="5"/>
        <v/>
      </c>
      <c r="XER19" s="7" t="str">
        <f t="shared" si="6"/>
        <v/>
      </c>
      <c r="XES19" s="7">
        <f t="shared" si="7"/>
        <v>26</v>
      </c>
    </row>
    <row r="20" spans="1:250 16369:16373" ht="23.25" customHeight="1" x14ac:dyDescent="0.25">
      <c r="A20" s="74">
        <f>IF($I20&gt;0,VLOOKUP(I20,'Lista de Precios'!$A$3:$L$2883,9,0),0)</f>
        <v>0</v>
      </c>
      <c r="B20" s="74">
        <f>IF($I20&gt;0,VLOOKUP(I20,'Lista de Precios'!$A$3:$H$2883,7,0),0)</f>
        <v>0</v>
      </c>
      <c r="C20" s="7" t="str">
        <f>IF($I20&gt;0,VLOOKUP(I20,'Lista de Precios'!$A$3:$H$2883,2,0),"")</f>
        <v/>
      </c>
      <c r="D20" s="7" t="str">
        <f>IF($I20&gt;0,VLOOKUP(I20,'Lista de Precios'!$A$3:$H$2883,3,0),"")</f>
        <v/>
      </c>
      <c r="E20" s="76" t="str">
        <f>IF($I20&gt;0,VLOOKUP(I20,'Lista de Precios'!$A$3:$H$2883,6,0),"")</f>
        <v/>
      </c>
      <c r="F20" s="76" t="str">
        <f>IF($I20&gt;0,VLOOKUP(I20,'Lista de Precios'!$A$3:$H$2883,8,0),"")</f>
        <v/>
      </c>
      <c r="G20" s="101" t="str">
        <f t="shared" si="2"/>
        <v/>
      </c>
      <c r="H20" s="20" t="s">
        <v>3</v>
      </c>
      <c r="I20" s="18"/>
      <c r="J20" s="28" t="str">
        <f t="shared" si="8"/>
        <v/>
      </c>
      <c r="K20" s="24">
        <f>+IF($I20&gt;0,VLOOKUP($I20,'Lista de Precios'!$A$3:$H$2883,5,0),0)</f>
        <v>0</v>
      </c>
      <c r="L20" s="36"/>
      <c r="M20" s="36"/>
      <c r="N20" s="36"/>
      <c r="O20" s="37"/>
      <c r="P20" s="38"/>
      <c r="Q20" s="39"/>
      <c r="R20" s="37"/>
      <c r="S20" s="37"/>
      <c r="T20" s="37"/>
      <c r="U20" s="37"/>
      <c r="V20" s="37"/>
      <c r="W20" s="37"/>
      <c r="X20" s="37"/>
      <c r="Y20" s="37"/>
      <c r="Z20" s="40"/>
      <c r="AA20" s="41"/>
      <c r="AB20" s="37"/>
      <c r="AC20" s="37"/>
      <c r="AD20" s="37"/>
      <c r="AE20" s="37"/>
      <c r="AF20" s="37"/>
      <c r="AG20" s="37"/>
      <c r="AH20" s="42"/>
      <c r="AI20" s="42"/>
      <c r="AJ20" s="43"/>
      <c r="AK20" s="43"/>
      <c r="AL20" s="43"/>
      <c r="AM20" s="73">
        <f t="shared" si="1"/>
        <v>0</v>
      </c>
      <c r="AN20" s="71" t="str">
        <f>+IF($I20&gt;0,VLOOKUP($I20,'Lista de Precios'!$A$3:$H$2883,4,0),"")</f>
        <v/>
      </c>
      <c r="AO20" s="68" t="str">
        <f t="shared" si="3"/>
        <v/>
      </c>
      <c r="AP20" s="7" t="str">
        <f>IF($I20&gt;0,VLOOKUP($I20,'Lista de Precios'!$A$3:$K$2883,10,0),"")</f>
        <v/>
      </c>
      <c r="AQ20" s="7" t="str">
        <f>IF($I20&gt;0,VLOOKUP($I20,'Lista de Precios'!$A$3:$M$4893,13,0),"")</f>
        <v/>
      </c>
      <c r="AR20" s="7" t="str">
        <f>IF($I20&gt;0,VLOOKUP(I20,'Lista de Precios'!$A$3:$M$2883,13,0),"")</f>
        <v/>
      </c>
      <c r="HR20" s="134"/>
      <c r="HS20" s="134"/>
      <c r="HT20" s="134"/>
      <c r="HU20" s="134"/>
      <c r="HV20" s="134"/>
      <c r="HW20" s="134"/>
      <c r="HX20" s="134"/>
      <c r="HY20" s="134"/>
      <c r="HZ20" s="134"/>
      <c r="IA20" s="134"/>
      <c r="IB20" s="134"/>
      <c r="IC20" s="134"/>
      <c r="IE20" s="134"/>
      <c r="IF20" s="134"/>
      <c r="IG20" s="134"/>
      <c r="IH20" s="134"/>
      <c r="II20" s="134"/>
      <c r="IJ20" s="134"/>
      <c r="IK20" s="134"/>
      <c r="IL20" s="134"/>
      <c r="IM20" s="134"/>
      <c r="IN20" s="135"/>
      <c r="IO20" s="135"/>
      <c r="IP20" s="135"/>
      <c r="XEP20" s="7" t="str">
        <f t="shared" si="4"/>
        <v/>
      </c>
      <c r="XEQ20" s="7" t="str">
        <f t="shared" si="5"/>
        <v/>
      </c>
      <c r="XER20" s="7" t="str">
        <f t="shared" si="6"/>
        <v/>
      </c>
      <c r="XES20" s="7" t="str">
        <f t="shared" si="7"/>
        <v/>
      </c>
    </row>
    <row r="21" spans="1:250 16369:16373" ht="23.25" customHeight="1" x14ac:dyDescent="0.25">
      <c r="A21" s="74" t="str">
        <f>IF($I21&gt;0,VLOOKUP(I21,'Lista de Precios'!$A$3:$L$2883,9,0),0)</f>
        <v>Hombre</v>
      </c>
      <c r="B21" s="74" t="str">
        <f>IF($I21&gt;0,VLOOKUP(I21,'Lista de Precios'!$A$3:$H$2883,7,0),0)</f>
        <v>CONT</v>
      </c>
      <c r="C21" s="7" t="str">
        <f>IF($I21&gt;0,VLOOKUP(I21,'Lista de Precios'!$A$3:$H$2883,2,0),"")</f>
        <v>GROVE</v>
      </c>
      <c r="D21" s="7" t="str">
        <f>IF($I21&gt;0,VLOOKUP(I21,'Lista de Precios'!$A$3:$H$2883,3,0),"")</f>
        <v>NEGRO/GRIS MAGNET</v>
      </c>
      <c r="E21" s="76" t="str">
        <f>IF($I21&gt;0,VLOOKUP(I21,'Lista de Precios'!$A$3:$H$2883,6,0),"")</f>
        <v>ENERO</v>
      </c>
      <c r="F21" s="76" t="str">
        <f>IF($I21&gt;0,VLOOKUP(I21,'Lista de Precios'!$A$3:$H$2883,8,0),"")</f>
        <v>35 AL 45</v>
      </c>
      <c r="G21" s="101">
        <f t="shared" si="2"/>
        <v>84900</v>
      </c>
      <c r="H21" s="20" t="s">
        <v>3</v>
      </c>
      <c r="I21" s="18">
        <v>26468</v>
      </c>
      <c r="J21" s="28" t="str">
        <f t="shared" si="8"/>
        <v>ENERO</v>
      </c>
      <c r="K21" s="24"/>
      <c r="L21" s="37"/>
      <c r="M21" s="37"/>
      <c r="N21" s="37"/>
      <c r="O21" s="37"/>
      <c r="P21" s="40"/>
      <c r="Q21" s="39"/>
      <c r="R21" s="37"/>
      <c r="S21" s="37"/>
      <c r="T21" s="37"/>
      <c r="U21" s="37"/>
      <c r="V21" s="37"/>
      <c r="W21" s="37"/>
      <c r="X21" s="37"/>
      <c r="Y21" s="37"/>
      <c r="Z21" s="40"/>
      <c r="AA21" s="41"/>
      <c r="AB21" s="37"/>
      <c r="AC21" s="37"/>
      <c r="AD21" s="37"/>
      <c r="AE21" s="37">
        <v>2</v>
      </c>
      <c r="AF21" s="37">
        <v>2</v>
      </c>
      <c r="AG21" s="37"/>
      <c r="AH21" s="36"/>
      <c r="AI21" s="36"/>
      <c r="AJ21" s="36"/>
      <c r="AK21" s="42">
        <v>4</v>
      </c>
      <c r="AL21" s="42"/>
      <c r="AM21" s="73">
        <f t="shared" ref="AM21:AM24" si="9">+IF(I21&gt;0,SUM(L21:AL21),0)</f>
        <v>8</v>
      </c>
      <c r="AN21" s="71">
        <f>+IF($I21&gt;0,VLOOKUP($I21,'Lista de Precios'!$A$3:$H$2883,4,0),"")</f>
        <v>45401.069518716577</v>
      </c>
      <c r="AO21" s="68">
        <f t="shared" si="3"/>
        <v>363208.55614973261</v>
      </c>
      <c r="AP21" s="7" t="str">
        <f>IF($I21&gt;0,VLOOKUP($I21,'Lista de Precios'!$A$3:$K$2883,10,0),"")</f>
        <v>Outdoor</v>
      </c>
      <c r="AQ21" s="7" t="str">
        <f>IF($I21&gt;0,VLOOKUP($I21,'Lista de Precios'!$A$3:$M$49893,13,0),"")</f>
        <v>Multideporte</v>
      </c>
      <c r="HQ21" s="134"/>
      <c r="HR21" s="134"/>
      <c r="HS21" s="134"/>
      <c r="HT21" s="134"/>
      <c r="HU21" s="134"/>
      <c r="HV21" s="134"/>
      <c r="HW21" s="134"/>
      <c r="HX21" s="134"/>
      <c r="HY21" s="134"/>
      <c r="HZ21" s="134"/>
      <c r="IA21" s="134"/>
      <c r="IB21" s="134"/>
      <c r="ID21" s="134"/>
      <c r="IE21" s="134"/>
      <c r="IF21" s="134"/>
      <c r="IG21" s="134"/>
      <c r="IH21" s="134"/>
      <c r="II21" s="134"/>
      <c r="IJ21" s="134"/>
      <c r="IK21" s="134"/>
      <c r="IL21" s="134"/>
      <c r="IM21" s="135"/>
      <c r="IN21" s="135"/>
      <c r="IO21" s="135"/>
      <c r="XEO21" s="7" t="str">
        <f t="shared" ref="XEO21:XEO24" si="10">+IF($AQ21=$XEO$13,$AM21,"")</f>
        <v/>
      </c>
      <c r="XEP21" s="7" t="str">
        <f t="shared" si="4"/>
        <v/>
      </c>
      <c r="XEQ21" s="7" t="str">
        <f t="shared" si="5"/>
        <v/>
      </c>
      <c r="XER21" s="7" t="str">
        <f t="shared" si="6"/>
        <v/>
      </c>
    </row>
    <row r="22" spans="1:250 16369:16373" ht="23.25" customHeight="1" x14ac:dyDescent="0.25">
      <c r="A22" s="74" t="str">
        <f>IF($I22&gt;0,VLOOKUP(I22,'Lista de Precios'!$A$3:$L$2883,9,0),0)</f>
        <v>Hombre</v>
      </c>
      <c r="B22" s="74" t="str">
        <f>IF($I22&gt;0,VLOOKUP(I22,'Lista de Precios'!$A$3:$H$2883,7,0),0)</f>
        <v>CONT</v>
      </c>
      <c r="C22" s="7" t="str">
        <f>IF($I22&gt;0,VLOOKUP(I22,'Lista de Precios'!$A$3:$H$2883,2,0),"")</f>
        <v>GONDOR II</v>
      </c>
      <c r="D22" s="7" t="str">
        <f>IF($I22&gt;0,VLOOKUP(I22,'Lista de Precios'!$A$3:$H$2883,3,0),"")</f>
        <v>NEGRO MONOCROMO</v>
      </c>
      <c r="E22" s="76" t="str">
        <f>IF($I22&gt;0,VLOOKUP(I22,'Lista de Precios'!$A$3:$H$2883,6,0),"")</f>
        <v>ENERO</v>
      </c>
      <c r="F22" s="76" t="str">
        <f>IF($I22&gt;0,VLOOKUP(I22,'Lista de Precios'!$A$3:$H$2883,8,0),"")</f>
        <v>35 AL 46</v>
      </c>
      <c r="G22" s="101">
        <f t="shared" si="2"/>
        <v>72900</v>
      </c>
      <c r="H22" s="20" t="s">
        <v>3</v>
      </c>
      <c r="I22" s="18">
        <v>27133</v>
      </c>
      <c r="J22" s="28" t="str">
        <f t="shared" si="8"/>
        <v>ENERO</v>
      </c>
      <c r="K22" s="24"/>
      <c r="L22" s="37"/>
      <c r="M22" s="37"/>
      <c r="N22" s="37"/>
      <c r="O22" s="37"/>
      <c r="P22" s="40"/>
      <c r="Q22" s="39"/>
      <c r="R22" s="37"/>
      <c r="S22" s="37"/>
      <c r="T22" s="37"/>
      <c r="U22" s="37"/>
      <c r="V22" s="37"/>
      <c r="W22" s="37"/>
      <c r="X22" s="37"/>
      <c r="Y22" s="37"/>
      <c r="Z22" s="40"/>
      <c r="AA22" s="41"/>
      <c r="AB22" s="37"/>
      <c r="AC22" s="37"/>
      <c r="AD22" s="37"/>
      <c r="AE22" s="37">
        <v>2</v>
      </c>
      <c r="AF22" s="37"/>
      <c r="AG22" s="37"/>
      <c r="AH22" s="36"/>
      <c r="AI22" s="36">
        <v>2</v>
      </c>
      <c r="AJ22" s="36"/>
      <c r="AK22" s="42">
        <v>4</v>
      </c>
      <c r="AL22" s="42"/>
      <c r="AM22" s="73">
        <f t="shared" si="9"/>
        <v>8</v>
      </c>
      <c r="AN22" s="71">
        <f>+IF($I22&gt;0,VLOOKUP($I22,'Lista de Precios'!$A$3:$H$2883,4,0),"")</f>
        <v>38983.957219251337</v>
      </c>
      <c r="AO22" s="68">
        <f t="shared" si="3"/>
        <v>311871.6577540107</v>
      </c>
      <c r="AP22" s="7" t="str">
        <f>IF($I22&gt;0,VLOOKUP($I22,'Lista de Precios'!$A$3:$K$2883,10,0),"")</f>
        <v>Outdoor</v>
      </c>
      <c r="AQ22" s="7" t="str">
        <f>IF($I22&gt;0,VLOOKUP($I22,'Lista de Precios'!$A$3:$M$49893,13,0),"")</f>
        <v>Multideporte</v>
      </c>
      <c r="HQ22" s="134"/>
      <c r="HR22" s="134"/>
      <c r="HS22" s="134"/>
      <c r="HT22" s="134"/>
      <c r="HU22" s="134"/>
      <c r="HV22" s="134"/>
      <c r="HW22" s="134"/>
      <c r="HX22" s="134"/>
      <c r="HY22" s="134"/>
      <c r="HZ22" s="134"/>
      <c r="IA22" s="134"/>
      <c r="IB22" s="134"/>
      <c r="ID22" s="134"/>
      <c r="IE22" s="134"/>
      <c r="IF22" s="134"/>
      <c r="IG22" s="134"/>
      <c r="IH22" s="134"/>
      <c r="II22" s="134"/>
      <c r="IJ22" s="134"/>
      <c r="IK22" s="134"/>
      <c r="IL22" s="134"/>
      <c r="IM22" s="135"/>
      <c r="IN22" s="135"/>
      <c r="IO22" s="135"/>
      <c r="XEO22" s="7" t="str">
        <f t="shared" si="10"/>
        <v/>
      </c>
      <c r="XEP22" s="7" t="str">
        <f t="shared" si="4"/>
        <v/>
      </c>
      <c r="XEQ22" s="7" t="str">
        <f t="shared" si="5"/>
        <v/>
      </c>
      <c r="XER22" s="7" t="str">
        <f t="shared" si="6"/>
        <v/>
      </c>
    </row>
    <row r="23" spans="1:250 16369:16373" ht="23.25" customHeight="1" x14ac:dyDescent="0.25">
      <c r="A23" s="74" t="str">
        <f>IF($I23&gt;0,VLOOKUP(I23,'Lista de Precios'!$A$3:$L$2883,9,0),0)</f>
        <v>Hombre</v>
      </c>
      <c r="B23" s="74" t="str">
        <f>IF($I23&gt;0,VLOOKUP(I23,'Lista de Precios'!$A$3:$H$2883,7,0),0)</f>
        <v>LANZ</v>
      </c>
      <c r="C23" s="7" t="str">
        <f>IF($I23&gt;0,VLOOKUP(I23,'Lista de Precios'!$A$3:$H$2883,2,0),"")</f>
        <v>TARSH</v>
      </c>
      <c r="D23" s="7" t="str">
        <f>IF($I23&gt;0,VLOOKUP(I23,'Lista de Precios'!$A$3:$H$2883,3,0),"")</f>
        <v>SMOKE GRAY/PAGEANT BLUE/DAFFODIL</v>
      </c>
      <c r="E23" s="76" t="str">
        <f>IF($I23&gt;0,VLOOKUP(I23,'Lista de Precios'!$A$3:$H$2883,6,0),"")</f>
        <v>FEBRERO</v>
      </c>
      <c r="F23" s="76" t="str">
        <f>IF($I23&gt;0,VLOOKUP(I23,'Lista de Precios'!$A$3:$H$2883,8,0),"")</f>
        <v>35 AL 45</v>
      </c>
      <c r="G23" s="101">
        <f t="shared" si="2"/>
        <v>62899.999999999993</v>
      </c>
      <c r="H23" s="20" t="s">
        <v>3</v>
      </c>
      <c r="I23" s="18">
        <v>25768</v>
      </c>
      <c r="J23" s="28" t="str">
        <f t="shared" si="8"/>
        <v>FEBRERO</v>
      </c>
      <c r="K23" s="24"/>
      <c r="L23" s="37"/>
      <c r="M23" s="37"/>
      <c r="N23" s="37"/>
      <c r="O23" s="37"/>
      <c r="P23" s="40"/>
      <c r="Q23" s="39"/>
      <c r="R23" s="37"/>
      <c r="S23" s="37"/>
      <c r="T23" s="37"/>
      <c r="U23" s="37"/>
      <c r="V23" s="37"/>
      <c r="W23" s="37"/>
      <c r="X23" s="37"/>
      <c r="Y23" s="37"/>
      <c r="Z23" s="40"/>
      <c r="AA23" s="41"/>
      <c r="AB23" s="37"/>
      <c r="AC23" s="37"/>
      <c r="AD23" s="37"/>
      <c r="AE23" s="37">
        <v>2</v>
      </c>
      <c r="AF23" s="37">
        <v>4</v>
      </c>
      <c r="AG23" s="37">
        <v>8</v>
      </c>
      <c r="AH23" s="36">
        <v>12</v>
      </c>
      <c r="AI23" s="36">
        <v>10</v>
      </c>
      <c r="AJ23" s="36">
        <v>6</v>
      </c>
      <c r="AK23" s="42">
        <v>4</v>
      </c>
      <c r="AL23" s="42">
        <v>2</v>
      </c>
      <c r="AM23" s="73">
        <f t="shared" si="9"/>
        <v>48</v>
      </c>
      <c r="AN23" s="71">
        <f>+IF($I23&gt;0,VLOOKUP($I23,'Lista de Precios'!$A$3:$H$2883,4,0),"")</f>
        <v>33636.363636363632</v>
      </c>
      <c r="AO23" s="68">
        <f t="shared" si="3"/>
        <v>1614545.4545454544</v>
      </c>
      <c r="AP23" s="7" t="str">
        <f>IF($I23&gt;0,VLOOKUP($I23,'Lista de Precios'!$A$3:$K$2883,10,0),"")</f>
        <v>Outdoor</v>
      </c>
      <c r="AQ23" s="7" t="str">
        <f>IF($I23&gt;0,VLOOKUP($I23,'Lista de Precios'!$A$3:$M$49893,13,0),"")</f>
        <v>Multideporte</v>
      </c>
      <c r="HQ23" s="134"/>
      <c r="HR23" s="134"/>
      <c r="HS23" s="134"/>
      <c r="HT23" s="134"/>
      <c r="HU23" s="134"/>
      <c r="HV23" s="134"/>
      <c r="HW23" s="134"/>
      <c r="HX23" s="134"/>
      <c r="HY23" s="134"/>
      <c r="HZ23" s="134"/>
      <c r="IA23" s="134"/>
      <c r="IB23" s="134"/>
      <c r="ID23" s="134"/>
      <c r="IE23" s="134"/>
      <c r="IF23" s="134"/>
      <c r="IG23" s="134"/>
      <c r="IH23" s="134"/>
      <c r="II23" s="134"/>
      <c r="IJ23" s="134"/>
      <c r="IK23" s="134"/>
      <c r="IL23" s="134"/>
      <c r="IM23" s="135"/>
      <c r="IN23" s="135"/>
      <c r="IO23" s="135"/>
      <c r="XEO23" s="7" t="str">
        <f t="shared" si="10"/>
        <v/>
      </c>
      <c r="XEP23" s="7" t="str">
        <f t="shared" si="4"/>
        <v/>
      </c>
      <c r="XEQ23" s="7" t="str">
        <f t="shared" si="5"/>
        <v/>
      </c>
      <c r="XER23" s="7" t="str">
        <f t="shared" si="6"/>
        <v/>
      </c>
    </row>
    <row r="24" spans="1:250 16369:16373" ht="23.25" customHeight="1" x14ac:dyDescent="0.25">
      <c r="A24" s="74" t="str">
        <f>IF($I24&gt;0,VLOOKUP(I24,'Lista de Precios'!$A$3:$L$2883,9,0),0)</f>
        <v>Hombre</v>
      </c>
      <c r="B24" s="74" t="str">
        <f>IF($I24&gt;0,VLOOKUP(I24,'Lista de Precios'!$A$3:$H$2883,7,0),0)</f>
        <v>LANZ</v>
      </c>
      <c r="C24" s="7" t="str">
        <f>IF($I24&gt;0,VLOOKUP(I24,'Lista de Precios'!$A$3:$H$2883,2,0),"")</f>
        <v>TARSH</v>
      </c>
      <c r="D24" s="7" t="str">
        <f>IF($I24&gt;0,VLOOKUP(I24,'Lista de Precios'!$A$3:$H$2883,3,0),"")</f>
        <v>GRIS CITY/NEGRO/BEIGE ANTIQUE</v>
      </c>
      <c r="E24" s="76" t="str">
        <f>IF($I24&gt;0,VLOOKUP(I24,'Lista de Precios'!$A$3:$H$2883,6,0),"")</f>
        <v>FEBRERO</v>
      </c>
      <c r="F24" s="76" t="str">
        <f>IF($I24&gt;0,VLOOKUP(I24,'Lista de Precios'!$A$3:$H$2883,8,0),"")</f>
        <v>35 AL 45</v>
      </c>
      <c r="G24" s="101">
        <f t="shared" si="2"/>
        <v>62899.999999999993</v>
      </c>
      <c r="H24" s="20" t="s">
        <v>3</v>
      </c>
      <c r="I24" s="18">
        <v>25767</v>
      </c>
      <c r="J24" s="28" t="str">
        <f t="shared" si="8"/>
        <v>FEBRERO</v>
      </c>
      <c r="K24" s="24"/>
      <c r="L24" s="37"/>
      <c r="M24" s="37"/>
      <c r="N24" s="37"/>
      <c r="O24" s="37"/>
      <c r="P24" s="40"/>
      <c r="Q24" s="39"/>
      <c r="R24" s="37"/>
      <c r="S24" s="37"/>
      <c r="T24" s="37"/>
      <c r="U24" s="37"/>
      <c r="V24" s="37"/>
      <c r="W24" s="37"/>
      <c r="X24" s="37"/>
      <c r="Y24" s="37"/>
      <c r="Z24" s="40"/>
      <c r="AA24" s="41"/>
      <c r="AB24" s="37"/>
      <c r="AC24" s="37"/>
      <c r="AD24" s="37"/>
      <c r="AE24" s="37"/>
      <c r="AF24" s="37">
        <v>2</v>
      </c>
      <c r="AG24" s="37">
        <v>4</v>
      </c>
      <c r="AH24" s="36">
        <v>6</v>
      </c>
      <c r="AI24" s="36">
        <v>6</v>
      </c>
      <c r="AJ24" s="36">
        <v>2</v>
      </c>
      <c r="AK24" s="42">
        <v>2</v>
      </c>
      <c r="AL24" s="42"/>
      <c r="AM24" s="73">
        <f t="shared" si="9"/>
        <v>22</v>
      </c>
      <c r="AN24" s="71">
        <f>+IF($I24&gt;0,VLOOKUP($I24,'Lista de Precios'!$A$3:$H$2883,4,0),"")</f>
        <v>33636.363636363632</v>
      </c>
      <c r="AO24" s="68">
        <f t="shared" si="3"/>
        <v>739999.99999999988</v>
      </c>
      <c r="AP24" s="7" t="str">
        <f>IF($I24&gt;0,VLOOKUP($I24,'Lista de Precios'!$A$3:$K$2883,10,0),"")</f>
        <v>Outdoor</v>
      </c>
      <c r="AQ24" s="7" t="str">
        <f>IF($I24&gt;0,VLOOKUP($I24,'Lista de Precios'!$A$3:$M$49893,13,0),"")</f>
        <v>Multideporte</v>
      </c>
      <c r="HQ24" s="134"/>
      <c r="HR24" s="134"/>
      <c r="HS24" s="134"/>
      <c r="HT24" s="134"/>
      <c r="HU24" s="134"/>
      <c r="HV24" s="134"/>
      <c r="HW24" s="134"/>
      <c r="HX24" s="134"/>
      <c r="HY24" s="134"/>
      <c r="HZ24" s="134"/>
      <c r="IA24" s="134"/>
      <c r="IB24" s="134"/>
      <c r="ID24" s="134"/>
      <c r="IE24" s="134"/>
      <c r="IF24" s="134"/>
      <c r="IG24" s="134"/>
      <c r="IH24" s="134"/>
      <c r="II24" s="134"/>
      <c r="IJ24" s="134"/>
      <c r="IK24" s="134"/>
      <c r="IL24" s="134"/>
      <c r="IM24" s="135"/>
      <c r="IN24" s="135"/>
      <c r="IO24" s="135"/>
      <c r="XEO24" s="7" t="str">
        <f t="shared" si="10"/>
        <v/>
      </c>
      <c r="XEP24" s="7" t="str">
        <f t="shared" si="4"/>
        <v/>
      </c>
      <c r="XEQ24" s="7" t="str">
        <f t="shared" si="5"/>
        <v/>
      </c>
      <c r="XER24" s="7" t="str">
        <f t="shared" si="6"/>
        <v/>
      </c>
    </row>
    <row r="25" spans="1:250 16369:16373" ht="23.25" customHeight="1" x14ac:dyDescent="0.25">
      <c r="A25" s="74" t="str">
        <f>IF($I25&gt;0,VLOOKUP(I25,'Lista de Precios'!$A$3:$L$2883,9,0),0)</f>
        <v>Kids</v>
      </c>
      <c r="B25" s="74" t="str">
        <f>IF($I25&gt;0,VLOOKUP(I25,'Lista de Precios'!$A$3:$H$2883,7,0),0)</f>
        <v>CONT</v>
      </c>
      <c r="C25" s="7" t="str">
        <f>IF($I25&gt;0,VLOOKUP(I25,'Lista de Precios'!$A$3:$H$2883,2,0),"")</f>
        <v>GONDOR III KIDS</v>
      </c>
      <c r="D25" s="7" t="str">
        <f>IF($I25&gt;0,VLOOKUP(I25,'Lista de Precios'!$A$3:$H$2883,3,0),"")</f>
        <v>NEGRO / BLANCO</v>
      </c>
      <c r="E25" s="76" t="str">
        <f>IF($I25&gt;0,VLOOKUP(I25,'Lista de Precios'!$A$3:$H$2883,6,0),"")</f>
        <v>ENERO</v>
      </c>
      <c r="F25" s="76" t="str">
        <f>IF($I25&gt;0,VLOOKUP(I25,'Lista de Precios'!$A$3:$H$2883,8,0),"")</f>
        <v>25 AL 34</v>
      </c>
      <c r="G25" s="101">
        <f t="shared" si="2"/>
        <v>62899.999999999993</v>
      </c>
      <c r="H25" s="20" t="s">
        <v>3</v>
      </c>
      <c r="I25" s="18">
        <v>25600</v>
      </c>
      <c r="J25" s="28" t="str">
        <f t="shared" si="8"/>
        <v>ENERO</v>
      </c>
      <c r="K25" s="24">
        <f>+IF($I25&gt;0,VLOOKUP($I25,'Lista de Precios'!$A$3:$H$2883,5,0),0)</f>
        <v>1</v>
      </c>
      <c r="L25" s="36"/>
      <c r="M25" s="36"/>
      <c r="N25" s="36"/>
      <c r="O25" s="37"/>
      <c r="P25" s="38"/>
      <c r="Q25" s="39">
        <v>2</v>
      </c>
      <c r="R25" s="37">
        <v>4</v>
      </c>
      <c r="S25" s="37"/>
      <c r="T25" s="37">
        <v>2</v>
      </c>
      <c r="U25" s="37"/>
      <c r="V25" s="37"/>
      <c r="W25" s="37"/>
      <c r="X25" s="37">
        <v>2</v>
      </c>
      <c r="Y25" s="37"/>
      <c r="Z25" s="40"/>
      <c r="AA25" s="41"/>
      <c r="AB25" s="37"/>
      <c r="AC25" s="37"/>
      <c r="AD25" s="37"/>
      <c r="AE25" s="37"/>
      <c r="AF25" s="37"/>
      <c r="AG25" s="37"/>
      <c r="AH25" s="42"/>
      <c r="AI25" s="42"/>
      <c r="AJ25" s="43"/>
      <c r="AK25" s="43"/>
      <c r="AL25" s="43"/>
      <c r="AM25" s="73">
        <f t="shared" si="1"/>
        <v>10</v>
      </c>
      <c r="AN25" s="71">
        <f>+IF($I25&gt;0,VLOOKUP($I25,'Lista de Precios'!$A$3:$H$2883,4,0),"")</f>
        <v>33636.363636363632</v>
      </c>
      <c r="AO25" s="68">
        <f t="shared" si="3"/>
        <v>336363.63636363635</v>
      </c>
      <c r="AP25" s="7" t="str">
        <f>IF($I25&gt;0,VLOOKUP($I25,'Lista de Precios'!$A$3:$K$2883,10,0),"")</f>
        <v>Outdoor</v>
      </c>
      <c r="AQ25" s="7" t="str">
        <f>IF($I25&gt;0,VLOOKUP($I25,'Lista de Precios'!$A$3:$M$4893,13,0),"")</f>
        <v>Kids</v>
      </c>
      <c r="AR25" s="7" t="str">
        <f>IF($I25&gt;0,VLOOKUP(I25,'Lista de Precios'!$A$3:$M$2883,13,0),"")</f>
        <v>Kids</v>
      </c>
      <c r="HR25" s="134"/>
      <c r="HS25" s="134"/>
      <c r="HT25" s="134"/>
      <c r="HU25" s="134"/>
      <c r="HV25" s="134"/>
      <c r="HW25" s="134"/>
      <c r="HX25" s="134"/>
      <c r="HY25" s="134"/>
      <c r="HZ25" s="134"/>
      <c r="IA25" s="134"/>
      <c r="IB25" s="134"/>
      <c r="IC25" s="134"/>
      <c r="IE25" s="134"/>
      <c r="IF25" s="134"/>
      <c r="IG25" s="134"/>
      <c r="IH25" s="134"/>
      <c r="II25" s="134"/>
      <c r="IJ25" s="134"/>
      <c r="IK25" s="134"/>
      <c r="IL25" s="134"/>
      <c r="IM25" s="134"/>
      <c r="IN25" s="135"/>
      <c r="IO25" s="135"/>
      <c r="IP25" s="135"/>
      <c r="XEP25" s="7" t="str">
        <f t="shared" si="4"/>
        <v/>
      </c>
      <c r="XEQ25" s="7" t="str">
        <f t="shared" si="5"/>
        <v/>
      </c>
      <c r="XER25" s="7" t="str">
        <f t="shared" si="6"/>
        <v/>
      </c>
      <c r="XES25" s="7">
        <f t="shared" si="7"/>
        <v>10</v>
      </c>
    </row>
    <row r="26" spans="1:250 16369:16373" ht="23.25" customHeight="1" x14ac:dyDescent="0.25">
      <c r="A26" s="74" t="str">
        <f>IF($I26&gt;0,VLOOKUP(I26,'Lista de Precios'!$A$3:$L$2883,9,0),0)</f>
        <v>Kids</v>
      </c>
      <c r="B26" s="74" t="str">
        <f>IF($I26&gt;0,VLOOKUP(I26,'Lista de Precios'!$A$3:$H$2883,7,0),0)</f>
        <v>LANZ</v>
      </c>
      <c r="C26" s="7" t="str">
        <f>IF($I26&gt;0,VLOOKUP(I26,'Lista de Precios'!$A$3:$H$2883,2,0),"")</f>
        <v>HALLPA TREK KIDS</v>
      </c>
      <c r="D26" s="7" t="str">
        <f>IF($I26&gt;0,VLOOKUP(I26,'Lista de Precios'!$A$3:$H$2883,3,0),"")</f>
        <v>GRIS CITY / NEGRO / GRIS ANTAR</v>
      </c>
      <c r="E26" s="76" t="str">
        <f>IF($I26&gt;0,VLOOKUP(I26,'Lista de Precios'!$A$3:$H$2883,6,0),"")</f>
        <v>MARZO</v>
      </c>
      <c r="F26" s="76" t="str">
        <f>IF($I26&gt;0,VLOOKUP(I26,'Lista de Precios'!$A$3:$H$2883,8,0),"")</f>
        <v>25 AL 34</v>
      </c>
      <c r="G26" s="101">
        <f t="shared" si="2"/>
        <v>57900</v>
      </c>
      <c r="H26" s="20" t="s">
        <v>3</v>
      </c>
      <c r="I26" s="18">
        <v>52519</v>
      </c>
      <c r="J26" s="28" t="str">
        <f t="shared" si="8"/>
        <v>MARZO</v>
      </c>
      <c r="K26" s="24">
        <f>+IF($I26&gt;0,VLOOKUP($I26,'Lista de Precios'!$A$3:$H$2883,5,0),0)</f>
        <v>1</v>
      </c>
      <c r="L26" s="36"/>
      <c r="M26" s="36"/>
      <c r="N26" s="36"/>
      <c r="O26" s="37"/>
      <c r="P26" s="38"/>
      <c r="Q26" s="39">
        <v>2</v>
      </c>
      <c r="R26" s="37">
        <v>2</v>
      </c>
      <c r="S26" s="37">
        <v>2</v>
      </c>
      <c r="T26" s="37">
        <v>4</v>
      </c>
      <c r="U26" s="37">
        <v>4</v>
      </c>
      <c r="V26" s="37">
        <v>6</v>
      </c>
      <c r="W26" s="37">
        <v>4</v>
      </c>
      <c r="X26" s="37">
        <v>4</v>
      </c>
      <c r="Y26" s="37">
        <v>2</v>
      </c>
      <c r="Z26" s="40">
        <v>4</v>
      </c>
      <c r="AA26" s="41"/>
      <c r="AB26" s="37"/>
      <c r="AC26" s="37"/>
      <c r="AD26" s="37"/>
      <c r="AE26" s="37"/>
      <c r="AF26" s="37"/>
      <c r="AG26" s="37"/>
      <c r="AH26" s="42"/>
      <c r="AI26" s="42"/>
      <c r="AJ26" s="43"/>
      <c r="AK26" s="43"/>
      <c r="AL26" s="43"/>
      <c r="AM26" s="73">
        <f t="shared" si="1"/>
        <v>34</v>
      </c>
      <c r="AN26" s="71">
        <f>+IF($I26&gt;0,VLOOKUP($I26,'Lista de Precios'!$A$3:$H$2883,4,0),"")</f>
        <v>30962.566844919784</v>
      </c>
      <c r="AO26" s="68">
        <f t="shared" si="3"/>
        <v>1052727.2727272727</v>
      </c>
      <c r="AP26" s="7" t="str">
        <f>IF($I26&gt;0,VLOOKUP($I26,'Lista de Precios'!$A$3:$K$2883,10,0),"")</f>
        <v>Outdoor</v>
      </c>
      <c r="AQ26" s="7" t="str">
        <f>IF($I26&gt;0,VLOOKUP($I26,'Lista de Precios'!$A$3:$M$4893,13,0),"")</f>
        <v>Kids</v>
      </c>
      <c r="AR26" s="7" t="str">
        <f>IF($I26&gt;0,VLOOKUP(I26,'Lista de Precios'!$A$3:$M$2883,13,0),"")</f>
        <v>Kids</v>
      </c>
      <c r="HR26" s="134"/>
      <c r="HS26" s="134"/>
      <c r="HT26" s="134"/>
      <c r="HU26" s="134"/>
      <c r="HV26" s="134"/>
      <c r="HW26" s="134"/>
      <c r="HX26" s="134"/>
      <c r="HY26" s="134"/>
      <c r="HZ26" s="134"/>
      <c r="IA26" s="134"/>
      <c r="IB26" s="134"/>
      <c r="IC26" s="134"/>
      <c r="IE26" s="134"/>
      <c r="IF26" s="134"/>
      <c r="IG26" s="134"/>
      <c r="IH26" s="134"/>
      <c r="II26" s="134"/>
      <c r="IJ26" s="134"/>
      <c r="IK26" s="134"/>
      <c r="IL26" s="134"/>
      <c r="IM26" s="134"/>
      <c r="IN26" s="135"/>
      <c r="IO26" s="135"/>
      <c r="IP26" s="135"/>
      <c r="XEP26" s="7" t="str">
        <f t="shared" si="4"/>
        <v/>
      </c>
      <c r="XEQ26" s="7" t="str">
        <f t="shared" si="5"/>
        <v/>
      </c>
      <c r="XER26" s="7" t="str">
        <f t="shared" si="6"/>
        <v/>
      </c>
      <c r="XES26" s="7">
        <f t="shared" si="7"/>
        <v>34</v>
      </c>
    </row>
    <row r="27" spans="1:250 16369:16373" ht="23.25" customHeight="1" x14ac:dyDescent="0.25">
      <c r="A27" s="74"/>
      <c r="B27" s="74"/>
      <c r="E27" s="76"/>
      <c r="F27" s="76"/>
      <c r="G27" s="101"/>
      <c r="H27" s="20"/>
      <c r="I27" s="18"/>
      <c r="J27" s="28"/>
      <c r="K27" s="24"/>
      <c r="L27" s="36"/>
      <c r="M27" s="36"/>
      <c r="N27" s="36"/>
      <c r="O27" s="37"/>
      <c r="P27" s="38"/>
      <c r="Q27" s="39"/>
      <c r="R27" s="37"/>
      <c r="S27" s="37"/>
      <c r="T27" s="37"/>
      <c r="U27" s="37"/>
      <c r="V27" s="37"/>
      <c r="W27" s="37"/>
      <c r="X27" s="37"/>
      <c r="Y27" s="37"/>
      <c r="Z27" s="40"/>
      <c r="AA27" s="41"/>
      <c r="AB27" s="37"/>
      <c r="AC27" s="37"/>
      <c r="AD27" s="37"/>
      <c r="AE27" s="37"/>
      <c r="AF27" s="37"/>
      <c r="AG27" s="37"/>
      <c r="AH27" s="36"/>
      <c r="AI27" s="36"/>
      <c r="AJ27" s="37"/>
      <c r="AK27" s="43"/>
      <c r="AL27" s="43"/>
      <c r="AM27" s="73"/>
      <c r="AN27" s="71"/>
      <c r="AO27" s="68"/>
      <c r="HR27" s="134"/>
      <c r="HS27" s="134"/>
      <c r="HT27" s="134"/>
      <c r="HU27" s="134"/>
      <c r="HV27" s="134"/>
      <c r="HW27" s="134"/>
      <c r="HX27" s="134"/>
      <c r="HY27" s="134"/>
      <c r="HZ27" s="134"/>
      <c r="IA27" s="134"/>
      <c r="IB27" s="134"/>
      <c r="IC27" s="134"/>
      <c r="IE27" s="134"/>
      <c r="IF27" s="134"/>
      <c r="IG27" s="134"/>
      <c r="IH27" s="134"/>
      <c r="II27" s="134"/>
      <c r="IJ27" s="134"/>
      <c r="IK27" s="134"/>
      <c r="IL27" s="134"/>
      <c r="IM27" s="134"/>
      <c r="IN27" s="135"/>
      <c r="IO27" s="135"/>
      <c r="IP27" s="135"/>
    </row>
    <row r="28" spans="1:250 16369:16373" ht="23.25" customHeight="1" x14ac:dyDescent="0.25">
      <c r="A28" s="74" t="str">
        <f>IF($I28&gt;0,VLOOKUP(I28,'Lista de Precios'!$A$3:$L$2883,9,0),0)</f>
        <v>Unisex</v>
      </c>
      <c r="B28" s="74" t="str">
        <f>IF($I28&gt;0,VLOOKUP(I28,'Lista de Precios'!$A$3:$H$2883,7,0),0)</f>
        <v>CONT</v>
      </c>
      <c r="C28" s="7" t="str">
        <f>IF($I28&gt;0,VLOOKUP(I28,'Lista de Precios'!$A$3:$H$2883,2,0),"")</f>
        <v>CAPITÁN TT</v>
      </c>
      <c r="D28" s="7" t="str">
        <f>IF($I28&gt;0,VLOOKUP(I28,'Lista de Precios'!$A$3:$H$2883,3,0),"")</f>
        <v>NEGRO</v>
      </c>
      <c r="E28" s="76" t="e">
        <f>IF($I28&gt;0,VLOOKUP(I28,'Lista de Precios'!$A$3:$H$2883,6,0),"")</f>
        <v>#N/A</v>
      </c>
      <c r="F28" s="76" t="str">
        <f>IF($I28&gt;0,VLOOKUP(I28,'Lista de Precios'!$A$3:$H$2883,8,0),"")</f>
        <v>35 AL 44</v>
      </c>
      <c r="G28" s="101">
        <f t="shared" si="2"/>
        <v>69900</v>
      </c>
      <c r="H28" s="20" t="s">
        <v>3</v>
      </c>
      <c r="I28" s="18">
        <v>24357</v>
      </c>
      <c r="J28" s="28" t="e">
        <f t="shared" si="8"/>
        <v>#N/A</v>
      </c>
      <c r="K28" s="24"/>
      <c r="L28" s="37"/>
      <c r="M28" s="37"/>
      <c r="N28" s="37"/>
      <c r="O28" s="37"/>
      <c r="P28" s="40"/>
      <c r="Q28" s="39"/>
      <c r="R28" s="37"/>
      <c r="S28" s="37"/>
      <c r="T28" s="37"/>
      <c r="U28" s="37"/>
      <c r="V28" s="37"/>
      <c r="W28" s="37"/>
      <c r="X28" s="37"/>
      <c r="Y28" s="37"/>
      <c r="Z28" s="40"/>
      <c r="AA28" s="41"/>
      <c r="AB28" s="37">
        <v>2</v>
      </c>
      <c r="AC28" s="37"/>
      <c r="AD28" s="37">
        <v>2</v>
      </c>
      <c r="AE28" s="37"/>
      <c r="AF28" s="37"/>
      <c r="AG28" s="37">
        <v>2</v>
      </c>
      <c r="AH28" s="36">
        <v>4</v>
      </c>
      <c r="AI28" s="36"/>
      <c r="AJ28" s="36">
        <v>2</v>
      </c>
      <c r="AK28" s="42"/>
      <c r="AL28" s="42"/>
      <c r="AM28" s="73">
        <f t="shared" si="1"/>
        <v>12</v>
      </c>
      <c r="AN28" s="71">
        <f>+IF($I28&gt;0,VLOOKUP($I28,'Lista de Precios'!$A$3:$H$2883,4,0),"")</f>
        <v>37379.679144385023</v>
      </c>
      <c r="AO28" s="68">
        <f t="shared" si="3"/>
        <v>448556.14973262028</v>
      </c>
      <c r="AP28" s="7" t="str">
        <f>IF($I28&gt;0,VLOOKUP($I28,'Lista de Precios'!$A$3:$K$2883,10,0),"")</f>
        <v>Casual</v>
      </c>
      <c r="AQ28" s="7" t="str">
        <f>IF($I28&gt;0,VLOOKUP($I28,'Lista de Precios'!$A$3:$M$49893,13,0),"")</f>
        <v>Casual</v>
      </c>
      <c r="HQ28" s="134"/>
      <c r="HR28" s="134"/>
      <c r="HS28" s="134"/>
      <c r="HT28" s="134"/>
      <c r="HU28" s="134"/>
      <c r="HV28" s="134"/>
      <c r="HW28" s="134"/>
      <c r="HX28" s="134"/>
      <c r="HY28" s="134"/>
      <c r="HZ28" s="134"/>
      <c r="IA28" s="134"/>
      <c r="IB28" s="134"/>
      <c r="ID28" s="134"/>
      <c r="IE28" s="134"/>
      <c r="IF28" s="134"/>
      <c r="IG28" s="134"/>
      <c r="IH28" s="134"/>
      <c r="II28" s="134"/>
      <c r="IJ28" s="134"/>
      <c r="IK28" s="134"/>
      <c r="IL28" s="134"/>
      <c r="IM28" s="135"/>
      <c r="IN28" s="135"/>
      <c r="IO28" s="135"/>
      <c r="XEO28" s="7" t="str">
        <f t="shared" ref="XEO28:XEO29" si="11">+IF($AQ28=$XEO$13,$AM28,"")</f>
        <v/>
      </c>
      <c r="XEP28" s="7">
        <f t="shared" si="4"/>
        <v>12</v>
      </c>
      <c r="XEQ28" s="7" t="str">
        <f t="shared" si="5"/>
        <v/>
      </c>
      <c r="XER28" s="7" t="str">
        <f t="shared" si="6"/>
        <v/>
      </c>
    </row>
    <row r="29" spans="1:250 16369:16373" ht="23.25" customHeight="1" x14ac:dyDescent="0.25">
      <c r="A29" s="74" t="str">
        <f>IF($I29&gt;0,VLOOKUP(I29,'Lista de Precios'!$A$3:$L$2883,9,0),0)</f>
        <v>Unisex</v>
      </c>
      <c r="B29" s="74" t="str">
        <f>IF($I29&gt;0,VLOOKUP(I29,'Lista de Precios'!$A$3:$H$2883,7,0),0)</f>
        <v>CONT</v>
      </c>
      <c r="C29" s="7" t="str">
        <f>IF($I29&gt;0,VLOOKUP(I29,'Lista de Precios'!$A$3:$H$2883,2,0),"")</f>
        <v>CAPITÁN TT</v>
      </c>
      <c r="D29" s="7" t="str">
        <f>IF($I29&gt;0,VLOOKUP(I29,'Lista de Precios'!$A$3:$H$2883,3,0),"")</f>
        <v>BLANCO</v>
      </c>
      <c r="E29" s="76" t="str">
        <f>IF($I29&gt;0,VLOOKUP(I29,'Lista de Precios'!$A$3:$H$2883,6,0),"")</f>
        <v>ENERO</v>
      </c>
      <c r="F29" s="76" t="str">
        <f>IF($I29&gt;0,VLOOKUP(I29,'Lista de Precios'!$A$3:$H$2883,8,0),"")</f>
        <v>35 AL 44</v>
      </c>
      <c r="G29" s="101">
        <f t="shared" si="2"/>
        <v>69900</v>
      </c>
      <c r="H29" s="20" t="s">
        <v>3</v>
      </c>
      <c r="I29" s="18">
        <v>24356</v>
      </c>
      <c r="J29" s="28" t="str">
        <f t="shared" si="8"/>
        <v>ENERO</v>
      </c>
      <c r="K29" s="24"/>
      <c r="L29" s="37"/>
      <c r="M29" s="37"/>
      <c r="N29" s="37"/>
      <c r="O29" s="37"/>
      <c r="P29" s="40"/>
      <c r="Q29" s="39"/>
      <c r="R29" s="37"/>
      <c r="S29" s="37"/>
      <c r="T29" s="37"/>
      <c r="U29" s="37"/>
      <c r="V29" s="37"/>
      <c r="W29" s="37"/>
      <c r="X29" s="37"/>
      <c r="Y29" s="37"/>
      <c r="Z29" s="40"/>
      <c r="AA29" s="41"/>
      <c r="AB29" s="37"/>
      <c r="AC29" s="37"/>
      <c r="AD29" s="37"/>
      <c r="AE29" s="37">
        <v>2</v>
      </c>
      <c r="AF29" s="37"/>
      <c r="AG29" s="37"/>
      <c r="AH29" s="36">
        <v>2</v>
      </c>
      <c r="AI29" s="36"/>
      <c r="AJ29" s="36"/>
      <c r="AK29" s="42"/>
      <c r="AL29" s="42"/>
      <c r="AM29" s="73">
        <f t="shared" si="1"/>
        <v>4</v>
      </c>
      <c r="AN29" s="71">
        <f>+IF($I29&gt;0,VLOOKUP($I29,'Lista de Precios'!$A$3:$H$2883,4,0),"")</f>
        <v>37379.679144385023</v>
      </c>
      <c r="AO29" s="68">
        <f t="shared" si="3"/>
        <v>149518.71657754009</v>
      </c>
      <c r="AP29" s="7" t="str">
        <f>IF($I29&gt;0,VLOOKUP($I29,'Lista de Precios'!$A$3:$K$2883,10,0),"")</f>
        <v>Casual</v>
      </c>
      <c r="AQ29" s="7" t="str">
        <f>IF($I29&gt;0,VLOOKUP($I29,'Lista de Precios'!$A$3:$M$49893,13,0),"")</f>
        <v>Casual</v>
      </c>
      <c r="HQ29" s="134"/>
      <c r="HR29" s="134"/>
      <c r="HS29" s="134"/>
      <c r="HT29" s="134"/>
      <c r="HU29" s="134"/>
      <c r="HV29" s="134"/>
      <c r="HW29" s="134"/>
      <c r="HX29" s="134"/>
      <c r="HY29" s="134"/>
      <c r="HZ29" s="134"/>
      <c r="IA29" s="134"/>
      <c r="IB29" s="134"/>
      <c r="ID29" s="134"/>
      <c r="IE29" s="134"/>
      <c r="IF29" s="134"/>
      <c r="IG29" s="134"/>
      <c r="IH29" s="134"/>
      <c r="II29" s="134"/>
      <c r="IJ29" s="134"/>
      <c r="IK29" s="134"/>
      <c r="IL29" s="134"/>
      <c r="IM29" s="135"/>
      <c r="IN29" s="135"/>
      <c r="IO29" s="135"/>
      <c r="XEO29" s="7" t="str">
        <f t="shared" si="11"/>
        <v/>
      </c>
      <c r="XEP29" s="7">
        <f t="shared" si="4"/>
        <v>4</v>
      </c>
      <c r="XEQ29" s="7" t="str">
        <f t="shared" si="5"/>
        <v/>
      </c>
      <c r="XER29" s="7" t="str">
        <f t="shared" si="6"/>
        <v/>
      </c>
    </row>
    <row r="30" spans="1:250 16369:16373" ht="23.25" customHeight="1" x14ac:dyDescent="0.25">
      <c r="A30" s="74">
        <f>IF($I30&gt;0,VLOOKUP(I30,'Lista de Precios'!$A$3:$L$2883,9,0),0)</f>
        <v>0</v>
      </c>
      <c r="B30" s="74">
        <f>IF($I30&gt;0,VLOOKUP(I30,'Lista de Precios'!$A$3:$H$2883,7,0),0)</f>
        <v>0</v>
      </c>
      <c r="C30" s="7" t="str">
        <f>IF($I30&gt;0,VLOOKUP(I30,'Lista de Precios'!$A$3:$H$2883,2,0),"")</f>
        <v/>
      </c>
      <c r="D30" s="7" t="str">
        <f>IF($I30&gt;0,VLOOKUP(I30,'Lista de Precios'!$A$3:$H$2883,3,0),"")</f>
        <v/>
      </c>
      <c r="E30" s="76" t="str">
        <f>IF($I30&gt;0,VLOOKUP(I30,'Lista de Precios'!$A$3:$H$2883,6,0),"")</f>
        <v/>
      </c>
      <c r="F30" s="76" t="str">
        <f>IF($I30&gt;0,VLOOKUP(I30,'Lista de Precios'!$A$3:$H$2883,8,0),"")</f>
        <v/>
      </c>
      <c r="G30" s="101" t="str">
        <f t="shared" si="2"/>
        <v/>
      </c>
      <c r="H30" s="20" t="s">
        <v>3</v>
      </c>
      <c r="I30" s="18"/>
      <c r="J30" s="28" t="str">
        <f t="shared" si="8"/>
        <v/>
      </c>
      <c r="K30" s="24">
        <f>+IF($I30&gt;0,VLOOKUP($I30,'Lista de Precios'!$A$3:$H$2883,5,0),0)</f>
        <v>0</v>
      </c>
      <c r="L30" s="37"/>
      <c r="M30" s="37"/>
      <c r="N30" s="37"/>
      <c r="O30" s="37"/>
      <c r="P30" s="40"/>
      <c r="Q30" s="39"/>
      <c r="R30" s="37"/>
      <c r="S30" s="37"/>
      <c r="T30" s="37"/>
      <c r="U30" s="37"/>
      <c r="V30" s="37"/>
      <c r="W30" s="37"/>
      <c r="X30" s="37"/>
      <c r="Y30" s="37"/>
      <c r="Z30" s="40"/>
      <c r="AA30" s="41"/>
      <c r="AB30" s="37"/>
      <c r="AC30" s="37"/>
      <c r="AD30" s="37"/>
      <c r="AE30" s="37"/>
      <c r="AF30" s="43"/>
      <c r="AG30" s="43"/>
      <c r="AH30" s="42"/>
      <c r="AI30" s="42"/>
      <c r="AJ30" s="42"/>
      <c r="AK30" s="42"/>
      <c r="AL30" s="43"/>
      <c r="AM30" s="73">
        <f t="shared" si="1"/>
        <v>0</v>
      </c>
      <c r="AN30" s="71" t="str">
        <f>+IF($I30&gt;0,VLOOKUP($I30,'Lista de Precios'!$A$3:$H$2883,4,0),"")</f>
        <v/>
      </c>
      <c r="AO30" s="68" t="str">
        <f t="shared" si="3"/>
        <v/>
      </c>
      <c r="AP30" s="7" t="str">
        <f>IF($I30&gt;0,VLOOKUP($I30,'Lista de Precios'!$A$3:$K$2883,10,0),"")</f>
        <v/>
      </c>
      <c r="AQ30" s="7" t="str">
        <f>IF($I30&gt;0,VLOOKUP($I30,'Lista de Precios'!$A$3:$M$4893,13,0),"")</f>
        <v/>
      </c>
      <c r="AR30" s="7" t="str">
        <f>IF($I30&gt;0,VLOOKUP(I30,'Lista de Precios'!$A$3:$M$2883,13,0),"")</f>
        <v/>
      </c>
      <c r="HR30" s="134"/>
      <c r="HS30" s="134"/>
      <c r="HT30" s="134"/>
      <c r="HU30" s="134"/>
      <c r="HV30" s="134"/>
      <c r="HW30" s="134"/>
      <c r="HX30" s="134"/>
      <c r="HY30" s="134"/>
      <c r="HZ30" s="134"/>
      <c r="IA30" s="134"/>
      <c r="IB30" s="134"/>
      <c r="IC30" s="134"/>
      <c r="IE30" s="134"/>
      <c r="IF30" s="134"/>
      <c r="IG30" s="134"/>
      <c r="IH30" s="134"/>
      <c r="II30" s="134"/>
      <c r="IJ30" s="134"/>
      <c r="IK30" s="134"/>
      <c r="IL30" s="134"/>
      <c r="IM30" s="134"/>
      <c r="IN30" s="135"/>
      <c r="IO30" s="135"/>
      <c r="IP30" s="135"/>
      <c r="XEP30" s="7" t="str">
        <f t="shared" si="4"/>
        <v/>
      </c>
      <c r="XEQ30" s="7" t="str">
        <f t="shared" si="5"/>
        <v/>
      </c>
      <c r="XER30" s="7" t="str">
        <f t="shared" si="6"/>
        <v/>
      </c>
      <c r="XES30" s="7" t="str">
        <f t="shared" si="7"/>
        <v/>
      </c>
    </row>
    <row r="31" spans="1:250 16369:16373" ht="23.25" customHeight="1" x14ac:dyDescent="0.25">
      <c r="A31" s="74" t="str">
        <f>IF($I31&gt;0,VLOOKUP(I31,'Lista de Precios'!$A$3:$L$2883,9,0),0)</f>
        <v>Unisex</v>
      </c>
      <c r="B31" s="74" t="str">
        <f>IF($I31&gt;0,VLOOKUP(I31,'Lista de Precios'!$A$3:$H$2883,7,0),0)</f>
        <v>LANZ</v>
      </c>
      <c r="C31" s="7" t="str">
        <f>IF($I31&gt;0,VLOOKUP(I31,'Lista de Precios'!$A$3:$H$2883,2,0),"")</f>
        <v>SENY</v>
      </c>
      <c r="D31" s="7" t="str">
        <f>IF($I31&gt;0,VLOOKUP(I31,'Lista de Precios'!$A$3:$H$2883,3,0),"")</f>
        <v>GRIS CITY/GRIS LUNAR/GRIS PE</v>
      </c>
      <c r="E31" s="76" t="str">
        <f>IF($I31&gt;0,VLOOKUP(I31,'Lista de Precios'!$A$3:$H$2883,6,0),"")</f>
        <v>FEBRERO</v>
      </c>
      <c r="F31" s="76" t="str">
        <f>IF($I31&gt;0,VLOOKUP(I31,'Lista de Precios'!$A$3:$H$2883,8,0),"")</f>
        <v>35 al 46</v>
      </c>
      <c r="G31" s="101">
        <f t="shared" si="2"/>
        <v>92900</v>
      </c>
      <c r="H31" s="20" t="s">
        <v>3</v>
      </c>
      <c r="I31" s="18">
        <v>27359</v>
      </c>
      <c r="J31" s="28" t="str">
        <f t="shared" si="8"/>
        <v>FEBRERO</v>
      </c>
      <c r="K31" s="24">
        <f>+IF($I31&gt;0,VLOOKUP($I31,'Lista de Precios'!$A$3:$H$2883,5,0),0)</f>
        <v>1</v>
      </c>
      <c r="L31" s="36"/>
      <c r="M31" s="36"/>
      <c r="N31" s="36"/>
      <c r="O31" s="37"/>
      <c r="P31" s="38"/>
      <c r="Q31" s="45"/>
      <c r="R31" s="43"/>
      <c r="S31" s="43"/>
      <c r="T31" s="43"/>
      <c r="U31" s="43"/>
      <c r="V31" s="43"/>
      <c r="W31" s="43"/>
      <c r="X31" s="43"/>
      <c r="Y31" s="37"/>
      <c r="Z31" s="40"/>
      <c r="AA31" s="41"/>
      <c r="AB31" s="37"/>
      <c r="AC31" s="37"/>
      <c r="AD31" s="37"/>
      <c r="AE31" s="37"/>
      <c r="AF31" s="43">
        <v>2</v>
      </c>
      <c r="AG31" s="43">
        <v>4</v>
      </c>
      <c r="AH31" s="42">
        <v>4</v>
      </c>
      <c r="AI31" s="42">
        <v>2</v>
      </c>
      <c r="AJ31" s="42">
        <v>2</v>
      </c>
      <c r="AK31" s="42"/>
      <c r="AL31" s="43"/>
      <c r="AM31" s="73">
        <f t="shared" si="1"/>
        <v>14</v>
      </c>
      <c r="AN31" s="71">
        <f>+IF($I31&gt;0,VLOOKUP($I31,'Lista de Precios'!$A$3:$H$2883,4,0),"")</f>
        <v>49679.144385026739</v>
      </c>
      <c r="AO31" s="68">
        <f t="shared" si="3"/>
        <v>695508.02139037428</v>
      </c>
      <c r="AP31" s="7" t="str">
        <f>IF($I31&gt;0,VLOOKUP($I31,'Lista de Precios'!$A$3:$K$2883,10,0),"")</f>
        <v>Casual</v>
      </c>
      <c r="AQ31" s="7" t="str">
        <f>IF($I31&gt;0,VLOOKUP($I31,'Lista de Precios'!$A$3:$M$4893,13,0),"")</f>
        <v>Casual</v>
      </c>
      <c r="AR31" s="7" t="str">
        <f>IF($I31&gt;0,VLOOKUP(I31,'Lista de Precios'!$A$3:$M$2883,13,0),"")</f>
        <v>Casual</v>
      </c>
      <c r="HR31" s="134"/>
      <c r="HS31" s="134"/>
      <c r="HT31" s="134"/>
      <c r="HU31" s="134"/>
      <c r="HV31" s="134"/>
      <c r="HW31" s="134"/>
      <c r="HX31" s="134"/>
      <c r="HY31" s="134"/>
      <c r="HZ31" s="134"/>
      <c r="IA31" s="134"/>
      <c r="IB31" s="134"/>
      <c r="IC31" s="134"/>
      <c r="IE31" s="134"/>
      <c r="IF31" s="134"/>
      <c r="IG31" s="134"/>
      <c r="IH31" s="134"/>
      <c r="II31" s="134"/>
      <c r="IJ31" s="134"/>
      <c r="IK31" s="134"/>
      <c r="IL31" s="134"/>
      <c r="IM31" s="134"/>
      <c r="IN31" s="135"/>
      <c r="IO31" s="135"/>
      <c r="IP31" s="135"/>
      <c r="XEP31" s="7">
        <f t="shared" si="4"/>
        <v>14</v>
      </c>
      <c r="XEQ31" s="7" t="str">
        <f t="shared" si="5"/>
        <v/>
      </c>
      <c r="XER31" s="7" t="str">
        <f t="shared" si="6"/>
        <v/>
      </c>
      <c r="XES31" s="7" t="str">
        <f t="shared" si="7"/>
        <v/>
      </c>
    </row>
    <row r="32" spans="1:250 16369:16373" ht="23.25" customHeight="1" x14ac:dyDescent="0.25">
      <c r="A32" s="74" t="str">
        <f>IF($I32&gt;0,VLOOKUP(I32,'Lista de Precios'!$A$3:$L$2883,9,0),0)</f>
        <v>Mujer</v>
      </c>
      <c r="B32" s="74" t="str">
        <f>IF($I32&gt;0,VLOOKUP(I32,'Lista de Precios'!$A$3:$H$2883,7,0),0)</f>
        <v>LANZ</v>
      </c>
      <c r="C32" s="7" t="str">
        <f>IF($I32&gt;0,VLOOKUP(I32,'Lista de Precios'!$A$3:$H$2883,2,0),"")</f>
        <v>SENY</v>
      </c>
      <c r="D32" s="7" t="str">
        <f>IF($I32&gt;0,VLOOKUP(I32,'Lista de Precios'!$A$3:$H$2883,3,0),"")</f>
        <v>ROSA BROWN/NATURAL CAP</v>
      </c>
      <c r="E32" s="76" t="str">
        <f>IF($I32&gt;0,VLOOKUP(I32,'Lista de Precios'!$A$3:$H$2883,6,0),"")</f>
        <v>FEBRERO</v>
      </c>
      <c r="F32" s="76" t="str">
        <f>IF($I32&gt;0,VLOOKUP(I32,'Lista de Precios'!$A$3:$H$2883,8,0),"")</f>
        <v>35 al 40</v>
      </c>
      <c r="G32" s="101">
        <f t="shared" si="2"/>
        <v>92900</v>
      </c>
      <c r="H32" s="20" t="s">
        <v>3</v>
      </c>
      <c r="I32" s="18">
        <v>27362</v>
      </c>
      <c r="J32" s="28" t="str">
        <f t="shared" si="8"/>
        <v>FEBRERO</v>
      </c>
      <c r="K32" s="24">
        <f>+IF($I32&gt;0,VLOOKUP($I32,'Lista de Precios'!$A$3:$H$2883,5,0),0)</f>
        <v>1</v>
      </c>
      <c r="L32" s="42"/>
      <c r="M32" s="42"/>
      <c r="N32" s="42"/>
      <c r="O32" s="43"/>
      <c r="P32" s="46"/>
      <c r="Q32" s="45"/>
      <c r="R32" s="43"/>
      <c r="S32" s="43"/>
      <c r="T32" s="43"/>
      <c r="U32" s="43"/>
      <c r="V32" s="43"/>
      <c r="W32" s="43"/>
      <c r="X32" s="43"/>
      <c r="Y32" s="37"/>
      <c r="Z32" s="40"/>
      <c r="AA32" s="41"/>
      <c r="AB32" s="37">
        <v>2</v>
      </c>
      <c r="AC32" s="37">
        <v>4</v>
      </c>
      <c r="AD32" s="37">
        <v>6</v>
      </c>
      <c r="AE32" s="37">
        <v>6</v>
      </c>
      <c r="AF32" s="43">
        <v>4</v>
      </c>
      <c r="AG32" s="43"/>
      <c r="AH32" s="42"/>
      <c r="AI32" s="42"/>
      <c r="AJ32" s="42"/>
      <c r="AK32" s="42"/>
      <c r="AL32" s="43"/>
      <c r="AM32" s="73">
        <f t="shared" si="1"/>
        <v>22</v>
      </c>
      <c r="AN32" s="71">
        <f>+IF($I32&gt;0,VLOOKUP($I32,'Lista de Precios'!$A$3:$H$2883,4,0),"")</f>
        <v>49679.144385026739</v>
      </c>
      <c r="AO32" s="68">
        <f t="shared" si="3"/>
        <v>1092941.1764705882</v>
      </c>
      <c r="AP32" s="7" t="str">
        <f>IF($I32&gt;0,VLOOKUP($I32,'Lista de Precios'!$A$3:$K$2883,10,0),"")</f>
        <v>Casual</v>
      </c>
      <c r="AQ32" s="7" t="str">
        <f>IF($I32&gt;0,VLOOKUP($I32,'Lista de Precios'!$A$3:$M$4893,13,0),"")</f>
        <v>Casual</v>
      </c>
      <c r="AR32" s="7" t="str">
        <f>IF($I32&gt;0,VLOOKUP(I32,'Lista de Precios'!$A$3:$M$2883,13,0),"")</f>
        <v>Casual</v>
      </c>
      <c r="HR32" s="134"/>
      <c r="HS32" s="134"/>
      <c r="HT32" s="134"/>
      <c r="HU32" s="134"/>
      <c r="HV32" s="134"/>
      <c r="HW32" s="134"/>
      <c r="HX32" s="134"/>
      <c r="HY32" s="134"/>
      <c r="HZ32" s="134"/>
      <c r="IA32" s="134"/>
      <c r="IB32" s="134"/>
      <c r="IC32" s="134"/>
      <c r="IE32" s="134"/>
      <c r="IF32" s="134"/>
      <c r="IG32" s="134"/>
      <c r="IH32" s="134"/>
      <c r="II32" s="134"/>
      <c r="IJ32" s="134"/>
      <c r="IK32" s="134"/>
      <c r="IL32" s="134"/>
      <c r="IM32" s="134"/>
      <c r="IN32" s="135"/>
      <c r="IO32" s="135"/>
      <c r="IP32" s="135"/>
      <c r="XEP32" s="7">
        <f t="shared" si="4"/>
        <v>22</v>
      </c>
      <c r="XEQ32" s="7" t="str">
        <f t="shared" si="5"/>
        <v/>
      </c>
      <c r="XER32" s="7" t="str">
        <f t="shared" si="6"/>
        <v/>
      </c>
      <c r="XES32" s="7" t="str">
        <f t="shared" si="7"/>
        <v/>
      </c>
    </row>
    <row r="33" spans="1:250 16370:16373" ht="23.25" customHeight="1" x14ac:dyDescent="0.25">
      <c r="A33" s="74" t="str">
        <f>IF($I33&gt;0,VLOOKUP(I33,'Lista de Precios'!$A$3:$L$2883,9,0),0)</f>
        <v>Unisex</v>
      </c>
      <c r="B33" s="74" t="str">
        <f>IF($I33&gt;0,VLOOKUP(I33,'Lista de Precios'!$A$3:$H$2883,7,0),0)</f>
        <v>CONT</v>
      </c>
      <c r="C33" s="7" t="str">
        <f>IF($I33&gt;0,VLOOKUP(I33,'Lista de Precios'!$A$3:$H$2883,2,0),"")</f>
        <v>TERRANO II</v>
      </c>
      <c r="D33" s="7" t="str">
        <f>IF($I33&gt;0,VLOOKUP(I33,'Lista de Precios'!$A$3:$H$2883,3,0),"")</f>
        <v>GRIS CITY/BEIGE BUFF</v>
      </c>
      <c r="E33" s="76" t="str">
        <f>IF($I33&gt;0,VLOOKUP(I33,'Lista de Precios'!$A$3:$H$2883,6,0),"")</f>
        <v>ENERO</v>
      </c>
      <c r="F33" s="76" t="str">
        <f>IF($I33&gt;0,VLOOKUP(I33,'Lista de Precios'!$A$3:$H$2883,8,0),"")</f>
        <v>35 AL 46</v>
      </c>
      <c r="G33" s="101">
        <f t="shared" si="2"/>
        <v>89500</v>
      </c>
      <c r="H33" s="20" t="s">
        <v>3</v>
      </c>
      <c r="I33" s="18">
        <v>26436</v>
      </c>
      <c r="J33" s="28" t="str">
        <f t="shared" si="8"/>
        <v>ENERO</v>
      </c>
      <c r="K33" s="24">
        <f>+IF($I33&gt;0,VLOOKUP($I33,'Lista de Precios'!$A$3:$H$2883,5,0),0)</f>
        <v>1</v>
      </c>
      <c r="L33" s="43"/>
      <c r="M33" s="43"/>
      <c r="N33" s="43"/>
      <c r="O33" s="43"/>
      <c r="P33" s="44"/>
      <c r="Q33" s="45"/>
      <c r="R33" s="43"/>
      <c r="S33" s="43"/>
      <c r="T33" s="43"/>
      <c r="U33" s="43"/>
      <c r="V33" s="43"/>
      <c r="W33" s="43"/>
      <c r="X33" s="43"/>
      <c r="Y33" s="37"/>
      <c r="Z33" s="40"/>
      <c r="AA33" s="41"/>
      <c r="AB33" s="37">
        <v>2</v>
      </c>
      <c r="AC33" s="37">
        <v>4</v>
      </c>
      <c r="AD33" s="37">
        <v>6</v>
      </c>
      <c r="AE33" s="37">
        <v>6</v>
      </c>
      <c r="AF33" s="43">
        <v>4</v>
      </c>
      <c r="AG33" s="43"/>
      <c r="AH33" s="42"/>
      <c r="AI33" s="42"/>
      <c r="AJ33" s="42"/>
      <c r="AK33" s="42"/>
      <c r="AL33" s="43"/>
      <c r="AM33" s="73">
        <f t="shared" si="1"/>
        <v>22</v>
      </c>
      <c r="AN33" s="71">
        <f>+IF($I33&gt;0,VLOOKUP($I33,'Lista de Precios'!$A$3:$H$2883,4,0),"")</f>
        <v>47860.962566844915</v>
      </c>
      <c r="AO33" s="68">
        <f t="shared" si="3"/>
        <v>1052941.1764705882</v>
      </c>
      <c r="AP33" s="7" t="str">
        <f>IF($I33&gt;0,VLOOKUP($I33,'Lista de Precios'!$A$3:$K$2883,10,0),"")</f>
        <v>Casual</v>
      </c>
      <c r="AQ33" s="7" t="str">
        <f>IF($I33&gt;0,VLOOKUP($I33,'Lista de Precios'!$A$3:$M$4893,13,0),"")</f>
        <v>Casual</v>
      </c>
      <c r="AR33" s="7" t="str">
        <f>IF($I33&gt;0,VLOOKUP(I33,'Lista de Precios'!$A$3:$M$2883,13,0),"")</f>
        <v>Casual</v>
      </c>
      <c r="HR33" s="134"/>
      <c r="HS33" s="134"/>
      <c r="HT33" s="134"/>
      <c r="HU33" s="134"/>
      <c r="HV33" s="134"/>
      <c r="HW33" s="134"/>
      <c r="HX33" s="134"/>
      <c r="HY33" s="134"/>
      <c r="HZ33" s="134"/>
      <c r="IA33" s="134"/>
      <c r="IB33" s="134"/>
      <c r="IC33" s="134"/>
      <c r="IE33" s="134"/>
      <c r="IF33" s="134"/>
      <c r="IG33" s="134"/>
      <c r="IH33" s="134"/>
      <c r="II33" s="134"/>
      <c r="IJ33" s="134"/>
      <c r="IK33" s="134"/>
      <c r="IL33" s="134"/>
      <c r="IM33" s="134"/>
      <c r="IN33" s="135"/>
      <c r="IO33" s="135"/>
      <c r="IP33" s="135"/>
      <c r="XEP33" s="7">
        <f t="shared" si="4"/>
        <v>22</v>
      </c>
      <c r="XEQ33" s="7" t="str">
        <f t="shared" si="5"/>
        <v/>
      </c>
      <c r="XER33" s="7" t="str">
        <f t="shared" si="6"/>
        <v/>
      </c>
      <c r="XES33" s="7" t="str">
        <f t="shared" si="7"/>
        <v/>
      </c>
    </row>
    <row r="34" spans="1:250 16370:16373" ht="23.25" customHeight="1" x14ac:dyDescent="0.25">
      <c r="A34" s="74" t="str">
        <f>IF($I34&gt;0,VLOOKUP(I34,'Lista de Precios'!$A$3:$L$2883,9,0),0)</f>
        <v>Kids</v>
      </c>
      <c r="B34" s="74" t="str">
        <f>IF($I34&gt;0,VLOOKUP(I34,'Lista de Precios'!$A$3:$H$2883,7,0),0)</f>
        <v>LANZ</v>
      </c>
      <c r="C34" s="7" t="str">
        <f>IF($I34&gt;0,VLOOKUP(I34,'Lista de Precios'!$A$3:$H$2883,2,0),"")</f>
        <v>T450 MESH KIDS</v>
      </c>
      <c r="D34" s="7" t="str">
        <f>IF($I34&gt;0,VLOOKUP(I34,'Lista de Precios'!$A$3:$H$2883,3,0),"")</f>
        <v>AZUL TITAN / CRUDO TOFU</v>
      </c>
      <c r="E34" s="76" t="str">
        <f>IF($I34&gt;0,VLOOKUP(I34,'Lista de Precios'!$A$3:$H$2883,6,0),"")</f>
        <v>FEBRERO</v>
      </c>
      <c r="F34" s="76" t="str">
        <f>IF($I34&gt;0,VLOOKUP(I34,'Lista de Precios'!$A$3:$H$2883,8,0),"")</f>
        <v>25 AL 34</v>
      </c>
      <c r="G34" s="101">
        <f t="shared" si="2"/>
        <v>54900</v>
      </c>
      <c r="H34" s="20" t="s">
        <v>3</v>
      </c>
      <c r="I34" s="18">
        <v>50618</v>
      </c>
      <c r="J34" s="28" t="str">
        <f t="shared" si="8"/>
        <v>FEBRERO</v>
      </c>
      <c r="K34" s="24">
        <f>+IF($I34&gt;0,VLOOKUP($I34,'Lista de Precios'!$A$3:$H$2883,5,0),0)</f>
        <v>1</v>
      </c>
      <c r="L34" s="43"/>
      <c r="M34" s="43"/>
      <c r="N34" s="43"/>
      <c r="O34" s="37"/>
      <c r="P34" s="44"/>
      <c r="Q34" s="39"/>
      <c r="R34" s="37"/>
      <c r="S34" s="37">
        <v>2</v>
      </c>
      <c r="T34" s="37">
        <v>6</v>
      </c>
      <c r="U34" s="37">
        <v>6</v>
      </c>
      <c r="V34" s="37">
        <v>4</v>
      </c>
      <c r="W34" s="37">
        <v>4</v>
      </c>
      <c r="X34" s="37">
        <v>6</v>
      </c>
      <c r="Y34" s="37">
        <v>6</v>
      </c>
      <c r="Z34" s="40">
        <v>2</v>
      </c>
      <c r="AA34" s="41"/>
      <c r="AB34" s="37"/>
      <c r="AC34" s="37"/>
      <c r="AD34" s="37"/>
      <c r="AE34" s="37"/>
      <c r="AF34" s="43"/>
      <c r="AG34" s="43"/>
      <c r="AH34" s="42"/>
      <c r="AI34" s="42"/>
      <c r="AJ34" s="42"/>
      <c r="AK34" s="42"/>
      <c r="AL34" s="43"/>
      <c r="AM34" s="73">
        <f t="shared" si="1"/>
        <v>36</v>
      </c>
      <c r="AN34" s="71">
        <f>+IF($I34&gt;0,VLOOKUP($I34,'Lista de Precios'!$A$3:$H$2883,4,0),"")</f>
        <v>29358.288770053474</v>
      </c>
      <c r="AO34" s="68">
        <f t="shared" si="3"/>
        <v>1056898.395721925</v>
      </c>
      <c r="AP34" s="7" t="str">
        <f>IF($I34&gt;0,VLOOKUP($I34,'Lista de Precios'!$A$3:$K$2883,10,0),"")</f>
        <v>Casual</v>
      </c>
      <c r="AQ34" s="7" t="str">
        <f>IF($I34&gt;0,VLOOKUP($I34,'Lista de Precios'!$A$3:$M$4893,13,0),"")</f>
        <v>Kids</v>
      </c>
      <c r="AR34" s="7" t="str">
        <f>IF($I34&gt;0,VLOOKUP(I34,'Lista de Precios'!$A$3:$M$2883,13,0),"")</f>
        <v>Kids</v>
      </c>
      <c r="HR34" s="134"/>
      <c r="HS34" s="134"/>
      <c r="HT34" s="134"/>
      <c r="HU34" s="134"/>
      <c r="HV34" s="134"/>
      <c r="HW34" s="134"/>
      <c r="HX34" s="134"/>
      <c r="HY34" s="134"/>
      <c r="HZ34" s="134"/>
      <c r="IA34" s="134"/>
      <c r="IB34" s="134"/>
      <c r="IC34" s="134"/>
      <c r="IE34" s="134"/>
      <c r="IF34" s="134"/>
      <c r="IG34" s="134"/>
      <c r="IH34" s="134"/>
      <c r="II34" s="134"/>
      <c r="IJ34" s="134"/>
      <c r="IK34" s="134"/>
      <c r="IL34" s="134"/>
      <c r="IM34" s="134"/>
      <c r="IN34" s="135"/>
      <c r="IO34" s="135"/>
      <c r="IP34" s="135"/>
      <c r="XEP34" s="7" t="str">
        <f t="shared" si="4"/>
        <v/>
      </c>
      <c r="XEQ34" s="7" t="str">
        <f t="shared" si="5"/>
        <v/>
      </c>
      <c r="XER34" s="7" t="str">
        <f t="shared" si="6"/>
        <v/>
      </c>
      <c r="XES34" s="7">
        <f t="shared" si="7"/>
        <v>36</v>
      </c>
    </row>
    <row r="35" spans="1:250 16370:16373" ht="23.25" customHeight="1" x14ac:dyDescent="0.25">
      <c r="A35" s="74" t="str">
        <f>IF($I35&gt;0,VLOOKUP(I35,'Lista de Precios'!$A$3:$L$2883,9,0),0)</f>
        <v>Kids</v>
      </c>
      <c r="B35" s="74" t="str">
        <f>IF($I35&gt;0,VLOOKUP(I35,'Lista de Precios'!$A$3:$H$2883,7,0),0)</f>
        <v>LANZ</v>
      </c>
      <c r="C35" s="7" t="str">
        <f>IF($I35&gt;0,VLOOKUP(I35,'Lista de Precios'!$A$3:$H$2883,2,0),"")</f>
        <v>T450 MESH KIDS</v>
      </c>
      <c r="D35" s="7" t="str">
        <f>IF($I35&gt;0,VLOOKUP(I35,'Lista de Precios'!$A$3:$H$2883,3,0),"")</f>
        <v>ROSA SHADOW / GRIS CITY</v>
      </c>
      <c r="E35" s="76" t="str">
        <f>IF($I35&gt;0,VLOOKUP(I35,'Lista de Precios'!$A$3:$H$2883,6,0),"")</f>
        <v>FEBRERO</v>
      </c>
      <c r="F35" s="76" t="str">
        <f>IF($I35&gt;0,VLOOKUP(I35,'Lista de Precios'!$A$3:$H$2883,8,0),"")</f>
        <v>25 AL 34</v>
      </c>
      <c r="G35" s="101">
        <f t="shared" si="2"/>
        <v>54900</v>
      </c>
      <c r="H35" s="20" t="s">
        <v>3</v>
      </c>
      <c r="I35" s="18">
        <v>50619</v>
      </c>
      <c r="J35" s="28" t="str">
        <f t="shared" si="8"/>
        <v>FEBRERO</v>
      </c>
      <c r="K35" s="24">
        <f>+IF($I35&gt;0,VLOOKUP($I35,'Lista de Precios'!$A$3:$H$2883,5,0),0)</f>
        <v>1</v>
      </c>
      <c r="L35" s="43"/>
      <c r="M35" s="43"/>
      <c r="N35" s="43"/>
      <c r="O35" s="43"/>
      <c r="P35" s="44"/>
      <c r="Q35" s="45"/>
      <c r="R35" s="43"/>
      <c r="S35" s="43">
        <v>2</v>
      </c>
      <c r="T35" s="43">
        <v>4</v>
      </c>
      <c r="U35" s="43">
        <v>4</v>
      </c>
      <c r="V35" s="43">
        <v>2</v>
      </c>
      <c r="W35" s="43">
        <v>2</v>
      </c>
      <c r="X35" s="43">
        <v>4</v>
      </c>
      <c r="Y35" s="37">
        <v>4</v>
      </c>
      <c r="Z35" s="40">
        <v>2</v>
      </c>
      <c r="AA35" s="41"/>
      <c r="AB35" s="37"/>
      <c r="AC35" s="37"/>
      <c r="AD35" s="37"/>
      <c r="AE35" s="37"/>
      <c r="AF35" s="37"/>
      <c r="AG35" s="43"/>
      <c r="AH35" s="42"/>
      <c r="AI35" s="42"/>
      <c r="AJ35" s="49"/>
      <c r="AK35" s="49"/>
      <c r="AL35" s="49"/>
      <c r="AM35" s="73">
        <f t="shared" si="1"/>
        <v>24</v>
      </c>
      <c r="AN35" s="71">
        <f>+IF($I35&gt;0,VLOOKUP($I35,'Lista de Precios'!$A$3:$H$2883,4,0),"")</f>
        <v>29358.288770053474</v>
      </c>
      <c r="AO35" s="68">
        <f t="shared" si="3"/>
        <v>704598.93048128334</v>
      </c>
      <c r="AP35" s="7" t="str">
        <f>IF($I35&gt;0,VLOOKUP($I35,'Lista de Precios'!$A$3:$K$2883,10,0),"")</f>
        <v>Casual</v>
      </c>
      <c r="AQ35" s="7" t="str">
        <f>IF($I35&gt;0,VLOOKUP($I35,'Lista de Precios'!$A$3:$M$4893,13,0),"")</f>
        <v>Kids</v>
      </c>
      <c r="AR35" s="7" t="str">
        <f>IF($I35&gt;0,VLOOKUP(I35,'Lista de Precios'!$A$3:$M$2883,13,0),"")</f>
        <v>Kids</v>
      </c>
      <c r="HR35" s="134"/>
      <c r="HS35" s="134"/>
      <c r="HT35" s="134"/>
      <c r="HU35" s="134"/>
      <c r="HV35" s="134"/>
      <c r="HW35" s="134"/>
      <c r="HX35" s="134"/>
      <c r="HY35" s="134"/>
      <c r="HZ35" s="134"/>
      <c r="IA35" s="134"/>
      <c r="IB35" s="134"/>
      <c r="IC35" s="134"/>
      <c r="IE35" s="134"/>
      <c r="IF35" s="134"/>
      <c r="IG35" s="134"/>
      <c r="IH35" s="134"/>
      <c r="II35" s="134"/>
      <c r="IJ35" s="134"/>
      <c r="IK35" s="134"/>
      <c r="IL35" s="134"/>
      <c r="IM35" s="134"/>
      <c r="IN35" s="135"/>
      <c r="IO35" s="135"/>
      <c r="IP35" s="135"/>
      <c r="XEP35" s="7" t="str">
        <f t="shared" si="4"/>
        <v/>
      </c>
      <c r="XEQ35" s="7" t="str">
        <f t="shared" si="5"/>
        <v/>
      </c>
      <c r="XER35" s="7" t="str">
        <f t="shared" si="6"/>
        <v/>
      </c>
      <c r="XES35" s="7">
        <f t="shared" si="7"/>
        <v>24</v>
      </c>
    </row>
    <row r="36" spans="1:250 16370:16373" ht="23.25" customHeight="1" x14ac:dyDescent="0.25">
      <c r="A36" s="74">
        <f>IF($I36&gt;0,VLOOKUP(I36,'Lista de Precios'!$A$3:$L$2883,9,0),0)</f>
        <v>0</v>
      </c>
      <c r="B36" s="74">
        <f>IF($I36&gt;0,VLOOKUP(I36,'Lista de Precios'!$A$3:$H$2883,7,0),0)</f>
        <v>0</v>
      </c>
      <c r="C36" s="7" t="str">
        <f>IF($I36&gt;0,VLOOKUP(I36,'Lista de Precios'!$A$3:$H$2883,2,0),"")</f>
        <v/>
      </c>
      <c r="D36" s="7" t="str">
        <f>IF($I36&gt;0,VLOOKUP(I36,'Lista de Precios'!$A$3:$H$2883,3,0),"")</f>
        <v/>
      </c>
      <c r="E36" s="76" t="str">
        <f>IF($I36&gt;0,VLOOKUP(I36,'Lista de Precios'!$A$3:$H$2883,6,0),"")</f>
        <v/>
      </c>
      <c r="F36" s="76" t="str">
        <f>IF($I36&gt;0,VLOOKUP(I36,'Lista de Precios'!$A$3:$H$2883,8,0),"")</f>
        <v/>
      </c>
      <c r="G36" s="101" t="str">
        <f t="shared" si="2"/>
        <v/>
      </c>
      <c r="H36" s="20" t="s">
        <v>3</v>
      </c>
      <c r="I36" s="18"/>
      <c r="J36" s="28" t="str">
        <f t="shared" si="8"/>
        <v/>
      </c>
      <c r="K36" s="24">
        <f>+IF($I36&gt;0,VLOOKUP($I36,'Lista de Precios'!$A$3:$H$2883,5,0),0)</f>
        <v>0</v>
      </c>
      <c r="L36" s="48"/>
      <c r="M36" s="48"/>
      <c r="N36" s="48"/>
      <c r="O36" s="48"/>
      <c r="P36" s="47"/>
      <c r="Q36" s="50"/>
      <c r="R36" s="43"/>
      <c r="S36" s="43"/>
      <c r="T36" s="43"/>
      <c r="U36" s="43"/>
      <c r="V36" s="43"/>
      <c r="W36" s="43"/>
      <c r="X36" s="43"/>
      <c r="Y36" s="37"/>
      <c r="Z36" s="40"/>
      <c r="AA36" s="41"/>
      <c r="AB36" s="37"/>
      <c r="AC36" s="37"/>
      <c r="AD36" s="37"/>
      <c r="AE36" s="37"/>
      <c r="AF36" s="37"/>
      <c r="AG36" s="43"/>
      <c r="AH36" s="42"/>
      <c r="AI36" s="42"/>
      <c r="AJ36" s="49"/>
      <c r="AK36" s="49"/>
      <c r="AL36" s="48"/>
      <c r="AM36" s="73">
        <f t="shared" si="1"/>
        <v>0</v>
      </c>
      <c r="AN36" s="71" t="str">
        <f>+IF($I36&gt;0,VLOOKUP($I36,'Lista de Precios'!$A$3:$H$2883,4,0),"")</f>
        <v/>
      </c>
      <c r="AO36" s="68" t="str">
        <f t="shared" si="3"/>
        <v/>
      </c>
      <c r="AP36" s="7" t="str">
        <f>IF($I36&gt;0,VLOOKUP($I36,'Lista de Precios'!$A$3:$K$2883,10,0),"")</f>
        <v/>
      </c>
      <c r="AQ36" s="7" t="str">
        <f>IF($I36&gt;0,VLOOKUP($I36,'Lista de Precios'!$A$3:$M$4893,13,0),"")</f>
        <v/>
      </c>
      <c r="AR36" s="7" t="str">
        <f>IF($I36&gt;0,VLOOKUP(I36,'Lista de Precios'!$A$3:$M$2883,13,0),"")</f>
        <v/>
      </c>
      <c r="HR36" s="134"/>
      <c r="HS36" s="134"/>
      <c r="HT36" s="134"/>
      <c r="HU36" s="134"/>
      <c r="HV36" s="134"/>
      <c r="HW36" s="134"/>
      <c r="HX36" s="134"/>
      <c r="HY36" s="134"/>
      <c r="HZ36" s="134"/>
      <c r="IA36" s="134"/>
      <c r="IB36" s="134"/>
      <c r="IC36" s="134"/>
      <c r="IE36" s="134"/>
      <c r="IF36" s="134"/>
      <c r="IG36" s="134"/>
      <c r="IH36" s="134"/>
      <c r="II36" s="134"/>
      <c r="IJ36" s="134"/>
      <c r="IK36" s="134"/>
      <c r="IL36" s="134"/>
      <c r="IM36" s="134"/>
      <c r="IN36" s="135"/>
      <c r="IO36" s="135"/>
      <c r="IP36" s="135"/>
      <c r="XEP36" s="7" t="str">
        <f t="shared" si="4"/>
        <v/>
      </c>
      <c r="XEQ36" s="7" t="str">
        <f t="shared" si="5"/>
        <v/>
      </c>
      <c r="XER36" s="7" t="str">
        <f t="shared" si="6"/>
        <v/>
      </c>
      <c r="XES36" s="7" t="str">
        <f t="shared" si="7"/>
        <v/>
      </c>
    </row>
    <row r="37" spans="1:250 16370:16373" ht="23.25" customHeight="1" x14ac:dyDescent="0.25">
      <c r="A37" s="74">
        <f>IF($I37&gt;0,VLOOKUP(I37,'Lista de Precios'!$A$3:$L$2883,9,0),0)</f>
        <v>0</v>
      </c>
      <c r="B37" s="74">
        <f>IF($I37&gt;0,VLOOKUP(I37,'Lista de Precios'!$A$3:$H$2883,7,0),0)</f>
        <v>0</v>
      </c>
      <c r="C37" s="7" t="str">
        <f>IF($I37&gt;0,VLOOKUP(I37,'Lista de Precios'!$A$3:$H$2883,2,0),"")</f>
        <v/>
      </c>
      <c r="D37" s="7" t="str">
        <f>IF($I37&gt;0,VLOOKUP(I37,'Lista de Precios'!$A$3:$H$2883,3,0),"")</f>
        <v/>
      </c>
      <c r="E37" s="76" t="str">
        <f>IF($I37&gt;0,VLOOKUP(I37,'Lista de Precios'!$A$3:$H$2883,6,0),"")</f>
        <v/>
      </c>
      <c r="F37" s="76" t="str">
        <f>IF($I37&gt;0,VLOOKUP(I37,'Lista de Precios'!$A$3:$H$2883,8,0),"")</f>
        <v/>
      </c>
      <c r="G37" s="101" t="str">
        <f t="shared" si="2"/>
        <v/>
      </c>
      <c r="H37" s="20" t="s">
        <v>3</v>
      </c>
      <c r="I37" s="18"/>
      <c r="J37" s="28" t="str">
        <f t="shared" si="8"/>
        <v/>
      </c>
      <c r="K37" s="24">
        <f>+IF($I37&gt;0,VLOOKUP($I37,'Lista de Precios'!$A$3:$H$2883,5,0),0)</f>
        <v>0</v>
      </c>
      <c r="L37" s="51"/>
      <c r="M37" s="51"/>
      <c r="N37" s="51"/>
      <c r="O37" s="48"/>
      <c r="P37" s="52"/>
      <c r="Q37" s="50"/>
      <c r="R37" s="43"/>
      <c r="S37" s="43"/>
      <c r="T37" s="43"/>
      <c r="U37" s="43"/>
      <c r="V37" s="43"/>
      <c r="W37" s="43"/>
      <c r="X37" s="43"/>
      <c r="Y37" s="43"/>
      <c r="Z37" s="44"/>
      <c r="AA37" s="41"/>
      <c r="AB37" s="37"/>
      <c r="AC37" s="37"/>
      <c r="AD37" s="37"/>
      <c r="AE37" s="37"/>
      <c r="AF37" s="48"/>
      <c r="AG37" s="54"/>
      <c r="AH37" s="54"/>
      <c r="AI37" s="54"/>
      <c r="AJ37" s="54"/>
      <c r="AK37" s="54"/>
      <c r="AL37" s="54"/>
      <c r="AM37" s="73">
        <f t="shared" si="1"/>
        <v>0</v>
      </c>
      <c r="AN37" s="71" t="str">
        <f>+IF($I37&gt;0,VLOOKUP($I37,'Lista de Precios'!$A$3:$H$2883,4,0),"")</f>
        <v/>
      </c>
      <c r="AO37" s="68" t="str">
        <f t="shared" si="3"/>
        <v/>
      </c>
      <c r="AP37" s="7" t="str">
        <f>IF($I37&gt;0,VLOOKUP($I37,'Lista de Precios'!$A$3:$K$2883,10,0),"")</f>
        <v/>
      </c>
      <c r="AQ37" s="7" t="str">
        <f>IF($I37&gt;0,VLOOKUP($I37,'Lista de Precios'!$A$3:$M$4893,13,0),"")</f>
        <v/>
      </c>
      <c r="AR37" s="7" t="str">
        <f>IF($I37&gt;0,VLOOKUP(I37,'Lista de Precios'!$A$3:$M$2883,13,0),"")</f>
        <v/>
      </c>
      <c r="HR37" s="134"/>
      <c r="HS37" s="134"/>
      <c r="HT37" s="134"/>
      <c r="HU37" s="134"/>
      <c r="HV37" s="134"/>
      <c r="HW37" s="134"/>
      <c r="HX37" s="134"/>
      <c r="HY37" s="134"/>
      <c r="HZ37" s="134"/>
      <c r="IA37" s="134"/>
      <c r="IB37" s="134"/>
      <c r="IC37" s="134"/>
      <c r="IE37" s="134"/>
      <c r="IF37" s="134"/>
      <c r="IG37" s="134"/>
      <c r="IH37" s="134"/>
      <c r="II37" s="134"/>
      <c r="IJ37" s="134"/>
      <c r="IK37" s="134"/>
      <c r="IL37" s="134"/>
      <c r="IM37" s="134"/>
      <c r="IN37" s="135"/>
      <c r="IO37" s="135"/>
      <c r="IP37" s="135"/>
      <c r="XEP37" s="7" t="str">
        <f t="shared" si="4"/>
        <v/>
      </c>
      <c r="XEQ37" s="7" t="str">
        <f t="shared" si="5"/>
        <v/>
      </c>
      <c r="XER37" s="7" t="str">
        <f t="shared" si="6"/>
        <v/>
      </c>
      <c r="XES37" s="7" t="str">
        <f t="shared" si="7"/>
        <v/>
      </c>
    </row>
    <row r="38" spans="1:250 16370:16373" ht="23.25" customHeight="1" x14ac:dyDescent="0.25">
      <c r="A38" s="74">
        <f>IF($I38&gt;0,VLOOKUP(I38,'Lista de Precios'!$A$3:$L$2883,9,0),0)</f>
        <v>0</v>
      </c>
      <c r="B38" s="74">
        <f>IF($I38&gt;0,VLOOKUP(I38,'Lista de Precios'!$A$3:$H$2883,7,0),0)</f>
        <v>0</v>
      </c>
      <c r="C38" s="7" t="str">
        <f>IF($I38&gt;0,VLOOKUP(I38,'Lista de Precios'!$A$3:$H$2883,2,0),"")</f>
        <v/>
      </c>
      <c r="D38" s="7" t="str">
        <f>IF($I38&gt;0,VLOOKUP(I38,'Lista de Precios'!$A$3:$H$2883,3,0),"")</f>
        <v/>
      </c>
      <c r="E38" s="76" t="str">
        <f>IF($I38&gt;0,VLOOKUP(I38,'Lista de Precios'!$A$3:$H$2883,6,0),"")</f>
        <v/>
      </c>
      <c r="F38" s="76" t="str">
        <f>IF($I38&gt;0,VLOOKUP(I38,'Lista de Precios'!$A$3:$H$2883,8,0),"")</f>
        <v/>
      </c>
      <c r="G38" s="101" t="str">
        <f t="shared" si="2"/>
        <v/>
      </c>
      <c r="H38" s="20" t="s">
        <v>3</v>
      </c>
      <c r="I38" s="18"/>
      <c r="J38" s="28" t="str">
        <f t="shared" si="8"/>
        <v/>
      </c>
      <c r="K38" s="24">
        <f>+IF($I38&gt;0,VLOOKUP($I38,'Lista de Precios'!$A$3:$H$2883,5,0),0)</f>
        <v>0</v>
      </c>
      <c r="L38" s="54"/>
      <c r="M38" s="54"/>
      <c r="N38" s="54"/>
      <c r="O38" s="48"/>
      <c r="P38" s="55"/>
      <c r="Q38" s="50"/>
      <c r="R38" s="43"/>
      <c r="S38" s="43"/>
      <c r="T38" s="43"/>
      <c r="U38" s="43"/>
      <c r="V38" s="43"/>
      <c r="W38" s="43"/>
      <c r="X38" s="43"/>
      <c r="Y38" s="43"/>
      <c r="Z38" s="44"/>
      <c r="AA38" s="41"/>
      <c r="AB38" s="37"/>
      <c r="AC38" s="37"/>
      <c r="AD38" s="37"/>
      <c r="AE38" s="37"/>
      <c r="AF38" s="48"/>
      <c r="AG38" s="54"/>
      <c r="AH38" s="54"/>
      <c r="AI38" s="54"/>
      <c r="AJ38" s="54"/>
      <c r="AK38" s="54"/>
      <c r="AL38" s="54"/>
      <c r="AM38" s="73">
        <f t="shared" si="1"/>
        <v>0</v>
      </c>
      <c r="AN38" s="71" t="str">
        <f>+IF($I38&gt;0,VLOOKUP($I38,'Lista de Precios'!$A$3:$H$2883,4,0),"")</f>
        <v/>
      </c>
      <c r="AO38" s="68" t="str">
        <f t="shared" si="3"/>
        <v/>
      </c>
      <c r="AP38" s="7" t="str">
        <f>IF($I38&gt;0,VLOOKUP($I38,'Lista de Precios'!$A$3:$K$2883,10,0),"")</f>
        <v/>
      </c>
      <c r="AQ38" s="7" t="str">
        <f>IF($I38&gt;0,VLOOKUP($I38,'Lista de Precios'!$A$3:$M$4893,13,0),"")</f>
        <v/>
      </c>
      <c r="AR38" s="7" t="str">
        <f>IF($I38&gt;0,VLOOKUP(I38,'Lista de Precios'!$A$3:$M$2883,13,0),"")</f>
        <v/>
      </c>
      <c r="HR38" s="134"/>
      <c r="HS38" s="134"/>
      <c r="HT38" s="134"/>
      <c r="HU38" s="134"/>
      <c r="HV38" s="134"/>
      <c r="HW38" s="134"/>
      <c r="HX38" s="134"/>
      <c r="HY38" s="134"/>
      <c r="HZ38" s="134"/>
      <c r="IA38" s="134"/>
      <c r="IB38" s="134"/>
      <c r="IC38" s="134"/>
      <c r="IE38" s="134"/>
      <c r="IF38" s="134"/>
      <c r="IG38" s="134"/>
      <c r="IH38" s="134"/>
      <c r="II38" s="134"/>
      <c r="IJ38" s="134"/>
      <c r="IK38" s="134"/>
      <c r="IL38" s="134"/>
      <c r="IM38" s="134"/>
      <c r="IN38" s="135"/>
      <c r="IO38" s="135"/>
      <c r="IP38" s="135"/>
      <c r="XEP38" s="7" t="str">
        <f t="shared" si="4"/>
        <v/>
      </c>
      <c r="XEQ38" s="7" t="str">
        <f t="shared" si="5"/>
        <v/>
      </c>
      <c r="XER38" s="7" t="str">
        <f t="shared" si="6"/>
        <v/>
      </c>
      <c r="XES38" s="7" t="str">
        <f t="shared" si="7"/>
        <v/>
      </c>
    </row>
    <row r="39" spans="1:250 16370:16373" ht="23.25" customHeight="1" x14ac:dyDescent="0.25">
      <c r="A39" s="74">
        <f>IF($I39&gt;0,VLOOKUP(I39,'Lista de Precios'!$A$3:$L$2883,9,0),0)</f>
        <v>0</v>
      </c>
      <c r="B39" s="74">
        <f>IF($I39&gt;0,VLOOKUP(I39,'Lista de Precios'!$A$3:$H$2883,7,0),0)</f>
        <v>0</v>
      </c>
      <c r="C39" s="7" t="str">
        <f>IF($I39&gt;0,VLOOKUP(I39,'Lista de Precios'!$A$3:$H$2883,2,0),"")</f>
        <v/>
      </c>
      <c r="D39" s="7" t="str">
        <f>IF($I39&gt;0,VLOOKUP(I39,'Lista de Precios'!$A$3:$H$2883,3,0),"")</f>
        <v/>
      </c>
      <c r="E39" s="76" t="str">
        <f>IF($I39&gt;0,VLOOKUP(I39,'Lista de Precios'!$A$3:$H$2883,6,0),"")</f>
        <v/>
      </c>
      <c r="F39" s="76" t="str">
        <f>IF($I39&gt;0,VLOOKUP(I39,'Lista de Precios'!$A$3:$H$2883,8,0),"")</f>
        <v/>
      </c>
      <c r="G39" s="101" t="str">
        <f t="shared" si="2"/>
        <v/>
      </c>
      <c r="H39" s="20" t="s">
        <v>3</v>
      </c>
      <c r="I39" s="18"/>
      <c r="J39" s="28" t="str">
        <f t="shared" si="8"/>
        <v/>
      </c>
      <c r="K39" s="24">
        <f>+IF($I39&gt;0,VLOOKUP($I39,'Lista de Precios'!$A$3:$H$2883,5,0),0)</f>
        <v>0</v>
      </c>
      <c r="L39" s="43"/>
      <c r="M39" s="43"/>
      <c r="N39" s="43"/>
      <c r="O39" s="48"/>
      <c r="P39" s="44"/>
      <c r="Q39" s="50"/>
      <c r="R39" s="43"/>
      <c r="S39" s="43"/>
      <c r="T39" s="43"/>
      <c r="U39" s="43"/>
      <c r="V39" s="43"/>
      <c r="W39" s="43"/>
      <c r="X39" s="43"/>
      <c r="Y39" s="43"/>
      <c r="Z39" s="44"/>
      <c r="AA39" s="41"/>
      <c r="AB39" s="37"/>
      <c r="AC39" s="37"/>
      <c r="AD39" s="37"/>
      <c r="AE39" s="37"/>
      <c r="AF39" s="48"/>
      <c r="AG39" s="43"/>
      <c r="AH39" s="42"/>
      <c r="AI39" s="42"/>
      <c r="AJ39" s="42"/>
      <c r="AK39" s="42"/>
      <c r="AL39" s="42"/>
      <c r="AM39" s="73">
        <f t="shared" si="1"/>
        <v>0</v>
      </c>
      <c r="AN39" s="71" t="str">
        <f>+IF($I39&gt;0,VLOOKUP($I39,'Lista de Precios'!$A$3:$H$2883,4,0),"")</f>
        <v/>
      </c>
      <c r="AO39" s="68" t="str">
        <f t="shared" si="3"/>
        <v/>
      </c>
      <c r="AP39" s="7" t="str">
        <f>IF($I39&gt;0,VLOOKUP($I39,'Lista de Precios'!$A$3:$K$2883,10,0),"")</f>
        <v/>
      </c>
      <c r="AQ39" s="7" t="str">
        <f>IF($I39&gt;0,VLOOKUP($I39,'Lista de Precios'!$A$3:$M$4893,13,0),"")</f>
        <v/>
      </c>
      <c r="AR39" s="7" t="str">
        <f>IF($I39&gt;0,VLOOKUP(I39,'Lista de Precios'!$A$3:$M$2883,13,0),"")</f>
        <v/>
      </c>
      <c r="HR39" s="134"/>
      <c r="HS39" s="134"/>
      <c r="HT39" s="134"/>
      <c r="HU39" s="134"/>
      <c r="HV39" s="134"/>
      <c r="HW39" s="134"/>
      <c r="HX39" s="134"/>
      <c r="HY39" s="134"/>
      <c r="HZ39" s="134"/>
      <c r="IA39" s="134"/>
      <c r="IB39" s="134"/>
      <c r="IC39" s="134"/>
      <c r="IE39" s="134"/>
      <c r="IF39" s="134"/>
      <c r="IG39" s="134"/>
      <c r="IH39" s="134"/>
      <c r="II39" s="134"/>
      <c r="IJ39" s="134"/>
      <c r="IK39" s="134"/>
      <c r="IL39" s="134"/>
      <c r="IM39" s="134"/>
      <c r="IN39" s="135"/>
      <c r="IO39" s="135"/>
      <c r="IP39" s="135"/>
      <c r="XEP39" s="7" t="str">
        <f t="shared" si="4"/>
        <v/>
      </c>
      <c r="XEQ39" s="7" t="str">
        <f t="shared" si="5"/>
        <v/>
      </c>
      <c r="XER39" s="7" t="str">
        <f t="shared" si="6"/>
        <v/>
      </c>
      <c r="XES39" s="7" t="str">
        <f t="shared" si="7"/>
        <v/>
      </c>
    </row>
    <row r="40" spans="1:250 16370:16373" ht="23.25" customHeight="1" x14ac:dyDescent="0.25">
      <c r="A40" s="74">
        <f>IF($I40&gt;0,VLOOKUP(I40,'Lista de Precios'!$A$3:$L$2883,9,0),0)</f>
        <v>0</v>
      </c>
      <c r="B40" s="74">
        <f>IF($I40&gt;0,VLOOKUP(I40,'Lista de Precios'!$A$3:$H$2883,7,0),0)</f>
        <v>0</v>
      </c>
      <c r="C40" s="7" t="str">
        <f>IF($I40&gt;0,VLOOKUP(I40,'Lista de Precios'!$A$3:$H$2883,2,0),"")</f>
        <v/>
      </c>
      <c r="D40" s="7" t="str">
        <f>IF($I40&gt;0,VLOOKUP(I40,'Lista de Precios'!$A$3:$H$2883,3,0),"")</f>
        <v/>
      </c>
      <c r="E40" s="76" t="str">
        <f>IF($I40&gt;0,VLOOKUP(I40,'Lista de Precios'!$A$3:$H$2883,6,0),"")</f>
        <v/>
      </c>
      <c r="F40" s="76" t="str">
        <f>IF($I40&gt;0,VLOOKUP(I40,'Lista de Precios'!$A$3:$H$2883,8,0),"")</f>
        <v/>
      </c>
      <c r="G40" s="101" t="str">
        <f t="shared" si="2"/>
        <v/>
      </c>
      <c r="H40" s="20" t="s">
        <v>3</v>
      </c>
      <c r="I40" s="18"/>
      <c r="J40" s="28" t="str">
        <f t="shared" si="8"/>
        <v/>
      </c>
      <c r="K40" s="24">
        <f>+IF($I40&gt;0,VLOOKUP($I40,'Lista de Precios'!$A$3:$H$2883,5,0),0)</f>
        <v>0</v>
      </c>
      <c r="L40" s="54"/>
      <c r="M40" s="54"/>
      <c r="N40" s="54"/>
      <c r="O40" s="43"/>
      <c r="P40" s="55"/>
      <c r="Q40" s="45"/>
      <c r="R40" s="43"/>
      <c r="S40" s="43"/>
      <c r="T40" s="43"/>
      <c r="U40" s="43"/>
      <c r="V40" s="43"/>
      <c r="W40" s="43"/>
      <c r="X40" s="43"/>
      <c r="Y40" s="43"/>
      <c r="Z40" s="44"/>
      <c r="AA40" s="41"/>
      <c r="AB40" s="37"/>
      <c r="AC40" s="37"/>
      <c r="AD40" s="37"/>
      <c r="AE40" s="37"/>
      <c r="AF40" s="43"/>
      <c r="AG40" s="54"/>
      <c r="AH40" s="54"/>
      <c r="AI40" s="54"/>
      <c r="AJ40" s="54"/>
      <c r="AK40" s="54"/>
      <c r="AL40" s="54"/>
      <c r="AM40" s="73">
        <f t="shared" si="1"/>
        <v>0</v>
      </c>
      <c r="AN40" s="71" t="str">
        <f>+IF($I40&gt;0,VLOOKUP($I40,'Lista de Precios'!$A$3:$H$2883,4,0),"")</f>
        <v/>
      </c>
      <c r="AO40" s="68" t="str">
        <f t="shared" si="3"/>
        <v/>
      </c>
      <c r="AP40" s="7" t="str">
        <f>IF($I40&gt;0,VLOOKUP($I40,'Lista de Precios'!$A$3:$K$2883,10,0),"")</f>
        <v/>
      </c>
      <c r="AQ40" s="7" t="str">
        <f>IF($I40&gt;0,VLOOKUP($I40,'Lista de Precios'!$A$3:$M$4893,13,0),"")</f>
        <v/>
      </c>
      <c r="AR40" s="7" t="str">
        <f>IF($I40&gt;0,VLOOKUP(I40,'Lista de Precios'!$A$3:$M$2883,13,0),"")</f>
        <v/>
      </c>
      <c r="HR40" s="134"/>
      <c r="HS40" s="134"/>
      <c r="HT40" s="134"/>
      <c r="HU40" s="134"/>
      <c r="HV40" s="134"/>
      <c r="HW40" s="134"/>
      <c r="HX40" s="134"/>
      <c r="HY40" s="134"/>
      <c r="HZ40" s="134"/>
      <c r="IA40" s="134"/>
      <c r="IB40" s="134"/>
      <c r="IC40" s="134"/>
      <c r="IE40" s="134"/>
      <c r="IF40" s="134"/>
      <c r="IG40" s="134"/>
      <c r="IH40" s="134"/>
      <c r="II40" s="134"/>
      <c r="IJ40" s="134"/>
      <c r="IK40" s="134"/>
      <c r="IL40" s="134"/>
      <c r="IM40" s="134"/>
      <c r="IN40" s="135"/>
      <c r="IO40" s="135"/>
      <c r="IP40" s="135"/>
      <c r="XEP40" s="7" t="str">
        <f t="shared" si="4"/>
        <v/>
      </c>
      <c r="XEQ40" s="7" t="str">
        <f t="shared" si="5"/>
        <v/>
      </c>
      <c r="XER40" s="7" t="str">
        <f t="shared" si="6"/>
        <v/>
      </c>
      <c r="XES40" s="7" t="str">
        <f t="shared" si="7"/>
        <v/>
      </c>
    </row>
    <row r="41" spans="1:250 16370:16373" ht="23.25" customHeight="1" x14ac:dyDescent="0.25">
      <c r="A41" s="74">
        <f>IF($I41&gt;0,VLOOKUP(I41,'Lista de Precios'!$A$3:$L$2883,9,0),0)</f>
        <v>0</v>
      </c>
      <c r="B41" s="74">
        <f>IF($I41&gt;0,VLOOKUP(I41,'Lista de Precios'!$A$3:$H$2883,7,0),0)</f>
        <v>0</v>
      </c>
      <c r="C41" s="7" t="str">
        <f>IF($I41&gt;0,VLOOKUP(I41,'Lista de Precios'!$A$3:$H$2883,2,0),"")</f>
        <v/>
      </c>
      <c r="D41" s="7" t="str">
        <f>IF($I41&gt;0,VLOOKUP(I41,'Lista de Precios'!$A$3:$H$2883,3,0),"")</f>
        <v/>
      </c>
      <c r="E41" s="76" t="str">
        <f>IF($I41&gt;0,VLOOKUP(I41,'Lista de Precios'!$A$3:$H$2883,6,0),"")</f>
        <v/>
      </c>
      <c r="F41" s="76" t="str">
        <f>IF($I41&gt;0,VLOOKUP(I41,'Lista de Precios'!$A$3:$H$2883,8,0),"")</f>
        <v/>
      </c>
      <c r="G41" s="101" t="str">
        <f t="shared" si="2"/>
        <v/>
      </c>
      <c r="H41" s="20" t="s">
        <v>3</v>
      </c>
      <c r="I41" s="18"/>
      <c r="J41" s="28" t="str">
        <f t="shared" si="8"/>
        <v/>
      </c>
      <c r="K41" s="24">
        <f>+IF($I41&gt;0,VLOOKUP($I41,'Lista de Precios'!$A$3:$H$2883,5,0),0)</f>
        <v>0</v>
      </c>
      <c r="L41" s="37"/>
      <c r="M41" s="37"/>
      <c r="N41" s="37"/>
      <c r="O41" s="37"/>
      <c r="P41" s="40"/>
      <c r="Q41" s="39"/>
      <c r="R41" s="37"/>
      <c r="S41" s="37"/>
      <c r="T41" s="37"/>
      <c r="U41" s="37"/>
      <c r="V41" s="37"/>
      <c r="W41" s="37"/>
      <c r="X41" s="37"/>
      <c r="Y41" s="37"/>
      <c r="Z41" s="40"/>
      <c r="AA41" s="41"/>
      <c r="AB41" s="37"/>
      <c r="AC41" s="37"/>
      <c r="AD41" s="37"/>
      <c r="AE41" s="37"/>
      <c r="AF41" s="37"/>
      <c r="AG41" s="37"/>
      <c r="AH41" s="36"/>
      <c r="AI41" s="36"/>
      <c r="AJ41" s="36"/>
      <c r="AK41" s="42"/>
      <c r="AL41" s="36"/>
      <c r="AM41" s="73">
        <f t="shared" si="1"/>
        <v>0</v>
      </c>
      <c r="AN41" s="71" t="str">
        <f>+IF($I41&gt;0,VLOOKUP($I41,'Lista de Precios'!$A$3:$H$2883,4,0),"")</f>
        <v/>
      </c>
      <c r="AO41" s="68" t="str">
        <f t="shared" si="3"/>
        <v/>
      </c>
      <c r="AP41" s="7" t="str">
        <f>IF($I41&gt;0,VLOOKUP($I41,'Lista de Precios'!$A$3:$K$2883,10,0),"")</f>
        <v/>
      </c>
      <c r="AQ41" s="7" t="str">
        <f>IF($I41&gt;0,VLOOKUP($I41,'Lista de Precios'!$A$3:$M$4893,13,0),"")</f>
        <v/>
      </c>
      <c r="AR41" s="7" t="str">
        <f>IF($I41&gt;0,VLOOKUP(I41,'Lista de Precios'!$A$3:$M$2883,13,0),"")</f>
        <v/>
      </c>
      <c r="HR41" s="134"/>
      <c r="HS41" s="134"/>
      <c r="HT41" s="134"/>
      <c r="HU41" s="134"/>
      <c r="HV41" s="134"/>
      <c r="HW41" s="134"/>
      <c r="HX41" s="134"/>
      <c r="HY41" s="134"/>
      <c r="HZ41" s="134"/>
      <c r="IA41" s="134"/>
      <c r="IB41" s="134"/>
      <c r="IC41" s="134"/>
      <c r="IE41" s="134"/>
      <c r="IF41" s="134"/>
      <c r="IG41" s="134"/>
      <c r="IH41" s="134"/>
      <c r="II41" s="134"/>
      <c r="IJ41" s="134"/>
      <c r="IK41" s="134"/>
      <c r="IL41" s="134"/>
      <c r="IM41" s="134"/>
      <c r="IN41" s="135"/>
      <c r="IO41" s="135"/>
      <c r="IP41" s="135"/>
      <c r="XEP41" s="7" t="str">
        <f t="shared" si="4"/>
        <v/>
      </c>
      <c r="XEQ41" s="7" t="str">
        <f t="shared" si="5"/>
        <v/>
      </c>
      <c r="XER41" s="7" t="str">
        <f t="shared" si="6"/>
        <v/>
      </c>
      <c r="XES41" s="7" t="str">
        <f t="shared" si="7"/>
        <v/>
      </c>
    </row>
    <row r="42" spans="1:250 16370:16373" ht="23.25" customHeight="1" x14ac:dyDescent="0.25">
      <c r="A42" s="74">
        <f>IF($I42&gt;0,VLOOKUP(I42,'Lista de Precios'!$A$3:$L$2883,9,0),0)</f>
        <v>0</v>
      </c>
      <c r="B42" s="74">
        <f>IF($I42&gt;0,VLOOKUP(I42,'Lista de Precios'!$A$3:$H$2883,7,0),0)</f>
        <v>0</v>
      </c>
      <c r="C42" s="7" t="str">
        <f>IF($I42&gt;0,VLOOKUP(I42,'Lista de Precios'!$A$3:$H$2883,2,0),"")</f>
        <v/>
      </c>
      <c r="D42" s="7" t="str">
        <f>IF($I42&gt;0,VLOOKUP(I42,'Lista de Precios'!$A$3:$H$2883,3,0),"")</f>
        <v/>
      </c>
      <c r="E42" s="76" t="str">
        <f>IF($I42&gt;0,VLOOKUP(I42,'Lista de Precios'!$A$3:$H$2883,6,0),"")</f>
        <v/>
      </c>
      <c r="F42" s="76" t="str">
        <f>IF($I42&gt;0,VLOOKUP(I42,'Lista de Precios'!$A$3:$H$2883,8,0),"")</f>
        <v/>
      </c>
      <c r="G42" s="101" t="str">
        <f t="shared" si="2"/>
        <v/>
      </c>
      <c r="H42" s="20" t="s">
        <v>3</v>
      </c>
      <c r="I42" s="18"/>
      <c r="J42" s="28" t="str">
        <f t="shared" si="8"/>
        <v/>
      </c>
      <c r="K42" s="24">
        <f>+IF($I42&gt;0,VLOOKUP($I42,'Lista de Precios'!$A$3:$H$2883,5,0),0)</f>
        <v>0</v>
      </c>
      <c r="L42" s="37"/>
      <c r="M42" s="37"/>
      <c r="N42" s="37"/>
      <c r="O42" s="37"/>
      <c r="P42" s="40"/>
      <c r="Q42" s="39"/>
      <c r="R42" s="37"/>
      <c r="S42" s="37"/>
      <c r="T42" s="37"/>
      <c r="U42" s="37"/>
      <c r="V42" s="37"/>
      <c r="W42" s="37"/>
      <c r="X42" s="37"/>
      <c r="Y42" s="37"/>
      <c r="Z42" s="40"/>
      <c r="AA42" s="41"/>
      <c r="AB42" s="37"/>
      <c r="AC42" s="37"/>
      <c r="AD42" s="37"/>
      <c r="AE42" s="37"/>
      <c r="AF42" s="37"/>
      <c r="AG42" s="37"/>
      <c r="AH42" s="36"/>
      <c r="AI42" s="36"/>
      <c r="AJ42" s="36"/>
      <c r="AK42" s="42"/>
      <c r="AL42" s="36"/>
      <c r="AM42" s="73">
        <f t="shared" si="1"/>
        <v>0</v>
      </c>
      <c r="AN42" s="71" t="str">
        <f>+IF($I42&gt;0,VLOOKUP($I42,'Lista de Precios'!$A$3:$H$2883,4,0),"")</f>
        <v/>
      </c>
      <c r="AO42" s="68" t="str">
        <f t="shared" si="3"/>
        <v/>
      </c>
      <c r="AP42" s="7" t="str">
        <f>IF($I42&gt;0,VLOOKUP($I42,'Lista de Precios'!$A$3:$K$2883,10,0),"")</f>
        <v/>
      </c>
      <c r="AQ42" s="7" t="str">
        <f>IF($I42&gt;0,VLOOKUP($I42,'Lista de Precios'!$A$3:$M$4893,13,0),"")</f>
        <v/>
      </c>
      <c r="AR42" s="7" t="str">
        <f>IF($I42&gt;0,VLOOKUP(I42,'Lista de Precios'!$A$3:$M$2883,13,0),"")</f>
        <v/>
      </c>
      <c r="HR42" s="134"/>
      <c r="HS42" s="134"/>
      <c r="HT42" s="134"/>
      <c r="HU42" s="134"/>
      <c r="HV42" s="134"/>
      <c r="HW42" s="134"/>
      <c r="HX42" s="134"/>
      <c r="HY42" s="134"/>
      <c r="HZ42" s="134"/>
      <c r="IA42" s="134"/>
      <c r="IB42" s="134"/>
      <c r="IC42" s="134"/>
      <c r="IE42" s="134"/>
      <c r="IF42" s="134"/>
      <c r="IG42" s="134"/>
      <c r="IH42" s="134"/>
      <c r="II42" s="134"/>
      <c r="IJ42" s="134"/>
      <c r="IK42" s="134"/>
      <c r="IL42" s="134"/>
      <c r="IM42" s="134"/>
      <c r="IN42" s="135"/>
      <c r="IO42" s="135"/>
      <c r="IP42" s="135"/>
      <c r="XEP42" s="7" t="str">
        <f t="shared" si="4"/>
        <v/>
      </c>
      <c r="XEQ42" s="7" t="str">
        <f t="shared" si="5"/>
        <v/>
      </c>
      <c r="XER42" s="7" t="str">
        <f t="shared" si="6"/>
        <v/>
      </c>
      <c r="XES42" s="7" t="str">
        <f t="shared" si="7"/>
        <v/>
      </c>
    </row>
    <row r="43" spans="1:250 16370:16373" ht="23.25" customHeight="1" x14ac:dyDescent="0.25">
      <c r="A43" s="74">
        <f>IF($I43&gt;0,VLOOKUP(I43,'Lista de Precios'!$A$3:$L$2883,9,0),0)</f>
        <v>0</v>
      </c>
      <c r="B43" s="74">
        <f>IF($I43&gt;0,VLOOKUP(I43,'Lista de Precios'!$A$3:$H$2883,7,0),0)</f>
        <v>0</v>
      </c>
      <c r="C43" s="7" t="str">
        <f>IF($I43&gt;0,VLOOKUP(I43,'Lista de Precios'!$A$3:$H$2883,2,0),"")</f>
        <v/>
      </c>
      <c r="D43" s="7" t="str">
        <f>IF($I43&gt;0,VLOOKUP(I43,'Lista de Precios'!$A$3:$H$2883,3,0),"")</f>
        <v/>
      </c>
      <c r="E43" s="76" t="str">
        <f>IF($I43&gt;0,VLOOKUP(I43,'Lista de Precios'!$A$3:$H$2883,6,0),"")</f>
        <v/>
      </c>
      <c r="F43" s="76" t="str">
        <f>IF($I43&gt;0,VLOOKUP(I43,'Lista de Precios'!$A$3:$H$2883,8,0),"")</f>
        <v/>
      </c>
      <c r="G43" s="101" t="str">
        <f t="shared" si="2"/>
        <v/>
      </c>
      <c r="H43" s="20" t="s">
        <v>3</v>
      </c>
      <c r="I43" s="18"/>
      <c r="J43" s="28" t="str">
        <f t="shared" si="8"/>
        <v/>
      </c>
      <c r="K43" s="24">
        <f>+IF($I43&gt;0,VLOOKUP($I43,'Lista de Precios'!$A$3:$H$2883,5,0),0)</f>
        <v>0</v>
      </c>
      <c r="L43" s="36"/>
      <c r="M43" s="36"/>
      <c r="N43" s="36"/>
      <c r="O43" s="37"/>
      <c r="P43" s="38"/>
      <c r="Q43" s="39"/>
      <c r="R43" s="37"/>
      <c r="S43" s="37"/>
      <c r="T43" s="37"/>
      <c r="U43" s="37"/>
      <c r="V43" s="37"/>
      <c r="W43" s="37"/>
      <c r="X43" s="37"/>
      <c r="Y43" s="37"/>
      <c r="Z43" s="40"/>
      <c r="AA43" s="41"/>
      <c r="AB43" s="37"/>
      <c r="AC43" s="37"/>
      <c r="AD43" s="37"/>
      <c r="AE43" s="37"/>
      <c r="AF43" s="37"/>
      <c r="AG43" s="37"/>
      <c r="AH43" s="36"/>
      <c r="AI43" s="36"/>
      <c r="AJ43" s="36"/>
      <c r="AK43" s="42"/>
      <c r="AL43" s="42"/>
      <c r="AM43" s="73">
        <f t="shared" si="1"/>
        <v>0</v>
      </c>
      <c r="AN43" s="71" t="str">
        <f>+IF($I43&gt;0,VLOOKUP($I43,'Lista de Precios'!$A$3:$H$2883,4,0),"")</f>
        <v/>
      </c>
      <c r="AO43" s="68" t="str">
        <f t="shared" si="3"/>
        <v/>
      </c>
      <c r="AP43" s="7" t="str">
        <f>IF($I43&gt;0,VLOOKUP($I43,'Lista de Precios'!$A$3:$K$2883,10,0),"")</f>
        <v/>
      </c>
      <c r="AQ43" s="7" t="str">
        <f>IF($I43&gt;0,VLOOKUP($I43,'Lista de Precios'!$A$3:$M$4893,13,0),"")</f>
        <v/>
      </c>
      <c r="AR43" s="7" t="str">
        <f>IF($I43&gt;0,VLOOKUP(I43,'Lista de Precios'!$A$3:$M$2883,13,0),"")</f>
        <v/>
      </c>
      <c r="HR43" s="134"/>
      <c r="HS43" s="134"/>
      <c r="HT43" s="134"/>
      <c r="HU43" s="134"/>
      <c r="HV43" s="134"/>
      <c r="HW43" s="134"/>
      <c r="HX43" s="134"/>
      <c r="HY43" s="134"/>
      <c r="HZ43" s="134"/>
      <c r="IA43" s="134"/>
      <c r="IB43" s="134"/>
      <c r="IC43" s="134"/>
      <c r="IE43" s="134"/>
      <c r="IF43" s="134"/>
      <c r="IG43" s="134"/>
      <c r="IH43" s="134"/>
      <c r="II43" s="134"/>
      <c r="IJ43" s="134"/>
      <c r="IK43" s="134"/>
      <c r="IL43" s="134"/>
      <c r="IM43" s="134"/>
      <c r="IN43" s="135"/>
      <c r="IO43" s="135"/>
      <c r="IP43" s="135"/>
      <c r="XEP43" s="7" t="str">
        <f t="shared" si="4"/>
        <v/>
      </c>
      <c r="XEQ43" s="7" t="str">
        <f t="shared" si="5"/>
        <v/>
      </c>
      <c r="XER43" s="7" t="str">
        <f t="shared" si="6"/>
        <v/>
      </c>
      <c r="XES43" s="7" t="str">
        <f t="shared" si="7"/>
        <v/>
      </c>
    </row>
    <row r="44" spans="1:250 16370:16373" ht="23.25" customHeight="1" x14ac:dyDescent="0.25">
      <c r="A44" s="74">
        <f>IF($I44&gt;0,VLOOKUP(I44,'Lista de Precios'!$A$3:$L$2883,9,0),0)</f>
        <v>0</v>
      </c>
      <c r="B44" s="74">
        <f>IF($I44&gt;0,VLOOKUP(I44,'Lista de Precios'!$A$3:$H$2883,7,0),0)</f>
        <v>0</v>
      </c>
      <c r="C44" s="7" t="str">
        <f>IF($I44&gt;0,VLOOKUP(I44,'Lista de Precios'!$A$3:$H$2883,2,0),"")</f>
        <v/>
      </c>
      <c r="D44" s="7" t="str">
        <f>IF($I44&gt;0,VLOOKUP(I44,'Lista de Precios'!$A$3:$H$2883,3,0),"")</f>
        <v/>
      </c>
      <c r="E44" s="76" t="str">
        <f>IF($I44&gt;0,VLOOKUP(I44,'Lista de Precios'!$A$3:$H$2883,6,0),"")</f>
        <v/>
      </c>
      <c r="F44" s="76" t="str">
        <f>IF($I44&gt;0,VLOOKUP(I44,'Lista de Precios'!$A$3:$H$2883,8,0),"")</f>
        <v/>
      </c>
      <c r="G44" s="101" t="str">
        <f t="shared" si="2"/>
        <v/>
      </c>
      <c r="H44" s="20" t="s">
        <v>3</v>
      </c>
      <c r="I44" s="18"/>
      <c r="J44" s="28" t="str">
        <f t="shared" si="8"/>
        <v/>
      </c>
      <c r="K44" s="24">
        <f>+IF($I44&gt;0,VLOOKUP($I44,'Lista de Precios'!$A$3:$H$2883,5,0),0)</f>
        <v>0</v>
      </c>
      <c r="L44" s="37"/>
      <c r="M44" s="37"/>
      <c r="N44" s="37"/>
      <c r="O44" s="37"/>
      <c r="P44" s="40"/>
      <c r="Q44" s="39"/>
      <c r="R44" s="37"/>
      <c r="S44" s="37"/>
      <c r="T44" s="37"/>
      <c r="U44" s="37"/>
      <c r="V44" s="37"/>
      <c r="W44" s="37"/>
      <c r="X44" s="37"/>
      <c r="Y44" s="37"/>
      <c r="Z44" s="40"/>
      <c r="AA44" s="41"/>
      <c r="AB44" s="37"/>
      <c r="AC44" s="37"/>
      <c r="AD44" s="37"/>
      <c r="AE44" s="37"/>
      <c r="AF44" s="37"/>
      <c r="AG44" s="37"/>
      <c r="AH44" s="36"/>
      <c r="AI44" s="36"/>
      <c r="AJ44" s="36"/>
      <c r="AK44" s="42"/>
      <c r="AL44" s="42"/>
      <c r="AM44" s="73">
        <f t="shared" si="1"/>
        <v>0</v>
      </c>
      <c r="AN44" s="71" t="str">
        <f>+IF($I44&gt;0,VLOOKUP($I44,'Lista de Precios'!$A$3:$H$2883,4,0),"")</f>
        <v/>
      </c>
      <c r="AO44" s="68" t="str">
        <f t="shared" si="3"/>
        <v/>
      </c>
      <c r="AP44" s="7" t="str">
        <f>IF($I44&gt;0,VLOOKUP($I44,'Lista de Precios'!$A$3:$K$2883,10,0),"")</f>
        <v/>
      </c>
      <c r="AQ44" s="7" t="str">
        <f>IF($I44&gt;0,VLOOKUP($I44,'Lista de Precios'!$A$3:$M$4893,13,0),"")</f>
        <v/>
      </c>
      <c r="AR44" s="7" t="str">
        <f>IF($I44&gt;0,VLOOKUP(I44,'Lista de Precios'!$A$3:$M$2883,13,0),"")</f>
        <v/>
      </c>
      <c r="HR44" s="134"/>
      <c r="HS44" s="134"/>
      <c r="HT44" s="134"/>
      <c r="HU44" s="134"/>
      <c r="HV44" s="134"/>
      <c r="HW44" s="134"/>
      <c r="HX44" s="134"/>
      <c r="HY44" s="134"/>
      <c r="HZ44" s="134"/>
      <c r="IA44" s="134"/>
      <c r="IB44" s="134"/>
      <c r="IC44" s="134"/>
      <c r="IE44" s="134"/>
      <c r="IF44" s="134"/>
      <c r="IG44" s="134"/>
      <c r="IH44" s="134"/>
      <c r="II44" s="134"/>
      <c r="IJ44" s="134"/>
      <c r="IK44" s="134"/>
      <c r="IL44" s="134"/>
      <c r="IM44" s="134"/>
      <c r="IN44" s="135"/>
      <c r="IO44" s="135"/>
      <c r="IP44" s="135"/>
      <c r="XEP44" s="7" t="str">
        <f t="shared" si="4"/>
        <v/>
      </c>
      <c r="XEQ44" s="7" t="str">
        <f t="shared" si="5"/>
        <v/>
      </c>
      <c r="XER44" s="7" t="str">
        <f t="shared" si="6"/>
        <v/>
      </c>
      <c r="XES44" s="7" t="str">
        <f t="shared" si="7"/>
        <v/>
      </c>
    </row>
    <row r="45" spans="1:250 16370:16373" ht="23.25" customHeight="1" x14ac:dyDescent="0.25">
      <c r="A45" s="74">
        <f>IF($I45&gt;0,VLOOKUP(I45,'Lista de Precios'!$A$3:$L$2883,9,0),0)</f>
        <v>0</v>
      </c>
      <c r="B45" s="74">
        <f>IF($I45&gt;0,VLOOKUP(I45,'Lista de Precios'!$A$3:$H$2883,7,0),0)</f>
        <v>0</v>
      </c>
      <c r="C45" s="7" t="str">
        <f>IF($I45&gt;0,VLOOKUP(I45,'Lista de Precios'!$A$3:$H$2883,2,0),"")</f>
        <v/>
      </c>
      <c r="D45" s="7" t="str">
        <f>IF($I45&gt;0,VLOOKUP(I45,'Lista de Precios'!$A$3:$H$2883,3,0),"")</f>
        <v/>
      </c>
      <c r="E45" s="76" t="str">
        <f>IF($I45&gt;0,VLOOKUP(I45,'Lista de Precios'!$A$3:$H$2883,6,0),"")</f>
        <v/>
      </c>
      <c r="F45" s="76" t="str">
        <f>IF($I45&gt;0,VLOOKUP(I45,'Lista de Precios'!$A$3:$H$2883,8,0),"")</f>
        <v/>
      </c>
      <c r="G45" s="101" t="str">
        <f t="shared" si="2"/>
        <v/>
      </c>
      <c r="H45" s="20" t="s">
        <v>3</v>
      </c>
      <c r="I45" s="18"/>
      <c r="J45" s="28" t="str">
        <f t="shared" si="8"/>
        <v/>
      </c>
      <c r="K45" s="24">
        <f>+IF($I45&gt;0,VLOOKUP($I45,'Lista de Precios'!$A$3:$H$2883,5,0),0)</f>
        <v>0</v>
      </c>
      <c r="L45" s="37"/>
      <c r="M45" s="37"/>
      <c r="N45" s="37"/>
      <c r="O45" s="37"/>
      <c r="P45" s="40"/>
      <c r="Q45" s="39"/>
      <c r="R45" s="37"/>
      <c r="S45" s="37"/>
      <c r="T45" s="37"/>
      <c r="U45" s="37"/>
      <c r="V45" s="37"/>
      <c r="W45" s="37"/>
      <c r="X45" s="37"/>
      <c r="Y45" s="37"/>
      <c r="Z45" s="40"/>
      <c r="AA45" s="41"/>
      <c r="AB45" s="37"/>
      <c r="AC45" s="37"/>
      <c r="AD45" s="37"/>
      <c r="AE45" s="37"/>
      <c r="AF45" s="37"/>
      <c r="AG45" s="37"/>
      <c r="AH45" s="36"/>
      <c r="AI45" s="36"/>
      <c r="AJ45" s="42"/>
      <c r="AK45" s="42"/>
      <c r="AL45" s="43"/>
      <c r="AM45" s="73">
        <f t="shared" si="1"/>
        <v>0</v>
      </c>
      <c r="AN45" s="71" t="str">
        <f>+IF($I45&gt;0,VLOOKUP($I45,'Lista de Precios'!$A$3:$H$2883,4,0),"")</f>
        <v/>
      </c>
      <c r="AO45" s="68" t="str">
        <f t="shared" si="3"/>
        <v/>
      </c>
      <c r="AP45" s="7" t="str">
        <f>IF($I45&gt;0,VLOOKUP($I45,'Lista de Precios'!$A$3:$K$2883,10,0),"")</f>
        <v/>
      </c>
      <c r="AQ45" s="7" t="str">
        <f>IF($I45&gt;0,VLOOKUP($I45,'Lista de Precios'!$A$3:$M$4893,13,0),"")</f>
        <v/>
      </c>
      <c r="AR45" s="7" t="str">
        <f>IF($I45&gt;0,VLOOKUP(I45,'Lista de Precios'!$A$3:$M$2883,13,0),"")</f>
        <v/>
      </c>
      <c r="HR45" s="134"/>
      <c r="HS45" s="134"/>
      <c r="HT45" s="134"/>
      <c r="HU45" s="134"/>
      <c r="HV45" s="134"/>
      <c r="HW45" s="134"/>
      <c r="HX45" s="134"/>
      <c r="HY45" s="134"/>
      <c r="HZ45" s="134"/>
      <c r="IA45" s="134"/>
      <c r="IB45" s="134"/>
      <c r="IC45" s="134"/>
      <c r="IE45" s="134"/>
      <c r="IF45" s="134"/>
      <c r="IG45" s="134"/>
      <c r="IH45" s="134"/>
      <c r="II45" s="134"/>
      <c r="IJ45" s="134"/>
      <c r="IK45" s="134"/>
      <c r="IL45" s="134"/>
      <c r="IM45" s="134"/>
      <c r="IN45" s="135"/>
      <c r="IO45" s="135"/>
      <c r="IP45" s="135"/>
      <c r="XEP45" s="7" t="str">
        <f t="shared" si="4"/>
        <v/>
      </c>
      <c r="XEQ45" s="7" t="str">
        <f t="shared" si="5"/>
        <v/>
      </c>
      <c r="XER45" s="7" t="str">
        <f t="shared" si="6"/>
        <v/>
      </c>
      <c r="XES45" s="7" t="str">
        <f t="shared" si="7"/>
        <v/>
      </c>
    </row>
    <row r="46" spans="1:250 16370:16373" ht="23.25" customHeight="1" x14ac:dyDescent="0.25">
      <c r="A46" s="74">
        <f>IF($I46&gt;0,VLOOKUP(I46,'Lista de Precios'!$A$3:$L$2883,9,0),0)</f>
        <v>0</v>
      </c>
      <c r="B46" s="74">
        <f>IF($I46&gt;0,VLOOKUP(I46,'Lista de Precios'!$A$3:$H$2883,7,0),0)</f>
        <v>0</v>
      </c>
      <c r="C46" s="7" t="str">
        <f>IF($I46&gt;0,VLOOKUP(I46,'Lista de Precios'!$A$3:$H$2883,2,0),"")</f>
        <v/>
      </c>
      <c r="D46" s="7" t="str">
        <f>IF($I46&gt;0,VLOOKUP(I46,'Lista de Precios'!$A$3:$H$2883,3,0),"")</f>
        <v/>
      </c>
      <c r="E46" s="76" t="str">
        <f>IF($I46&gt;0,VLOOKUP(I46,'Lista de Precios'!$A$3:$H$2883,6,0),"")</f>
        <v/>
      </c>
      <c r="F46" s="76" t="str">
        <f>IF($I46&gt;0,VLOOKUP(I46,'Lista de Precios'!$A$3:$H$2883,8,0),"")</f>
        <v/>
      </c>
      <c r="G46" s="101" t="str">
        <f t="shared" si="2"/>
        <v/>
      </c>
      <c r="H46" s="20" t="s">
        <v>3</v>
      </c>
      <c r="I46" s="18"/>
      <c r="J46" s="28" t="str">
        <f t="shared" si="8"/>
        <v/>
      </c>
      <c r="K46" s="24">
        <f>+IF($I46&gt;0,VLOOKUP($I46,'Lista de Precios'!$A$3:$H$2883,5,0),0)</f>
        <v>0</v>
      </c>
      <c r="L46" s="37"/>
      <c r="M46" s="37"/>
      <c r="N46" s="37"/>
      <c r="O46" s="37"/>
      <c r="P46" s="40"/>
      <c r="Q46" s="39"/>
      <c r="R46" s="37"/>
      <c r="S46" s="37"/>
      <c r="T46" s="37"/>
      <c r="U46" s="37"/>
      <c r="V46" s="37"/>
      <c r="W46" s="37"/>
      <c r="X46" s="37"/>
      <c r="Y46" s="37"/>
      <c r="Z46" s="37"/>
      <c r="AA46" s="41"/>
      <c r="AB46" s="37"/>
      <c r="AC46" s="37"/>
      <c r="AD46" s="37"/>
      <c r="AE46" s="37"/>
      <c r="AF46" s="37"/>
      <c r="AG46" s="37"/>
      <c r="AH46" s="36"/>
      <c r="AI46" s="36"/>
      <c r="AJ46" s="42"/>
      <c r="AK46" s="42"/>
      <c r="AL46" s="42"/>
      <c r="AM46" s="73">
        <f t="shared" si="1"/>
        <v>0</v>
      </c>
      <c r="AN46" s="71" t="str">
        <f>+IF($I46&gt;0,VLOOKUP($I46,'Lista de Precios'!$A$3:$H$2883,4,0),"")</f>
        <v/>
      </c>
      <c r="AO46" s="68" t="str">
        <f t="shared" si="3"/>
        <v/>
      </c>
      <c r="AP46" s="7" t="str">
        <f>IF($I46&gt;0,VLOOKUP($I46,'Lista de Precios'!$A$3:$K$2883,10,0),"")</f>
        <v/>
      </c>
      <c r="AQ46" s="7" t="str">
        <f>IF($I46&gt;0,VLOOKUP($I46,'Lista de Precios'!$A$3:$M$4893,13,0),"")</f>
        <v/>
      </c>
      <c r="AR46" s="7" t="str">
        <f>IF($I46&gt;0,VLOOKUP(I46,'Lista de Precios'!$A$3:$M$2883,13,0),"")</f>
        <v/>
      </c>
      <c r="HR46" s="134"/>
      <c r="HS46" s="134"/>
      <c r="HT46" s="134"/>
      <c r="HU46" s="134"/>
      <c r="HV46" s="134"/>
      <c r="HW46" s="134"/>
      <c r="HX46" s="134"/>
      <c r="HY46" s="134"/>
      <c r="HZ46" s="134"/>
      <c r="IA46" s="134"/>
      <c r="IB46" s="134"/>
      <c r="IC46" s="134"/>
      <c r="IE46" s="134"/>
      <c r="IF46" s="134"/>
      <c r="IG46" s="134"/>
      <c r="IH46" s="134"/>
      <c r="II46" s="134"/>
      <c r="IJ46" s="134"/>
      <c r="IK46" s="134"/>
      <c r="IL46" s="134"/>
      <c r="IM46" s="134"/>
      <c r="IN46" s="135"/>
      <c r="IO46" s="135"/>
      <c r="IP46" s="135"/>
      <c r="XEP46" s="7" t="str">
        <f t="shared" si="4"/>
        <v/>
      </c>
      <c r="XEQ46" s="7" t="str">
        <f t="shared" si="5"/>
        <v/>
      </c>
      <c r="XER46" s="7" t="str">
        <f t="shared" si="6"/>
        <v/>
      </c>
      <c r="XES46" s="7" t="str">
        <f t="shared" si="7"/>
        <v/>
      </c>
    </row>
    <row r="47" spans="1:250 16370:16373" ht="23.25" customHeight="1" x14ac:dyDescent="0.25">
      <c r="A47" s="74">
        <f>IF($I47&gt;0,VLOOKUP(I47,'Lista de Precios'!$A$3:$L$2883,9,0),0)</f>
        <v>0</v>
      </c>
      <c r="B47" s="74">
        <f>IF($I47&gt;0,VLOOKUP(I47,'Lista de Precios'!$A$3:$H$2883,7,0),0)</f>
        <v>0</v>
      </c>
      <c r="C47" s="7" t="str">
        <f>IF($I47&gt;0,VLOOKUP(I47,'Lista de Precios'!$A$3:$H$2883,2,0),"")</f>
        <v/>
      </c>
      <c r="D47" s="7" t="str">
        <f>IF($I47&gt;0,VLOOKUP(I47,'Lista de Precios'!$A$3:$H$2883,3,0),"")</f>
        <v/>
      </c>
      <c r="E47" s="76" t="str">
        <f>IF($I47&gt;0,VLOOKUP(I47,'Lista de Precios'!$A$3:$H$2883,6,0),"")</f>
        <v/>
      </c>
      <c r="F47" s="76" t="str">
        <f>IF($I47&gt;0,VLOOKUP(I47,'Lista de Precios'!$A$3:$H$2883,8,0),"")</f>
        <v/>
      </c>
      <c r="G47" s="101" t="str">
        <f t="shared" si="2"/>
        <v/>
      </c>
      <c r="H47" s="20" t="s">
        <v>3</v>
      </c>
      <c r="I47" s="18"/>
      <c r="J47" s="28" t="str">
        <f t="shared" si="8"/>
        <v/>
      </c>
      <c r="K47" s="24">
        <f>+IF($I47&gt;0,VLOOKUP($I47,'Lista de Precios'!$A$3:$H$2883,5,0),0)</f>
        <v>0</v>
      </c>
      <c r="L47" s="37"/>
      <c r="M47" s="37"/>
      <c r="N47" s="37"/>
      <c r="O47" s="37"/>
      <c r="P47" s="40"/>
      <c r="Q47" s="39"/>
      <c r="R47" s="37"/>
      <c r="S47" s="37"/>
      <c r="T47" s="37"/>
      <c r="U47" s="37"/>
      <c r="V47" s="37"/>
      <c r="W47" s="37"/>
      <c r="X47" s="37"/>
      <c r="Y47" s="37"/>
      <c r="Z47" s="40"/>
      <c r="AA47" s="41"/>
      <c r="AB47" s="37"/>
      <c r="AC47" s="37"/>
      <c r="AD47" s="37"/>
      <c r="AE47" s="37"/>
      <c r="AF47" s="37"/>
      <c r="AG47" s="37"/>
      <c r="AH47" s="36"/>
      <c r="AI47" s="36"/>
      <c r="AJ47" s="42"/>
      <c r="AK47" s="42"/>
      <c r="AL47" s="42"/>
      <c r="AM47" s="73">
        <f t="shared" ref="AM47:AM78" si="12">+IF(I47&gt;0,SUM(L47:AL47),0)</f>
        <v>0</v>
      </c>
      <c r="AN47" s="71" t="str">
        <f>+IF($I47&gt;0,VLOOKUP($I47,'Lista de Precios'!$A$3:$H$2883,4,0),"")</f>
        <v/>
      </c>
      <c r="AO47" s="68" t="str">
        <f t="shared" si="3"/>
        <v/>
      </c>
      <c r="AP47" s="7" t="str">
        <f>IF($I47&gt;0,VLOOKUP($I47,'Lista de Precios'!$A$3:$K$2883,10,0),"")</f>
        <v/>
      </c>
      <c r="AQ47" s="7" t="str">
        <f>IF($I47&gt;0,VLOOKUP($I47,'Lista de Precios'!$A$3:$M$4893,13,0),"")</f>
        <v/>
      </c>
      <c r="AR47" s="7" t="str">
        <f>IF($I47&gt;0,VLOOKUP(I47,'Lista de Precios'!$A$3:$M$2883,13,0),"")</f>
        <v/>
      </c>
      <c r="HR47" s="134"/>
      <c r="HS47" s="134"/>
      <c r="HT47" s="134"/>
      <c r="HU47" s="134"/>
      <c r="HV47" s="134"/>
      <c r="HW47" s="134"/>
      <c r="HX47" s="134"/>
      <c r="HY47" s="134"/>
      <c r="HZ47" s="134"/>
      <c r="IA47" s="134"/>
      <c r="IB47" s="134"/>
      <c r="IC47" s="134"/>
      <c r="IE47" s="134"/>
      <c r="IF47" s="134"/>
      <c r="IG47" s="134"/>
      <c r="IH47" s="134"/>
      <c r="II47" s="134"/>
      <c r="IJ47" s="134"/>
      <c r="IK47" s="134"/>
      <c r="IL47" s="134"/>
      <c r="IM47" s="134"/>
      <c r="IN47" s="135"/>
      <c r="IO47" s="135"/>
      <c r="IP47" s="135"/>
      <c r="XEP47" s="7" t="str">
        <f t="shared" si="4"/>
        <v/>
      </c>
      <c r="XEQ47" s="7" t="str">
        <f t="shared" si="5"/>
        <v/>
      </c>
      <c r="XER47" s="7" t="str">
        <f t="shared" si="6"/>
        <v/>
      </c>
      <c r="XES47" s="7" t="str">
        <f t="shared" si="7"/>
        <v/>
      </c>
    </row>
    <row r="48" spans="1:250 16370:16373" ht="23.25" customHeight="1" x14ac:dyDescent="0.25">
      <c r="A48" s="74">
        <f>IF($I48&gt;0,VLOOKUP(I48,'Lista de Precios'!$A$3:$L$2883,9,0),0)</f>
        <v>0</v>
      </c>
      <c r="B48" s="74">
        <f>IF($I48&gt;0,VLOOKUP(I48,'Lista de Precios'!$A$3:$H$2883,7,0),0)</f>
        <v>0</v>
      </c>
      <c r="C48" s="7" t="str">
        <f>IF($I48&gt;0,VLOOKUP(I48,'Lista de Precios'!$A$3:$H$2883,2,0),"")</f>
        <v/>
      </c>
      <c r="D48" s="7" t="str">
        <f>IF($I48&gt;0,VLOOKUP(I48,'Lista de Precios'!$A$3:$H$2883,3,0),"")</f>
        <v/>
      </c>
      <c r="E48" s="76" t="str">
        <f>IF($I48&gt;0,VLOOKUP(I48,'Lista de Precios'!$A$3:$H$2883,6,0),"")</f>
        <v/>
      </c>
      <c r="F48" s="76" t="str">
        <f>IF($I48&gt;0,VLOOKUP(I48,'Lista de Precios'!$A$3:$H$2883,8,0),"")</f>
        <v/>
      </c>
      <c r="G48" s="101" t="str">
        <f t="shared" si="2"/>
        <v/>
      </c>
      <c r="H48" s="20" t="s">
        <v>3</v>
      </c>
      <c r="I48" s="18"/>
      <c r="J48" s="28" t="str">
        <f t="shared" si="8"/>
        <v/>
      </c>
      <c r="K48" s="24">
        <f>+IF($I48&gt;0,VLOOKUP($I48,'Lista de Precios'!$A$3:$H$2883,5,0),0)</f>
        <v>0</v>
      </c>
      <c r="L48" s="37"/>
      <c r="M48" s="37"/>
      <c r="N48" s="37"/>
      <c r="O48" s="37"/>
      <c r="P48" s="40"/>
      <c r="Q48" s="39"/>
      <c r="R48" s="37"/>
      <c r="S48" s="37"/>
      <c r="T48" s="37"/>
      <c r="U48" s="37"/>
      <c r="V48" s="37"/>
      <c r="W48" s="37"/>
      <c r="X48" s="37"/>
      <c r="Y48" s="37"/>
      <c r="Z48" s="40"/>
      <c r="AA48" s="41"/>
      <c r="AB48" s="37"/>
      <c r="AC48" s="37"/>
      <c r="AD48" s="37"/>
      <c r="AE48" s="36"/>
      <c r="AF48" s="37"/>
      <c r="AG48" s="37"/>
      <c r="AH48" s="36"/>
      <c r="AI48" s="36"/>
      <c r="AJ48" s="42"/>
      <c r="AK48" s="42"/>
      <c r="AL48" s="42"/>
      <c r="AM48" s="73">
        <f t="shared" si="12"/>
        <v>0</v>
      </c>
      <c r="AN48" s="71" t="str">
        <f>+IF($I48&gt;0,VLOOKUP($I48,'Lista de Precios'!$A$3:$H$2883,4,0),"")</f>
        <v/>
      </c>
      <c r="AO48" s="68" t="str">
        <f t="shared" si="3"/>
        <v/>
      </c>
      <c r="AP48" s="7" t="str">
        <f>IF($I48&gt;0,VLOOKUP($I48,'Lista de Precios'!$A$3:$K$2883,10,0),"")</f>
        <v/>
      </c>
      <c r="AQ48" s="7" t="str">
        <f>IF($I48&gt;0,VLOOKUP($I48,'Lista de Precios'!$A$3:$M$4893,13,0),"")</f>
        <v/>
      </c>
      <c r="AR48" s="7" t="str">
        <f>IF($I48&gt;0,VLOOKUP(I48,'Lista de Precios'!$A$3:$M$2883,13,0),"")</f>
        <v/>
      </c>
      <c r="HR48" s="134"/>
      <c r="HS48" s="134"/>
      <c r="HT48" s="134"/>
      <c r="HU48" s="134"/>
      <c r="HV48" s="134"/>
      <c r="HW48" s="134"/>
      <c r="HX48" s="134"/>
      <c r="HY48" s="134"/>
      <c r="HZ48" s="134"/>
      <c r="IA48" s="134"/>
      <c r="IB48" s="134"/>
      <c r="IC48" s="134"/>
      <c r="IE48" s="134"/>
      <c r="IF48" s="134"/>
      <c r="IG48" s="134"/>
      <c r="IH48" s="134"/>
      <c r="II48" s="134"/>
      <c r="IJ48" s="134"/>
      <c r="IK48" s="134"/>
      <c r="IL48" s="134"/>
      <c r="IM48" s="134"/>
      <c r="IN48" s="135"/>
      <c r="IO48" s="135"/>
      <c r="IP48" s="135"/>
      <c r="XEP48" s="7" t="str">
        <f t="shared" si="4"/>
        <v/>
      </c>
      <c r="XEQ48" s="7" t="str">
        <f t="shared" si="5"/>
        <v/>
      </c>
      <c r="XER48" s="7" t="str">
        <f t="shared" si="6"/>
        <v/>
      </c>
      <c r="XES48" s="7" t="str">
        <f t="shared" si="7"/>
        <v/>
      </c>
    </row>
    <row r="49" spans="1:250 16370:16373" ht="23.25" customHeight="1" x14ac:dyDescent="0.25">
      <c r="A49" s="74">
        <f>IF($I49&gt;0,VLOOKUP(I49,'Lista de Precios'!$A$3:$L$2883,9,0),0)</f>
        <v>0</v>
      </c>
      <c r="B49" s="74">
        <f>IF($I49&gt;0,VLOOKUP(I49,'Lista de Precios'!$A$3:$H$2883,7,0),0)</f>
        <v>0</v>
      </c>
      <c r="C49" s="7" t="str">
        <f>IF($I49&gt;0,VLOOKUP(I49,'Lista de Precios'!$A$3:$H$2883,2,0),"")</f>
        <v/>
      </c>
      <c r="D49" s="7" t="str">
        <f>IF($I49&gt;0,VLOOKUP(I49,'Lista de Precios'!$A$3:$H$2883,3,0),"")</f>
        <v/>
      </c>
      <c r="E49" s="76" t="str">
        <f>IF($I49&gt;0,VLOOKUP(I49,'Lista de Precios'!$A$3:$H$2883,6,0),"")</f>
        <v/>
      </c>
      <c r="F49" s="76" t="str">
        <f>IF($I49&gt;0,VLOOKUP(I49,'Lista de Precios'!$A$3:$H$2883,8,0),"")</f>
        <v/>
      </c>
      <c r="G49" s="101" t="str">
        <f t="shared" si="2"/>
        <v/>
      </c>
      <c r="H49" s="20" t="s">
        <v>3</v>
      </c>
      <c r="I49" s="18"/>
      <c r="J49" s="28" t="str">
        <f t="shared" si="8"/>
        <v/>
      </c>
      <c r="K49" s="24">
        <f>+IF($I49&gt;0,VLOOKUP($I49,'Lista de Precios'!$A$3:$H$2883,5,0),0)</f>
        <v>0</v>
      </c>
      <c r="L49" s="37"/>
      <c r="M49" s="37"/>
      <c r="N49" s="37"/>
      <c r="O49" s="37"/>
      <c r="P49" s="40"/>
      <c r="Q49" s="39"/>
      <c r="R49" s="37"/>
      <c r="S49" s="37"/>
      <c r="T49" s="37"/>
      <c r="U49" s="37"/>
      <c r="V49" s="37"/>
      <c r="W49" s="37"/>
      <c r="X49" s="37"/>
      <c r="Y49" s="37"/>
      <c r="Z49" s="40"/>
      <c r="AA49" s="41"/>
      <c r="AB49" s="37"/>
      <c r="AC49" s="37"/>
      <c r="AD49" s="37"/>
      <c r="AE49" s="37"/>
      <c r="AF49" s="37"/>
      <c r="AG49" s="57"/>
      <c r="AH49" s="54"/>
      <c r="AI49" s="54"/>
      <c r="AJ49" s="54"/>
      <c r="AK49" s="54"/>
      <c r="AL49" s="54"/>
      <c r="AM49" s="73">
        <f t="shared" si="12"/>
        <v>0</v>
      </c>
      <c r="AN49" s="71" t="str">
        <f>+IF($I49&gt;0,VLOOKUP($I49,'Lista de Precios'!$A$3:$H$2883,4,0),"")</f>
        <v/>
      </c>
      <c r="AO49" s="68" t="str">
        <f t="shared" si="3"/>
        <v/>
      </c>
      <c r="AP49" s="7" t="str">
        <f>IF($I49&gt;0,VLOOKUP($I49,'Lista de Precios'!$A$3:$K$2883,10,0),"")</f>
        <v/>
      </c>
      <c r="AQ49" s="7" t="str">
        <f>IF($I49&gt;0,VLOOKUP($I49,'Lista de Precios'!$A$3:$M$4893,13,0),"")</f>
        <v/>
      </c>
      <c r="AR49" s="7" t="str">
        <f>IF($I49&gt;0,VLOOKUP(I49,'Lista de Precios'!$A$3:$M$2883,13,0),"")</f>
        <v/>
      </c>
      <c r="HR49" s="134"/>
      <c r="HS49" s="134"/>
      <c r="HT49" s="134"/>
      <c r="HU49" s="134"/>
      <c r="HV49" s="134"/>
      <c r="HW49" s="134"/>
      <c r="HX49" s="134"/>
      <c r="HY49" s="134"/>
      <c r="HZ49" s="134"/>
      <c r="IA49" s="134"/>
      <c r="IB49" s="134"/>
      <c r="IC49" s="134"/>
      <c r="IE49" s="134"/>
      <c r="IF49" s="134"/>
      <c r="IG49" s="134"/>
      <c r="IH49" s="134"/>
      <c r="II49" s="134"/>
      <c r="IJ49" s="134"/>
      <c r="IK49" s="134"/>
      <c r="IL49" s="134"/>
      <c r="IM49" s="134"/>
      <c r="IN49" s="135"/>
      <c r="IO49" s="135"/>
      <c r="IP49" s="135"/>
      <c r="XEP49" s="7" t="str">
        <f t="shared" si="4"/>
        <v/>
      </c>
      <c r="XEQ49" s="7" t="str">
        <f t="shared" si="5"/>
        <v/>
      </c>
      <c r="XER49" s="7" t="str">
        <f t="shared" si="6"/>
        <v/>
      </c>
      <c r="XES49" s="7" t="str">
        <f t="shared" si="7"/>
        <v/>
      </c>
    </row>
    <row r="50" spans="1:250 16370:16373" ht="23.25" customHeight="1" x14ac:dyDescent="0.25">
      <c r="A50" s="74">
        <f>IF($I50&gt;0,VLOOKUP(I50,'Lista de Precios'!$A$3:$L$2883,9,0),0)</f>
        <v>0</v>
      </c>
      <c r="B50" s="74">
        <f>IF($I50&gt;0,VLOOKUP(I50,'Lista de Precios'!$A$3:$H$2883,7,0),0)</f>
        <v>0</v>
      </c>
      <c r="C50" s="7" t="str">
        <f>IF($I50&gt;0,VLOOKUP(I50,'Lista de Precios'!$A$3:$H$2883,2,0),"")</f>
        <v/>
      </c>
      <c r="D50" s="7" t="str">
        <f>IF($I50&gt;0,VLOOKUP(I50,'Lista de Precios'!$A$3:$H$2883,3,0),"")</f>
        <v/>
      </c>
      <c r="E50" s="76" t="str">
        <f>IF($I50&gt;0,VLOOKUP(I50,'Lista de Precios'!$A$3:$H$2883,6,0),"")</f>
        <v/>
      </c>
      <c r="F50" s="76" t="str">
        <f>IF($I50&gt;0,VLOOKUP(I50,'Lista de Precios'!$A$3:$H$2883,8,0),"")</f>
        <v/>
      </c>
      <c r="G50" s="101" t="str">
        <f t="shared" si="2"/>
        <v/>
      </c>
      <c r="H50" s="20" t="s">
        <v>3</v>
      </c>
      <c r="I50" s="18"/>
      <c r="J50" s="28" t="str">
        <f t="shared" si="8"/>
        <v/>
      </c>
      <c r="K50" s="24">
        <f>+IF($I50&gt;0,VLOOKUP($I50,'Lista de Precios'!$A$3:$H$2883,5,0),0)</f>
        <v>0</v>
      </c>
      <c r="L50" s="37"/>
      <c r="M50" s="37"/>
      <c r="N50" s="37"/>
      <c r="O50" s="37"/>
      <c r="P50" s="40"/>
      <c r="Q50" s="39"/>
      <c r="R50" s="37"/>
      <c r="S50" s="37"/>
      <c r="T50" s="37"/>
      <c r="U50" s="37"/>
      <c r="V50" s="37"/>
      <c r="W50" s="37"/>
      <c r="X50" s="37"/>
      <c r="Y50" s="37"/>
      <c r="Z50" s="40"/>
      <c r="AA50" s="41"/>
      <c r="AB50" s="37"/>
      <c r="AC50" s="37"/>
      <c r="AD50" s="37"/>
      <c r="AE50" s="37"/>
      <c r="AF50" s="37"/>
      <c r="AG50" s="57"/>
      <c r="AH50" s="54"/>
      <c r="AI50" s="54"/>
      <c r="AJ50" s="42"/>
      <c r="AK50" s="42"/>
      <c r="AL50" s="42"/>
      <c r="AM50" s="73">
        <f t="shared" si="12"/>
        <v>0</v>
      </c>
      <c r="AN50" s="71" t="str">
        <f>+IF($I50&gt;0,VLOOKUP($I50,'Lista de Precios'!$A$3:$H$2883,4,0),"")</f>
        <v/>
      </c>
      <c r="AO50" s="68" t="str">
        <f t="shared" si="3"/>
        <v/>
      </c>
      <c r="AP50" s="7" t="str">
        <f>IF($I50&gt;0,VLOOKUP($I50,'Lista de Precios'!$A$3:$K$2883,10,0),"")</f>
        <v/>
      </c>
      <c r="AQ50" s="7" t="str">
        <f>IF($I50&gt;0,VLOOKUP($I50,'Lista de Precios'!$A$3:$M$4893,13,0),"")</f>
        <v/>
      </c>
      <c r="AR50" s="7" t="str">
        <f>IF($I50&gt;0,VLOOKUP(I50,'Lista de Precios'!$A$3:$M$2883,13,0),"")</f>
        <v/>
      </c>
      <c r="HR50" s="134"/>
      <c r="HS50" s="134"/>
      <c r="HT50" s="134"/>
      <c r="HU50" s="134"/>
      <c r="HV50" s="134"/>
      <c r="HW50" s="134"/>
      <c r="HX50" s="134"/>
      <c r="HY50" s="134"/>
      <c r="HZ50" s="134"/>
      <c r="IA50" s="134"/>
      <c r="IB50" s="134"/>
      <c r="IC50" s="134"/>
      <c r="IE50" s="134"/>
      <c r="IF50" s="134"/>
      <c r="IG50" s="134"/>
      <c r="IH50" s="134"/>
      <c r="II50" s="134"/>
      <c r="IJ50" s="134"/>
      <c r="IK50" s="134"/>
      <c r="IL50" s="134"/>
      <c r="IM50" s="134"/>
      <c r="IN50" s="135"/>
      <c r="IO50" s="135"/>
      <c r="IP50" s="135"/>
      <c r="XEP50" s="7" t="str">
        <f t="shared" si="4"/>
        <v/>
      </c>
      <c r="XEQ50" s="7" t="str">
        <f t="shared" si="5"/>
        <v/>
      </c>
      <c r="XER50" s="7" t="str">
        <f t="shared" si="6"/>
        <v/>
      </c>
      <c r="XES50" s="7" t="str">
        <f t="shared" si="7"/>
        <v/>
      </c>
    </row>
    <row r="51" spans="1:250 16370:16373" ht="23.25" customHeight="1" x14ac:dyDescent="0.25">
      <c r="A51" s="74">
        <f>IF($I51&gt;0,VLOOKUP(I51,'Lista de Precios'!$A$3:$L$2883,9,0),0)</f>
        <v>0</v>
      </c>
      <c r="B51" s="74">
        <f>IF($I51&gt;0,VLOOKUP(I51,'Lista de Precios'!$A$3:$H$2883,7,0),0)</f>
        <v>0</v>
      </c>
      <c r="C51" s="7" t="str">
        <f>IF($I51&gt;0,VLOOKUP(I51,'Lista de Precios'!$A$3:$H$2883,2,0),"")</f>
        <v/>
      </c>
      <c r="D51" s="7" t="str">
        <f>IF($I51&gt;0,VLOOKUP(I51,'Lista de Precios'!$A$3:$H$2883,3,0),"")</f>
        <v/>
      </c>
      <c r="E51" s="76" t="str">
        <f>IF($I51&gt;0,VLOOKUP(I51,'Lista de Precios'!$A$3:$H$2883,6,0),"")</f>
        <v/>
      </c>
      <c r="F51" s="76" t="str">
        <f>IF($I51&gt;0,VLOOKUP(I51,'Lista de Precios'!$A$3:$H$2883,8,0),"")</f>
        <v/>
      </c>
      <c r="G51" s="101" t="str">
        <f t="shared" si="2"/>
        <v/>
      </c>
      <c r="H51" s="20" t="s">
        <v>3</v>
      </c>
      <c r="I51" s="18"/>
      <c r="J51" s="28" t="str">
        <f t="shared" si="8"/>
        <v/>
      </c>
      <c r="K51" s="24">
        <f>+IF($I51&gt;0,VLOOKUP($I51,'Lista de Precios'!$A$3:$H$2883,5,0),0)</f>
        <v>0</v>
      </c>
      <c r="L51" s="37"/>
      <c r="M51" s="37"/>
      <c r="N51" s="37"/>
      <c r="O51" s="37"/>
      <c r="P51" s="40"/>
      <c r="Q51" s="39"/>
      <c r="R51" s="37"/>
      <c r="S51" s="37"/>
      <c r="T51" s="37"/>
      <c r="U51" s="37"/>
      <c r="V51" s="37"/>
      <c r="W51" s="37"/>
      <c r="X51" s="37"/>
      <c r="Y51" s="37"/>
      <c r="Z51" s="40"/>
      <c r="AA51" s="41"/>
      <c r="AB51" s="37"/>
      <c r="AC51" s="37"/>
      <c r="AD51" s="37"/>
      <c r="AE51" s="37"/>
      <c r="AF51" s="37"/>
      <c r="AG51" s="37"/>
      <c r="AH51" s="42"/>
      <c r="AI51" s="42"/>
      <c r="AJ51" s="43"/>
      <c r="AK51" s="43"/>
      <c r="AL51" s="43"/>
      <c r="AM51" s="73">
        <f t="shared" si="12"/>
        <v>0</v>
      </c>
      <c r="AN51" s="71" t="str">
        <f>+IF($I51&gt;0,VLOOKUP($I51,'Lista de Precios'!$A$3:$H$2883,4,0),"")</f>
        <v/>
      </c>
      <c r="AO51" s="68" t="str">
        <f t="shared" si="3"/>
        <v/>
      </c>
      <c r="AP51" s="7" t="str">
        <f>IF($I51&gt;0,VLOOKUP($I51,'Lista de Precios'!$A$3:$K$2883,10,0),"")</f>
        <v/>
      </c>
      <c r="AQ51" s="7" t="str">
        <f>IF($I51&gt;0,VLOOKUP($I51,'Lista de Precios'!$A$3:$M$4893,13,0),"")</f>
        <v/>
      </c>
      <c r="AR51" s="7" t="str">
        <f>IF($I51&gt;0,VLOOKUP(I51,'Lista de Precios'!$A$3:$M$2883,13,0),"")</f>
        <v/>
      </c>
      <c r="HR51" s="134"/>
      <c r="HS51" s="134"/>
      <c r="HT51" s="134"/>
      <c r="HU51" s="134"/>
      <c r="HV51" s="134"/>
      <c r="HW51" s="134"/>
      <c r="HX51" s="134"/>
      <c r="HY51" s="134"/>
      <c r="HZ51" s="134"/>
      <c r="IA51" s="134"/>
      <c r="IB51" s="134"/>
      <c r="IC51" s="134"/>
      <c r="IE51" s="134"/>
      <c r="IF51" s="134"/>
      <c r="IG51" s="134"/>
      <c r="IH51" s="134"/>
      <c r="II51" s="134"/>
      <c r="IJ51" s="134"/>
      <c r="IK51" s="134"/>
      <c r="IL51" s="134"/>
      <c r="IM51" s="134"/>
      <c r="IN51" s="135"/>
      <c r="IO51" s="135"/>
      <c r="IP51" s="135"/>
      <c r="XEP51" s="7" t="str">
        <f t="shared" si="4"/>
        <v/>
      </c>
      <c r="XEQ51" s="7" t="str">
        <f t="shared" si="5"/>
        <v/>
      </c>
      <c r="XER51" s="7" t="str">
        <f t="shared" si="6"/>
        <v/>
      </c>
      <c r="XES51" s="7" t="str">
        <f t="shared" si="7"/>
        <v/>
      </c>
    </row>
    <row r="52" spans="1:250 16370:16373" ht="23.25" customHeight="1" x14ac:dyDescent="0.25">
      <c r="A52" s="74">
        <f>IF($I52&gt;0,VLOOKUP(I52,'Lista de Precios'!$A$3:$L$2883,9,0),0)</f>
        <v>0</v>
      </c>
      <c r="B52" s="74">
        <f>IF($I52&gt;0,VLOOKUP(I52,'Lista de Precios'!$A$3:$H$2883,7,0),0)</f>
        <v>0</v>
      </c>
      <c r="C52" s="7" t="str">
        <f>IF($I52&gt;0,VLOOKUP(I52,'Lista de Precios'!$A$3:$H$2883,2,0),"")</f>
        <v/>
      </c>
      <c r="D52" s="7" t="str">
        <f>IF($I52&gt;0,VLOOKUP(I52,'Lista de Precios'!$A$3:$H$2883,3,0),"")</f>
        <v/>
      </c>
      <c r="E52" s="76" t="str">
        <f>IF($I52&gt;0,VLOOKUP(I52,'Lista de Precios'!$A$3:$H$2883,6,0),"")</f>
        <v/>
      </c>
      <c r="F52" s="76" t="str">
        <f>IF($I52&gt;0,VLOOKUP(I52,'Lista de Precios'!$A$3:$H$2883,8,0),"")</f>
        <v/>
      </c>
      <c r="G52" s="101" t="str">
        <f t="shared" si="2"/>
        <v/>
      </c>
      <c r="H52" s="20" t="s">
        <v>3</v>
      </c>
      <c r="I52" s="18"/>
      <c r="J52" s="28" t="str">
        <f t="shared" si="8"/>
        <v/>
      </c>
      <c r="K52" s="24">
        <f>+IF($I52&gt;0,VLOOKUP($I52,'Lista de Precios'!$A$3:$H$2883,5,0),0)</f>
        <v>0</v>
      </c>
      <c r="L52" s="36"/>
      <c r="M52" s="36"/>
      <c r="N52" s="36"/>
      <c r="O52" s="37"/>
      <c r="P52" s="38"/>
      <c r="Q52" s="39"/>
      <c r="R52" s="37"/>
      <c r="S52" s="37"/>
      <c r="T52" s="37"/>
      <c r="U52" s="37"/>
      <c r="V52" s="37"/>
      <c r="W52" s="37"/>
      <c r="X52" s="37"/>
      <c r="Y52" s="37"/>
      <c r="Z52" s="40"/>
      <c r="AA52" s="41"/>
      <c r="AB52" s="37"/>
      <c r="AC52" s="37"/>
      <c r="AD52" s="37"/>
      <c r="AE52" s="37"/>
      <c r="AF52" s="37"/>
      <c r="AG52" s="37"/>
      <c r="AH52" s="42"/>
      <c r="AI52" s="42"/>
      <c r="AJ52" s="43"/>
      <c r="AK52" s="43"/>
      <c r="AL52" s="43"/>
      <c r="AM52" s="73">
        <f t="shared" si="12"/>
        <v>0</v>
      </c>
      <c r="AN52" s="71" t="str">
        <f>+IF($I52&gt;0,VLOOKUP($I52,'Lista de Precios'!$A$3:$H$2883,4,0),"")</f>
        <v/>
      </c>
      <c r="AO52" s="68" t="str">
        <f t="shared" si="3"/>
        <v/>
      </c>
      <c r="AP52" s="7" t="str">
        <f>IF($I52&gt;0,VLOOKUP($I52,'Lista de Precios'!$A$3:$K$2883,10,0),"")</f>
        <v/>
      </c>
      <c r="AQ52" s="7" t="str">
        <f>IF($I52&gt;0,VLOOKUP($I52,'Lista de Precios'!$A$3:$M$4893,13,0),"")</f>
        <v/>
      </c>
      <c r="AR52" s="7" t="str">
        <f>IF($I52&gt;0,VLOOKUP(I52,'Lista de Precios'!$A$3:$M$2883,13,0),"")</f>
        <v/>
      </c>
      <c r="HR52" s="134"/>
      <c r="HS52" s="134"/>
      <c r="HT52" s="134"/>
      <c r="HU52" s="134"/>
      <c r="HV52" s="134"/>
      <c r="HW52" s="134"/>
      <c r="HX52" s="134"/>
      <c r="HY52" s="134"/>
      <c r="HZ52" s="134"/>
      <c r="IA52" s="134"/>
      <c r="IB52" s="134"/>
      <c r="IC52" s="134"/>
      <c r="IE52" s="134"/>
      <c r="IF52" s="134"/>
      <c r="IG52" s="134"/>
      <c r="IH52" s="134"/>
      <c r="II52" s="134"/>
      <c r="IJ52" s="134"/>
      <c r="IK52" s="134"/>
      <c r="IL52" s="134"/>
      <c r="IM52" s="134"/>
      <c r="IN52" s="135"/>
      <c r="IO52" s="135"/>
      <c r="IP52" s="135"/>
      <c r="XEP52" s="7" t="str">
        <f t="shared" si="4"/>
        <v/>
      </c>
      <c r="XEQ52" s="7" t="str">
        <f t="shared" si="5"/>
        <v/>
      </c>
      <c r="XER52" s="7" t="str">
        <f t="shared" si="6"/>
        <v/>
      </c>
      <c r="XES52" s="7" t="str">
        <f t="shared" si="7"/>
        <v/>
      </c>
    </row>
    <row r="53" spans="1:250 16370:16373" ht="23.25" customHeight="1" x14ac:dyDescent="0.25">
      <c r="A53" s="74">
        <f>IF($I53&gt;0,VLOOKUP(I53,'Lista de Precios'!$A$3:$L$2883,9,0),0)</f>
        <v>0</v>
      </c>
      <c r="B53" s="74">
        <f>IF($I53&gt;0,VLOOKUP(I53,'Lista de Precios'!$A$3:$H$2883,7,0),0)</f>
        <v>0</v>
      </c>
      <c r="C53" s="7" t="str">
        <f>IF($I53&gt;0,VLOOKUP(I53,'Lista de Precios'!$A$3:$H$2883,2,0),"")</f>
        <v/>
      </c>
      <c r="D53" s="7" t="str">
        <f>IF($I53&gt;0,VLOOKUP(I53,'Lista de Precios'!$A$3:$H$2883,3,0),"")</f>
        <v/>
      </c>
      <c r="E53" s="76" t="str">
        <f>IF($I53&gt;0,VLOOKUP(I53,'Lista de Precios'!$A$3:$H$2883,6,0),"")</f>
        <v/>
      </c>
      <c r="F53" s="76" t="str">
        <f>IF($I53&gt;0,VLOOKUP(I53,'Lista de Precios'!$A$3:$H$2883,8,0),"")</f>
        <v/>
      </c>
      <c r="G53" s="101" t="str">
        <f t="shared" si="2"/>
        <v/>
      </c>
      <c r="H53" s="20" t="s">
        <v>3</v>
      </c>
      <c r="I53" s="18"/>
      <c r="J53" s="28" t="str">
        <f t="shared" si="8"/>
        <v/>
      </c>
      <c r="K53" s="24">
        <f>+IF($I53&gt;0,VLOOKUP($I53,'Lista de Precios'!$A$3:$H$2883,5,0),0)</f>
        <v>0</v>
      </c>
      <c r="L53" s="37"/>
      <c r="M53" s="37"/>
      <c r="N53" s="37"/>
      <c r="O53" s="37"/>
      <c r="P53" s="40"/>
      <c r="Q53" s="39"/>
      <c r="R53" s="37"/>
      <c r="S53" s="37"/>
      <c r="T53" s="37"/>
      <c r="U53" s="37"/>
      <c r="V53" s="37"/>
      <c r="W53" s="37"/>
      <c r="X53" s="37"/>
      <c r="Y53" s="37"/>
      <c r="Z53" s="40"/>
      <c r="AA53" s="41"/>
      <c r="AB53" s="37"/>
      <c r="AC53" s="43"/>
      <c r="AD53" s="43"/>
      <c r="AE53" s="43"/>
      <c r="AF53" s="43"/>
      <c r="AG53" s="43"/>
      <c r="AH53" s="42"/>
      <c r="AI53" s="42"/>
      <c r="AJ53" s="42"/>
      <c r="AK53" s="42"/>
      <c r="AL53" s="43"/>
      <c r="AM53" s="73">
        <f t="shared" si="12"/>
        <v>0</v>
      </c>
      <c r="AN53" s="71" t="str">
        <f>+IF($I53&gt;0,VLOOKUP($I53,'Lista de Precios'!$A$3:$H$2883,4,0),"")</f>
        <v/>
      </c>
      <c r="AO53" s="68" t="str">
        <f t="shared" si="3"/>
        <v/>
      </c>
      <c r="AP53" s="7" t="str">
        <f>IF($I53&gt;0,VLOOKUP($I53,'Lista de Precios'!$A$3:$K$2883,10,0),"")</f>
        <v/>
      </c>
      <c r="AQ53" s="7" t="str">
        <f>IF($I53&gt;0,VLOOKUP($I53,'Lista de Precios'!$A$3:$M$4893,13,0),"")</f>
        <v/>
      </c>
      <c r="AR53" s="7" t="str">
        <f>IF($I53&gt;0,VLOOKUP(I53,'Lista de Precios'!$A$3:$M$2883,13,0),"")</f>
        <v/>
      </c>
      <c r="HR53" s="134"/>
      <c r="HS53" s="134"/>
      <c r="HT53" s="134"/>
      <c r="HU53" s="134"/>
      <c r="HV53" s="134"/>
      <c r="HW53" s="134"/>
      <c r="HX53" s="134"/>
      <c r="HY53" s="134"/>
      <c r="HZ53" s="134"/>
      <c r="IA53" s="134"/>
      <c r="IB53" s="134"/>
      <c r="IC53" s="134"/>
      <c r="IE53" s="134"/>
      <c r="IF53" s="134"/>
      <c r="IG53" s="134"/>
      <c r="IH53" s="134"/>
      <c r="II53" s="134"/>
      <c r="IJ53" s="134"/>
      <c r="IK53" s="134"/>
      <c r="IL53" s="134"/>
      <c r="IM53" s="134"/>
      <c r="IN53" s="135"/>
      <c r="IO53" s="135"/>
      <c r="IP53" s="135"/>
      <c r="XEP53" s="7" t="str">
        <f t="shared" si="4"/>
        <v/>
      </c>
      <c r="XEQ53" s="7" t="str">
        <f t="shared" si="5"/>
        <v/>
      </c>
      <c r="XER53" s="7" t="str">
        <f t="shared" si="6"/>
        <v/>
      </c>
      <c r="XES53" s="7" t="str">
        <f t="shared" si="7"/>
        <v/>
      </c>
    </row>
    <row r="54" spans="1:250 16370:16373" ht="23.25" customHeight="1" x14ac:dyDescent="0.25">
      <c r="A54" s="74">
        <f>IF($I54&gt;0,VLOOKUP(I54,'Lista de Precios'!$A$3:$L$2883,9,0),0)</f>
        <v>0</v>
      </c>
      <c r="B54" s="74">
        <f>IF($I54&gt;0,VLOOKUP(I54,'Lista de Precios'!$A$3:$H$2883,7,0),0)</f>
        <v>0</v>
      </c>
      <c r="C54" s="7" t="str">
        <f>IF($I54&gt;0,VLOOKUP(I54,'Lista de Precios'!$A$3:$H$2883,2,0),"")</f>
        <v/>
      </c>
      <c r="D54" s="7" t="str">
        <f>IF($I54&gt;0,VLOOKUP(I54,'Lista de Precios'!$A$3:$H$2883,3,0),"")</f>
        <v/>
      </c>
      <c r="E54" s="76" t="str">
        <f>IF($I54&gt;0,VLOOKUP(I54,'Lista de Precios'!$A$3:$H$2883,6,0),"")</f>
        <v/>
      </c>
      <c r="F54" s="76" t="str">
        <f>IF($I54&gt;0,VLOOKUP(I54,'Lista de Precios'!$A$3:$H$2883,8,0),"")</f>
        <v/>
      </c>
      <c r="G54" s="101" t="str">
        <f t="shared" si="2"/>
        <v/>
      </c>
      <c r="H54" s="20" t="s">
        <v>3</v>
      </c>
      <c r="I54" s="18"/>
      <c r="J54" s="28" t="str">
        <f t="shared" si="8"/>
        <v/>
      </c>
      <c r="K54" s="24">
        <f>+IF($I54&gt;0,VLOOKUP($I54,'Lista de Precios'!$A$3:$H$2883,5,0),0)</f>
        <v>0</v>
      </c>
      <c r="L54" s="36"/>
      <c r="M54" s="36"/>
      <c r="N54" s="36"/>
      <c r="O54" s="37"/>
      <c r="P54" s="38"/>
      <c r="Q54" s="45"/>
      <c r="R54" s="43"/>
      <c r="S54" s="43"/>
      <c r="T54" s="43"/>
      <c r="U54" s="43"/>
      <c r="V54" s="43"/>
      <c r="W54" s="43"/>
      <c r="X54" s="43"/>
      <c r="Y54" s="37"/>
      <c r="Z54" s="40"/>
      <c r="AA54" s="41"/>
      <c r="AB54" s="37"/>
      <c r="AC54" s="43"/>
      <c r="AD54" s="43"/>
      <c r="AE54" s="43"/>
      <c r="AF54" s="43"/>
      <c r="AG54" s="43"/>
      <c r="AH54" s="42"/>
      <c r="AI54" s="42"/>
      <c r="AJ54" s="42"/>
      <c r="AK54" s="42"/>
      <c r="AL54" s="43"/>
      <c r="AM54" s="73">
        <f t="shared" si="12"/>
        <v>0</v>
      </c>
      <c r="AN54" s="71" t="str">
        <f>+IF($I54&gt;0,VLOOKUP($I54,'Lista de Precios'!$A$3:$H$2883,4,0),"")</f>
        <v/>
      </c>
      <c r="AO54" s="68" t="str">
        <f t="shared" si="3"/>
        <v/>
      </c>
      <c r="AP54" s="7" t="str">
        <f>IF($I54&gt;0,VLOOKUP($I54,'Lista de Precios'!$A$3:$K$2883,10,0),"")</f>
        <v/>
      </c>
      <c r="AQ54" s="7" t="str">
        <f>IF($I54&gt;0,VLOOKUP($I54,'Lista de Precios'!$A$3:$M$4893,13,0),"")</f>
        <v/>
      </c>
      <c r="AR54" s="7" t="str">
        <f>IF($I54&gt;0,VLOOKUP(I54,'Lista de Precios'!$A$3:$M$2883,13,0),"")</f>
        <v/>
      </c>
      <c r="HR54" s="134"/>
      <c r="HS54" s="134"/>
      <c r="HT54" s="134"/>
      <c r="HU54" s="134"/>
      <c r="HV54" s="134"/>
      <c r="HW54" s="134"/>
      <c r="HX54" s="134"/>
      <c r="HY54" s="134"/>
      <c r="HZ54" s="134"/>
      <c r="IA54" s="134"/>
      <c r="IB54" s="134"/>
      <c r="IC54" s="134"/>
      <c r="IE54" s="134"/>
      <c r="IF54" s="134"/>
      <c r="IG54" s="134"/>
      <c r="IH54" s="134"/>
      <c r="II54" s="134"/>
      <c r="IJ54" s="134"/>
      <c r="IK54" s="134"/>
      <c r="IL54" s="134"/>
      <c r="IM54" s="134"/>
      <c r="IN54" s="135"/>
      <c r="IO54" s="135"/>
      <c r="IP54" s="135"/>
      <c r="XEP54" s="7" t="str">
        <f t="shared" si="4"/>
        <v/>
      </c>
      <c r="XEQ54" s="7" t="str">
        <f t="shared" si="5"/>
        <v/>
      </c>
      <c r="XER54" s="7" t="str">
        <f t="shared" si="6"/>
        <v/>
      </c>
      <c r="XES54" s="7" t="str">
        <f t="shared" si="7"/>
        <v/>
      </c>
    </row>
    <row r="55" spans="1:250 16370:16373" ht="23.25" customHeight="1" x14ac:dyDescent="0.25">
      <c r="A55" s="74">
        <f>IF($I55&gt;0,VLOOKUP(I55,'Lista de Precios'!$A$3:$L$2883,9,0),0)</f>
        <v>0</v>
      </c>
      <c r="B55" s="74">
        <f>IF($I55&gt;0,VLOOKUP(I55,'Lista de Precios'!$A$3:$H$2883,7,0),0)</f>
        <v>0</v>
      </c>
      <c r="C55" s="7" t="str">
        <f>IF($I55&gt;0,VLOOKUP(I55,'Lista de Precios'!$A$3:$H$2883,2,0),"")</f>
        <v/>
      </c>
      <c r="D55" s="7" t="str">
        <f>IF($I55&gt;0,VLOOKUP(I55,'Lista de Precios'!$A$3:$H$2883,3,0),"")</f>
        <v/>
      </c>
      <c r="E55" s="76" t="str">
        <f>IF($I55&gt;0,VLOOKUP(I55,'Lista de Precios'!$A$3:$H$2883,6,0),"")</f>
        <v/>
      </c>
      <c r="F55" s="76" t="str">
        <f>IF($I55&gt;0,VLOOKUP(I55,'Lista de Precios'!$A$3:$H$2883,8,0),"")</f>
        <v/>
      </c>
      <c r="G55" s="101" t="str">
        <f t="shared" si="2"/>
        <v/>
      </c>
      <c r="H55" s="20" t="s">
        <v>3</v>
      </c>
      <c r="I55" s="18"/>
      <c r="J55" s="28" t="str">
        <f t="shared" si="8"/>
        <v/>
      </c>
      <c r="K55" s="24">
        <f>+IF($I55&gt;0,VLOOKUP($I55,'Lista de Precios'!$A$3:$H$2883,5,0),0)</f>
        <v>0</v>
      </c>
      <c r="L55" s="42"/>
      <c r="M55" s="42"/>
      <c r="N55" s="42"/>
      <c r="O55" s="43"/>
      <c r="P55" s="46"/>
      <c r="Q55" s="45"/>
      <c r="R55" s="43"/>
      <c r="S55" s="43"/>
      <c r="T55" s="43"/>
      <c r="U55" s="43"/>
      <c r="V55" s="43"/>
      <c r="W55" s="43"/>
      <c r="X55" s="43"/>
      <c r="Y55" s="37"/>
      <c r="Z55" s="40"/>
      <c r="AA55" s="41"/>
      <c r="AB55" s="37"/>
      <c r="AC55" s="43"/>
      <c r="AD55" s="43"/>
      <c r="AE55" s="43"/>
      <c r="AF55" s="43"/>
      <c r="AG55" s="43"/>
      <c r="AH55" s="42"/>
      <c r="AI55" s="42"/>
      <c r="AJ55" s="42"/>
      <c r="AK55" s="42"/>
      <c r="AL55" s="43"/>
      <c r="AM55" s="73">
        <f t="shared" si="12"/>
        <v>0</v>
      </c>
      <c r="AN55" s="71" t="str">
        <f>+IF($I55&gt;0,VLOOKUP($I55,'Lista de Precios'!$A$3:$H$2883,4,0),"")</f>
        <v/>
      </c>
      <c r="AO55" s="68" t="str">
        <f t="shared" si="3"/>
        <v/>
      </c>
      <c r="AP55" s="7" t="str">
        <f>IF($I55&gt;0,VLOOKUP($I55,'Lista de Precios'!$A$3:$K$2883,10,0),"")</f>
        <v/>
      </c>
      <c r="AQ55" s="7" t="str">
        <f>IF($I55&gt;0,VLOOKUP($I55,'Lista de Precios'!$A$3:$M$4893,13,0),"")</f>
        <v/>
      </c>
      <c r="AR55" s="7" t="str">
        <f>IF($I55&gt;0,VLOOKUP(I55,'Lista de Precios'!$A$3:$M$2883,13,0),"")</f>
        <v/>
      </c>
      <c r="HR55" s="134"/>
      <c r="HS55" s="134"/>
      <c r="HT55" s="134"/>
      <c r="HU55" s="134"/>
      <c r="HV55" s="134"/>
      <c r="HW55" s="134"/>
      <c r="HX55" s="134"/>
      <c r="HY55" s="134"/>
      <c r="HZ55" s="134"/>
      <c r="IA55" s="134"/>
      <c r="IB55" s="134"/>
      <c r="IC55" s="134"/>
      <c r="IE55" s="134"/>
      <c r="IF55" s="134"/>
      <c r="IG55" s="134"/>
      <c r="IH55" s="134"/>
      <c r="II55" s="134"/>
      <c r="IJ55" s="134"/>
      <c r="IK55" s="134"/>
      <c r="IL55" s="134"/>
      <c r="IM55" s="134"/>
      <c r="IN55" s="135"/>
      <c r="IO55" s="135"/>
      <c r="IP55" s="135"/>
      <c r="XEP55" s="7" t="str">
        <f t="shared" si="4"/>
        <v/>
      </c>
      <c r="XEQ55" s="7" t="str">
        <f t="shared" si="5"/>
        <v/>
      </c>
      <c r="XER55" s="7" t="str">
        <f t="shared" si="6"/>
        <v/>
      </c>
      <c r="XES55" s="7" t="str">
        <f t="shared" si="7"/>
        <v/>
      </c>
    </row>
    <row r="56" spans="1:250 16370:16373" ht="23.25" customHeight="1" x14ac:dyDescent="0.25">
      <c r="A56" s="74">
        <f>IF($I56&gt;0,VLOOKUP(I56,'Lista de Precios'!$A$3:$L$2883,9,0),0)</f>
        <v>0</v>
      </c>
      <c r="B56" s="74">
        <f>IF($I56&gt;0,VLOOKUP(I56,'Lista de Precios'!$A$3:$H$2883,7,0),0)</f>
        <v>0</v>
      </c>
      <c r="C56" s="7" t="str">
        <f>IF($I56&gt;0,VLOOKUP(I56,'Lista de Precios'!$A$3:$H$2883,2,0),"")</f>
        <v/>
      </c>
      <c r="D56" s="7" t="str">
        <f>IF($I56&gt;0,VLOOKUP(I56,'Lista de Precios'!$A$3:$H$2883,3,0),"")</f>
        <v/>
      </c>
      <c r="E56" s="76" t="str">
        <f>IF($I56&gt;0,VLOOKUP(I56,'Lista de Precios'!$A$3:$H$2883,6,0),"")</f>
        <v/>
      </c>
      <c r="F56" s="76" t="str">
        <f>IF($I56&gt;0,VLOOKUP(I56,'Lista de Precios'!$A$3:$H$2883,8,0),"")</f>
        <v/>
      </c>
      <c r="G56" s="101" t="str">
        <f t="shared" si="2"/>
        <v/>
      </c>
      <c r="H56" s="20" t="s">
        <v>3</v>
      </c>
      <c r="I56" s="18"/>
      <c r="J56" s="28" t="str">
        <f t="shared" si="8"/>
        <v/>
      </c>
      <c r="K56" s="24">
        <f>+IF($I56&gt;0,VLOOKUP($I56,'Lista de Precios'!$A$3:$H$2883,5,0),0)</f>
        <v>0</v>
      </c>
      <c r="L56" s="43"/>
      <c r="M56" s="43"/>
      <c r="N56" s="43"/>
      <c r="O56" s="43"/>
      <c r="P56" s="44"/>
      <c r="Q56" s="45"/>
      <c r="R56" s="43"/>
      <c r="S56" s="43"/>
      <c r="T56" s="43"/>
      <c r="U56" s="43"/>
      <c r="V56" s="43"/>
      <c r="W56" s="43"/>
      <c r="X56" s="43"/>
      <c r="Y56" s="37"/>
      <c r="Z56" s="40"/>
      <c r="AA56" s="41"/>
      <c r="AB56" s="37"/>
      <c r="AC56" s="43"/>
      <c r="AD56" s="43"/>
      <c r="AE56" s="43"/>
      <c r="AF56" s="43"/>
      <c r="AG56" s="43"/>
      <c r="AH56" s="42"/>
      <c r="AI56" s="42"/>
      <c r="AJ56" s="42"/>
      <c r="AK56" s="42"/>
      <c r="AL56" s="43"/>
      <c r="AM56" s="73">
        <f t="shared" si="12"/>
        <v>0</v>
      </c>
      <c r="AN56" s="71" t="str">
        <f>+IF($I56&gt;0,VLOOKUP($I56,'Lista de Precios'!$A$3:$H$2883,4,0),"")</f>
        <v/>
      </c>
      <c r="AO56" s="68" t="str">
        <f t="shared" si="3"/>
        <v/>
      </c>
      <c r="AP56" s="7" t="str">
        <f>IF($I56&gt;0,VLOOKUP($I56,'Lista de Precios'!$A$3:$K$2883,10,0),"")</f>
        <v/>
      </c>
      <c r="AQ56" s="7" t="str">
        <f>IF($I56&gt;0,VLOOKUP($I56,'Lista de Precios'!$A$3:$M$4893,13,0),"")</f>
        <v/>
      </c>
      <c r="AR56" s="7" t="str">
        <f>IF($I56&gt;0,VLOOKUP(I56,'Lista de Precios'!$A$3:$M$2883,13,0),"")</f>
        <v/>
      </c>
      <c r="HR56" s="134"/>
      <c r="HS56" s="134"/>
      <c r="HT56" s="134"/>
      <c r="HU56" s="134"/>
      <c r="HV56" s="134"/>
      <c r="HW56" s="134"/>
      <c r="HX56" s="134"/>
      <c r="HY56" s="134"/>
      <c r="HZ56" s="134"/>
      <c r="IA56" s="134"/>
      <c r="IB56" s="134"/>
      <c r="IC56" s="134"/>
      <c r="IE56" s="134"/>
      <c r="IF56" s="134"/>
      <c r="IG56" s="134"/>
      <c r="IH56" s="134"/>
      <c r="II56" s="134"/>
      <c r="IJ56" s="134"/>
      <c r="IK56" s="134"/>
      <c r="IL56" s="134"/>
      <c r="IM56" s="134"/>
      <c r="IN56" s="135"/>
      <c r="IO56" s="135"/>
      <c r="IP56" s="135"/>
      <c r="XEP56" s="7" t="str">
        <f t="shared" si="4"/>
        <v/>
      </c>
      <c r="XEQ56" s="7" t="str">
        <f t="shared" si="5"/>
        <v/>
      </c>
      <c r="XER56" s="7" t="str">
        <f t="shared" si="6"/>
        <v/>
      </c>
      <c r="XES56" s="7" t="str">
        <f t="shared" si="7"/>
        <v/>
      </c>
    </row>
    <row r="57" spans="1:250 16370:16373" ht="23.25" customHeight="1" x14ac:dyDescent="0.25">
      <c r="A57" s="74">
        <f>IF($I57&gt;0,VLOOKUP(I57,'Lista de Precios'!$A$3:$L$2883,9,0),0)</f>
        <v>0</v>
      </c>
      <c r="B57" s="74">
        <f>IF($I57&gt;0,VLOOKUP(I57,'Lista de Precios'!$A$3:$H$2883,7,0),0)</f>
        <v>0</v>
      </c>
      <c r="C57" s="7" t="str">
        <f>IF($I57&gt;0,VLOOKUP(I57,'Lista de Precios'!$A$3:$H$2883,2,0),"")</f>
        <v/>
      </c>
      <c r="D57" s="7" t="str">
        <f>IF($I57&gt;0,VLOOKUP(I57,'Lista de Precios'!$A$3:$H$2883,3,0),"")</f>
        <v/>
      </c>
      <c r="E57" s="76" t="str">
        <f>IF($I57&gt;0,VLOOKUP(I57,'Lista de Precios'!$A$3:$H$2883,6,0),"")</f>
        <v/>
      </c>
      <c r="F57" s="76" t="str">
        <f>IF($I57&gt;0,VLOOKUP(I57,'Lista de Precios'!$A$3:$H$2883,8,0),"")</f>
        <v/>
      </c>
      <c r="G57" s="101" t="str">
        <f t="shared" si="2"/>
        <v/>
      </c>
      <c r="H57" s="20" t="s">
        <v>3</v>
      </c>
      <c r="I57" s="18"/>
      <c r="J57" s="28" t="str">
        <f t="shared" si="8"/>
        <v/>
      </c>
      <c r="K57" s="24">
        <f>+IF($I57&gt;0,VLOOKUP($I57,'Lista de Precios'!$A$3:$H$2883,5,0),0)</f>
        <v>0</v>
      </c>
      <c r="L57" s="43"/>
      <c r="M57" s="43"/>
      <c r="N57" s="43"/>
      <c r="O57" s="37"/>
      <c r="P57" s="44"/>
      <c r="Q57" s="39"/>
      <c r="R57" s="37"/>
      <c r="S57" s="37"/>
      <c r="T57" s="37"/>
      <c r="U57" s="37"/>
      <c r="V57" s="37"/>
      <c r="W57" s="37"/>
      <c r="X57" s="37"/>
      <c r="Y57" s="37"/>
      <c r="Z57" s="40"/>
      <c r="AA57" s="41"/>
      <c r="AB57" s="37"/>
      <c r="AC57" s="43"/>
      <c r="AD57" s="43"/>
      <c r="AE57" s="43"/>
      <c r="AF57" s="43"/>
      <c r="AG57" s="43"/>
      <c r="AH57" s="42"/>
      <c r="AI57" s="42"/>
      <c r="AJ57" s="42"/>
      <c r="AK57" s="42"/>
      <c r="AL57" s="43"/>
      <c r="AM57" s="73">
        <f t="shared" si="12"/>
        <v>0</v>
      </c>
      <c r="AN57" s="71" t="str">
        <f>+IF($I57&gt;0,VLOOKUP($I57,'Lista de Precios'!$A$3:$H$2883,4,0),"")</f>
        <v/>
      </c>
      <c r="AO57" s="68" t="str">
        <f t="shared" si="3"/>
        <v/>
      </c>
      <c r="AP57" s="7" t="str">
        <f>IF($I57&gt;0,VLOOKUP($I57,'Lista de Precios'!$A$3:$K$2883,10,0),"")</f>
        <v/>
      </c>
      <c r="AQ57" s="7" t="str">
        <f>IF($I57&gt;0,VLOOKUP($I57,'Lista de Precios'!$A$3:$M$4893,13,0),"")</f>
        <v/>
      </c>
      <c r="AR57" s="7" t="str">
        <f>IF($I57&gt;0,VLOOKUP(I57,'Lista de Precios'!$A$3:$M$2883,13,0),"")</f>
        <v/>
      </c>
      <c r="HR57" s="134"/>
      <c r="HS57" s="134"/>
      <c r="HT57" s="134"/>
      <c r="HU57" s="134"/>
      <c r="HV57" s="134"/>
      <c r="HW57" s="134"/>
      <c r="HX57" s="134"/>
      <c r="HY57" s="134"/>
      <c r="HZ57" s="134"/>
      <c r="IA57" s="134"/>
      <c r="IB57" s="134"/>
      <c r="IC57" s="134"/>
      <c r="IE57" s="134"/>
      <c r="IF57" s="134"/>
      <c r="IG57" s="134"/>
      <c r="IH57" s="134"/>
      <c r="II57" s="134"/>
      <c r="IJ57" s="134"/>
      <c r="IK57" s="134"/>
      <c r="IL57" s="134"/>
      <c r="IM57" s="134"/>
      <c r="IN57" s="135"/>
      <c r="IO57" s="135"/>
      <c r="IP57" s="135"/>
      <c r="XEP57" s="7" t="str">
        <f t="shared" si="4"/>
        <v/>
      </c>
      <c r="XEQ57" s="7" t="str">
        <f t="shared" si="5"/>
        <v/>
      </c>
      <c r="XER57" s="7" t="str">
        <f t="shared" si="6"/>
        <v/>
      </c>
      <c r="XES57" s="7" t="str">
        <f t="shared" si="7"/>
        <v/>
      </c>
    </row>
    <row r="58" spans="1:250 16370:16373" ht="23.25" customHeight="1" x14ac:dyDescent="0.25">
      <c r="A58" s="74">
        <f>IF($I58&gt;0,VLOOKUP(I58,'Lista de Precios'!$A$3:$L$2883,9,0),0)</f>
        <v>0</v>
      </c>
      <c r="B58" s="74">
        <f>IF($I58&gt;0,VLOOKUP(I58,'Lista de Precios'!$A$3:$H$2883,7,0),0)</f>
        <v>0</v>
      </c>
      <c r="C58" s="7" t="str">
        <f>IF($I58&gt;0,VLOOKUP(I58,'Lista de Precios'!$A$3:$H$2883,2,0),"")</f>
        <v/>
      </c>
      <c r="D58" s="7" t="str">
        <f>IF($I58&gt;0,VLOOKUP(I58,'Lista de Precios'!$A$3:$H$2883,3,0),"")</f>
        <v/>
      </c>
      <c r="E58" s="76" t="str">
        <f>IF($I58&gt;0,VLOOKUP(I58,'Lista de Precios'!$A$3:$H$2883,6,0),"")</f>
        <v/>
      </c>
      <c r="F58" s="76" t="str">
        <f>IF($I58&gt;0,VLOOKUP(I58,'Lista de Precios'!$A$3:$H$2883,8,0),"")</f>
        <v/>
      </c>
      <c r="G58" s="101" t="str">
        <f t="shared" si="2"/>
        <v/>
      </c>
      <c r="H58" s="20" t="s">
        <v>3</v>
      </c>
      <c r="I58" s="18"/>
      <c r="J58" s="28" t="str">
        <f t="shared" si="8"/>
        <v/>
      </c>
      <c r="K58" s="24">
        <f>+IF($I58&gt;0,VLOOKUP($I58,'Lista de Precios'!$A$3:$H$2883,5,0),0)</f>
        <v>0</v>
      </c>
      <c r="L58" s="43"/>
      <c r="M58" s="43"/>
      <c r="N58" s="43"/>
      <c r="O58" s="43"/>
      <c r="P58" s="44"/>
      <c r="Q58" s="45"/>
      <c r="R58" s="43"/>
      <c r="S58" s="43"/>
      <c r="T58" s="43"/>
      <c r="U58" s="43"/>
      <c r="V58" s="43"/>
      <c r="W58" s="43"/>
      <c r="X58" s="43"/>
      <c r="Y58" s="37"/>
      <c r="Z58" s="40"/>
      <c r="AA58" s="41"/>
      <c r="AB58" s="37"/>
      <c r="AC58" s="37"/>
      <c r="AD58" s="37"/>
      <c r="AE58" s="37"/>
      <c r="AF58" s="37"/>
      <c r="AG58" s="43"/>
      <c r="AH58" s="42"/>
      <c r="AI58" s="42"/>
      <c r="AJ58" s="49"/>
      <c r="AK58" s="49"/>
      <c r="AL58" s="49"/>
      <c r="AM58" s="73">
        <f t="shared" si="12"/>
        <v>0</v>
      </c>
      <c r="AN58" s="71" t="str">
        <f>+IF($I58&gt;0,VLOOKUP($I58,'Lista de Precios'!$A$3:$H$2883,4,0),"")</f>
        <v/>
      </c>
      <c r="AO58" s="68" t="str">
        <f t="shared" si="3"/>
        <v/>
      </c>
      <c r="AP58" s="7" t="str">
        <f>IF($I58&gt;0,VLOOKUP($I58,'Lista de Precios'!$A$3:$K$2883,10,0),"")</f>
        <v/>
      </c>
      <c r="AQ58" s="7" t="str">
        <f>IF($I58&gt;0,VLOOKUP($I58,'Lista de Precios'!$A$3:$M$4893,13,0),"")</f>
        <v/>
      </c>
      <c r="AR58" s="7" t="str">
        <f>IF($I58&gt;0,VLOOKUP(I58,'Lista de Precios'!$A$3:$M$2883,13,0),"")</f>
        <v/>
      </c>
      <c r="HR58" s="134"/>
      <c r="HS58" s="134"/>
      <c r="HT58" s="134"/>
      <c r="HU58" s="134"/>
      <c r="HV58" s="134"/>
      <c r="HW58" s="134"/>
      <c r="HX58" s="134"/>
      <c r="HY58" s="134"/>
      <c r="HZ58" s="134"/>
      <c r="IA58" s="134"/>
      <c r="IB58" s="134"/>
      <c r="IC58" s="134"/>
      <c r="IE58" s="134"/>
      <c r="IF58" s="134"/>
      <c r="IG58" s="134"/>
      <c r="IH58" s="134"/>
      <c r="II58" s="134"/>
      <c r="IJ58" s="134"/>
      <c r="IK58" s="134"/>
      <c r="IL58" s="134"/>
      <c r="IM58" s="134"/>
      <c r="IN58" s="135"/>
      <c r="IO58" s="135"/>
      <c r="IP58" s="135"/>
      <c r="XEP58" s="7" t="str">
        <f t="shared" si="4"/>
        <v/>
      </c>
      <c r="XEQ58" s="7" t="str">
        <f t="shared" si="5"/>
        <v/>
      </c>
      <c r="XER58" s="7" t="str">
        <f t="shared" si="6"/>
        <v/>
      </c>
      <c r="XES58" s="7" t="str">
        <f t="shared" si="7"/>
        <v/>
      </c>
    </row>
    <row r="59" spans="1:250 16370:16373" ht="23.25" customHeight="1" x14ac:dyDescent="0.25">
      <c r="A59" s="74">
        <f>IF($I59&gt;0,VLOOKUP(I59,'Lista de Precios'!$A$3:$L$2883,9,0),0)</f>
        <v>0</v>
      </c>
      <c r="B59" s="74">
        <f>IF($I59&gt;0,VLOOKUP(I59,'Lista de Precios'!$A$3:$H$2883,7,0),0)</f>
        <v>0</v>
      </c>
      <c r="C59" s="7" t="str">
        <f>IF($I59&gt;0,VLOOKUP(I59,'Lista de Precios'!$A$3:$H$2883,2,0),"")</f>
        <v/>
      </c>
      <c r="D59" s="7" t="str">
        <f>IF($I59&gt;0,VLOOKUP(I59,'Lista de Precios'!$A$3:$H$2883,3,0),"")</f>
        <v/>
      </c>
      <c r="E59" s="76" t="str">
        <f>IF($I59&gt;0,VLOOKUP(I59,'Lista de Precios'!$A$3:$H$2883,6,0),"")</f>
        <v/>
      </c>
      <c r="F59" s="76" t="str">
        <f>IF($I59&gt;0,VLOOKUP(I59,'Lista de Precios'!$A$3:$H$2883,8,0),"")</f>
        <v/>
      </c>
      <c r="G59" s="101" t="str">
        <f t="shared" si="2"/>
        <v/>
      </c>
      <c r="H59" s="20" t="s">
        <v>3</v>
      </c>
      <c r="I59" s="18"/>
      <c r="J59" s="28" t="str">
        <f t="shared" si="8"/>
        <v/>
      </c>
      <c r="K59" s="24">
        <f>+IF($I59&gt;0,VLOOKUP($I59,'Lista de Precios'!$A$3:$H$2883,5,0),0)</f>
        <v>0</v>
      </c>
      <c r="L59" s="48"/>
      <c r="M59" s="48"/>
      <c r="N59" s="48"/>
      <c r="O59" s="48"/>
      <c r="P59" s="47"/>
      <c r="Q59" s="50"/>
      <c r="R59" s="43"/>
      <c r="S59" s="43"/>
      <c r="T59" s="43"/>
      <c r="U59" s="43"/>
      <c r="V59" s="43"/>
      <c r="W59" s="43"/>
      <c r="X59" s="43"/>
      <c r="Y59" s="37"/>
      <c r="Z59" s="40"/>
      <c r="AA59" s="41"/>
      <c r="AB59" s="37"/>
      <c r="AC59" s="37"/>
      <c r="AD59" s="37"/>
      <c r="AE59" s="37"/>
      <c r="AF59" s="37"/>
      <c r="AG59" s="43"/>
      <c r="AH59" s="42"/>
      <c r="AI59" s="42"/>
      <c r="AJ59" s="49"/>
      <c r="AK59" s="49"/>
      <c r="AL59" s="48"/>
      <c r="AM59" s="73">
        <f t="shared" si="12"/>
        <v>0</v>
      </c>
      <c r="AN59" s="71" t="str">
        <f>+IF($I59&gt;0,VLOOKUP($I59,'Lista de Precios'!$A$3:$H$2883,4,0),"")</f>
        <v/>
      </c>
      <c r="AO59" s="68" t="str">
        <f t="shared" si="3"/>
        <v/>
      </c>
      <c r="AP59" s="7" t="str">
        <f>IF($I59&gt;0,VLOOKUP($I59,'Lista de Precios'!$A$3:$K$2883,10,0),"")</f>
        <v/>
      </c>
      <c r="AQ59" s="7" t="str">
        <f>IF($I59&gt;0,VLOOKUP($I59,'Lista de Precios'!$A$3:$M$4893,13,0),"")</f>
        <v/>
      </c>
      <c r="AR59" s="7" t="str">
        <f>IF($I59&gt;0,VLOOKUP(I59,'Lista de Precios'!$A$3:$M$2883,13,0),"")</f>
        <v/>
      </c>
      <c r="HR59" s="134"/>
      <c r="HS59" s="134"/>
      <c r="HT59" s="134"/>
      <c r="HU59" s="134"/>
      <c r="HV59" s="134"/>
      <c r="HW59" s="134"/>
      <c r="HX59" s="134"/>
      <c r="HY59" s="134"/>
      <c r="HZ59" s="134"/>
      <c r="IA59" s="134"/>
      <c r="IB59" s="134"/>
      <c r="IC59" s="134"/>
      <c r="IE59" s="134"/>
      <c r="IF59" s="134"/>
      <c r="IG59" s="134"/>
      <c r="IH59" s="134"/>
      <c r="II59" s="134"/>
      <c r="IJ59" s="134"/>
      <c r="IK59" s="134"/>
      <c r="IL59" s="134"/>
      <c r="IM59" s="134"/>
      <c r="IN59" s="135"/>
      <c r="IO59" s="135"/>
      <c r="IP59" s="135"/>
      <c r="XEP59" s="7" t="str">
        <f t="shared" si="4"/>
        <v/>
      </c>
      <c r="XEQ59" s="7" t="str">
        <f t="shared" si="5"/>
        <v/>
      </c>
      <c r="XER59" s="7" t="str">
        <f t="shared" si="6"/>
        <v/>
      </c>
      <c r="XES59" s="7" t="str">
        <f t="shared" si="7"/>
        <v/>
      </c>
    </row>
    <row r="60" spans="1:250 16370:16373" ht="23.25" customHeight="1" x14ac:dyDescent="0.25">
      <c r="A60" s="74">
        <f>IF($I60&gt;0,VLOOKUP(I60,'Lista de Precios'!$A$3:$L$2883,9,0),0)</f>
        <v>0</v>
      </c>
      <c r="B60" s="74">
        <f>IF($I60&gt;0,VLOOKUP(I60,'Lista de Precios'!$A$3:$H$2883,7,0),0)</f>
        <v>0</v>
      </c>
      <c r="C60" s="7" t="str">
        <f>IF($I60&gt;0,VLOOKUP(I60,'Lista de Precios'!$A$3:$H$2883,2,0),"")</f>
        <v/>
      </c>
      <c r="D60" s="7" t="str">
        <f>IF($I60&gt;0,VLOOKUP(I60,'Lista de Precios'!$A$3:$H$2883,3,0),"")</f>
        <v/>
      </c>
      <c r="E60" s="76" t="str">
        <f>IF($I60&gt;0,VLOOKUP(I60,'Lista de Precios'!$A$3:$H$2883,6,0),"")</f>
        <v/>
      </c>
      <c r="F60" s="76" t="str">
        <f>IF($I60&gt;0,VLOOKUP(I60,'Lista de Precios'!$A$3:$H$2883,8,0),"")</f>
        <v/>
      </c>
      <c r="G60" s="101" t="str">
        <f t="shared" si="2"/>
        <v/>
      </c>
      <c r="H60" s="20" t="s">
        <v>3</v>
      </c>
      <c r="I60" s="18"/>
      <c r="J60" s="28" t="str">
        <f t="shared" si="8"/>
        <v/>
      </c>
      <c r="K60" s="24">
        <f>+IF($I60&gt;0,VLOOKUP($I60,'Lista de Precios'!$A$3:$H$2883,5,0),0)</f>
        <v>0</v>
      </c>
      <c r="L60" s="51"/>
      <c r="M60" s="51"/>
      <c r="N60" s="51"/>
      <c r="O60" s="48"/>
      <c r="P60" s="52"/>
      <c r="Q60" s="50"/>
      <c r="R60" s="43"/>
      <c r="S60" s="43"/>
      <c r="T60" s="43"/>
      <c r="U60" s="43"/>
      <c r="V60" s="43"/>
      <c r="W60" s="43"/>
      <c r="X60" s="43"/>
      <c r="Y60" s="43"/>
      <c r="Z60" s="44"/>
      <c r="AA60" s="53"/>
      <c r="AB60" s="48"/>
      <c r="AC60" s="48"/>
      <c r="AD60" s="48"/>
      <c r="AE60" s="48"/>
      <c r="AF60" s="48"/>
      <c r="AG60" s="54"/>
      <c r="AH60" s="54"/>
      <c r="AI60" s="54"/>
      <c r="AJ60" s="54"/>
      <c r="AK60" s="54"/>
      <c r="AL60" s="54"/>
      <c r="AM60" s="73">
        <f t="shared" si="12"/>
        <v>0</v>
      </c>
      <c r="AN60" s="71" t="str">
        <f>+IF($I60&gt;0,VLOOKUP($I60,'Lista de Precios'!$A$3:$H$2883,4,0),"")</f>
        <v/>
      </c>
      <c r="AO60" s="68" t="str">
        <f t="shared" si="3"/>
        <v/>
      </c>
      <c r="AP60" s="7" t="str">
        <f>IF($I60&gt;0,VLOOKUP($I60,'Lista de Precios'!$A$3:$K$2883,10,0),"")</f>
        <v/>
      </c>
      <c r="AQ60" s="7" t="str">
        <f>IF($I60&gt;0,VLOOKUP($I60,'Lista de Precios'!$A$3:$M$4893,13,0),"")</f>
        <v/>
      </c>
      <c r="AR60" s="7" t="str">
        <f>IF($I60&gt;0,VLOOKUP(I60,'Lista de Precios'!$A$3:$M$2883,13,0),"")</f>
        <v/>
      </c>
      <c r="HR60" s="134"/>
      <c r="HS60" s="134"/>
      <c r="HT60" s="134"/>
      <c r="HU60" s="134"/>
      <c r="HV60" s="134"/>
      <c r="HW60" s="134"/>
      <c r="HX60" s="134"/>
      <c r="HY60" s="134"/>
      <c r="HZ60" s="134"/>
      <c r="IA60" s="134"/>
      <c r="IB60" s="134"/>
      <c r="IC60" s="134"/>
      <c r="IE60" s="134"/>
      <c r="IF60" s="134"/>
      <c r="IG60" s="134"/>
      <c r="IH60" s="134"/>
      <c r="II60" s="134"/>
      <c r="IJ60" s="134"/>
      <c r="IK60" s="134"/>
      <c r="IL60" s="134"/>
      <c r="IM60" s="134"/>
      <c r="IN60" s="135"/>
      <c r="IO60" s="135"/>
      <c r="IP60" s="135"/>
      <c r="XEP60" s="7" t="str">
        <f t="shared" si="4"/>
        <v/>
      </c>
      <c r="XEQ60" s="7" t="str">
        <f t="shared" si="5"/>
        <v/>
      </c>
      <c r="XER60" s="7" t="str">
        <f t="shared" si="6"/>
        <v/>
      </c>
      <c r="XES60" s="7" t="str">
        <f t="shared" si="7"/>
        <v/>
      </c>
    </row>
    <row r="61" spans="1:250 16370:16373" ht="23.25" customHeight="1" x14ac:dyDescent="0.25">
      <c r="A61" s="74">
        <f>IF($I61&gt;0,VLOOKUP(I61,'Lista de Precios'!$A$3:$L$2883,9,0),0)</f>
        <v>0</v>
      </c>
      <c r="B61" s="74">
        <f>IF($I61&gt;0,VLOOKUP(I61,'Lista de Precios'!$A$3:$H$2883,7,0),0)</f>
        <v>0</v>
      </c>
      <c r="C61" s="7" t="str">
        <f>IF($I61&gt;0,VLOOKUP(I61,'Lista de Precios'!$A$3:$H$2883,2,0),"")</f>
        <v/>
      </c>
      <c r="D61" s="7" t="str">
        <f>IF($I61&gt;0,VLOOKUP(I61,'Lista de Precios'!$A$3:$H$2883,3,0),"")</f>
        <v/>
      </c>
      <c r="E61" s="76" t="str">
        <f>IF($I61&gt;0,VLOOKUP(I61,'Lista de Precios'!$A$3:$H$2883,6,0),"")</f>
        <v/>
      </c>
      <c r="F61" s="76" t="str">
        <f>IF($I61&gt;0,VLOOKUP(I61,'Lista de Precios'!$A$3:$H$2883,8,0),"")</f>
        <v/>
      </c>
      <c r="G61" s="101" t="str">
        <f t="shared" si="2"/>
        <v/>
      </c>
      <c r="H61" s="20" t="s">
        <v>3</v>
      </c>
      <c r="I61" s="18"/>
      <c r="J61" s="28" t="str">
        <f t="shared" si="8"/>
        <v/>
      </c>
      <c r="K61" s="24">
        <f>+IF($I61&gt;0,VLOOKUP($I61,'Lista de Precios'!$A$3:$H$2883,5,0),0)</f>
        <v>0</v>
      </c>
      <c r="L61" s="54"/>
      <c r="M61" s="54"/>
      <c r="N61" s="54"/>
      <c r="O61" s="48"/>
      <c r="P61" s="55"/>
      <c r="Q61" s="50"/>
      <c r="R61" s="43"/>
      <c r="S61" s="43"/>
      <c r="T61" s="43"/>
      <c r="U61" s="43"/>
      <c r="V61" s="43"/>
      <c r="W61" s="43"/>
      <c r="X61" s="43"/>
      <c r="Y61" s="43"/>
      <c r="Z61" s="44"/>
      <c r="AA61" s="53"/>
      <c r="AB61" s="48"/>
      <c r="AC61" s="48"/>
      <c r="AD61" s="48"/>
      <c r="AE61" s="48"/>
      <c r="AF61" s="48"/>
      <c r="AG61" s="54"/>
      <c r="AH61" s="54"/>
      <c r="AI61" s="54"/>
      <c r="AJ61" s="54"/>
      <c r="AK61" s="54"/>
      <c r="AL61" s="54"/>
      <c r="AM61" s="73">
        <f t="shared" si="12"/>
        <v>0</v>
      </c>
      <c r="AN61" s="71" t="str">
        <f>+IF($I61&gt;0,VLOOKUP($I61,'Lista de Precios'!$A$3:$H$2883,4,0),"")</f>
        <v/>
      </c>
      <c r="AO61" s="68" t="str">
        <f t="shared" si="3"/>
        <v/>
      </c>
      <c r="AP61" s="7" t="str">
        <f>IF($I61&gt;0,VLOOKUP($I61,'Lista de Precios'!$A$3:$K$2883,10,0),"")</f>
        <v/>
      </c>
      <c r="AQ61" s="7" t="str">
        <f>IF($I61&gt;0,VLOOKUP($I61,'Lista de Precios'!$A$3:$M$4893,13,0),"")</f>
        <v/>
      </c>
      <c r="AR61" s="7" t="str">
        <f>IF($I61&gt;0,VLOOKUP(I61,'Lista de Precios'!$A$3:$M$2883,13,0),"")</f>
        <v/>
      </c>
      <c r="HR61" s="134"/>
      <c r="HS61" s="134"/>
      <c r="HT61" s="134"/>
      <c r="HU61" s="134"/>
      <c r="HV61" s="134"/>
      <c r="HW61" s="134"/>
      <c r="HX61" s="134"/>
      <c r="HY61" s="134"/>
      <c r="HZ61" s="134"/>
      <c r="IA61" s="134"/>
      <c r="IB61" s="134"/>
      <c r="IC61" s="134"/>
      <c r="IE61" s="134"/>
      <c r="IF61" s="134"/>
      <c r="IG61" s="134"/>
      <c r="IH61" s="134"/>
      <c r="II61" s="134"/>
      <c r="IJ61" s="134"/>
      <c r="IK61" s="134"/>
      <c r="IL61" s="134"/>
      <c r="IM61" s="134"/>
      <c r="IN61" s="135"/>
      <c r="IO61" s="135"/>
      <c r="IP61" s="135"/>
      <c r="XEP61" s="7" t="str">
        <f t="shared" si="4"/>
        <v/>
      </c>
      <c r="XEQ61" s="7" t="str">
        <f t="shared" si="5"/>
        <v/>
      </c>
      <c r="XER61" s="7" t="str">
        <f t="shared" si="6"/>
        <v/>
      </c>
      <c r="XES61" s="7" t="str">
        <f t="shared" si="7"/>
        <v/>
      </c>
    </row>
    <row r="62" spans="1:250 16370:16373" ht="23.25" customHeight="1" x14ac:dyDescent="0.25">
      <c r="A62" s="74">
        <f>IF($I62&gt;0,VLOOKUP(I62,'Lista de Precios'!$A$3:$L$2883,9,0),0)</f>
        <v>0</v>
      </c>
      <c r="B62" s="74">
        <f>IF($I62&gt;0,VLOOKUP(I62,'Lista de Precios'!$A$3:$H$2883,7,0),0)</f>
        <v>0</v>
      </c>
      <c r="C62" s="7" t="str">
        <f>IF($I62&gt;0,VLOOKUP(I62,'Lista de Precios'!$A$3:$H$2883,2,0),"")</f>
        <v/>
      </c>
      <c r="D62" s="7" t="str">
        <f>IF($I62&gt;0,VLOOKUP(I62,'Lista de Precios'!$A$3:$H$2883,3,0),"")</f>
        <v/>
      </c>
      <c r="E62" s="76" t="str">
        <f>IF($I62&gt;0,VLOOKUP(I62,'Lista de Precios'!$A$3:$H$2883,6,0),"")</f>
        <v/>
      </c>
      <c r="F62" s="76" t="str">
        <f>IF($I62&gt;0,VLOOKUP(I62,'Lista de Precios'!$A$3:$H$2883,8,0),"")</f>
        <v/>
      </c>
      <c r="G62" s="101" t="str">
        <f t="shared" si="2"/>
        <v/>
      </c>
      <c r="H62" s="20" t="s">
        <v>3</v>
      </c>
      <c r="I62" s="18"/>
      <c r="J62" s="28" t="str">
        <f t="shared" si="8"/>
        <v/>
      </c>
      <c r="K62" s="24">
        <f>+IF($I62&gt;0,VLOOKUP($I62,'Lista de Precios'!$A$3:$H$2883,5,0),0)</f>
        <v>0</v>
      </c>
      <c r="L62" s="43"/>
      <c r="M62" s="43"/>
      <c r="N62" s="43"/>
      <c r="O62" s="48"/>
      <c r="P62" s="44"/>
      <c r="Q62" s="50"/>
      <c r="R62" s="43"/>
      <c r="S62" s="43"/>
      <c r="T62" s="43"/>
      <c r="U62" s="43"/>
      <c r="V62" s="43"/>
      <c r="W62" s="43"/>
      <c r="X62" s="43"/>
      <c r="Y62" s="43"/>
      <c r="Z62" s="44"/>
      <c r="AA62" s="53"/>
      <c r="AB62" s="48"/>
      <c r="AC62" s="48"/>
      <c r="AD62" s="48"/>
      <c r="AE62" s="49"/>
      <c r="AF62" s="48"/>
      <c r="AG62" s="43"/>
      <c r="AH62" s="42"/>
      <c r="AI62" s="42"/>
      <c r="AJ62" s="42"/>
      <c r="AK62" s="42"/>
      <c r="AL62" s="42"/>
      <c r="AM62" s="73">
        <f t="shared" si="12"/>
        <v>0</v>
      </c>
      <c r="AN62" s="71" t="str">
        <f>+IF($I62&gt;0,VLOOKUP($I62,'Lista de Precios'!$A$3:$H$2883,4,0),"")</f>
        <v/>
      </c>
      <c r="AO62" s="68" t="str">
        <f t="shared" si="3"/>
        <v/>
      </c>
      <c r="AP62" s="7" t="str">
        <f>IF($I62&gt;0,VLOOKUP($I62,'Lista de Precios'!$A$3:$K$2883,10,0),"")</f>
        <v/>
      </c>
      <c r="AQ62" s="7" t="str">
        <f>IF($I62&gt;0,VLOOKUP($I62,'Lista de Precios'!$A$3:$M$4893,13,0),"")</f>
        <v/>
      </c>
      <c r="AR62" s="7" t="str">
        <f>IF($I62&gt;0,VLOOKUP(I62,'Lista de Precios'!$A$3:$M$2883,13,0),"")</f>
        <v/>
      </c>
      <c r="HR62" s="134"/>
      <c r="HS62" s="134"/>
      <c r="HT62" s="134"/>
      <c r="HU62" s="134"/>
      <c r="HV62" s="134"/>
      <c r="HW62" s="134"/>
      <c r="HX62" s="134"/>
      <c r="HY62" s="134"/>
      <c r="HZ62" s="134"/>
      <c r="IA62" s="134"/>
      <c r="IB62" s="134"/>
      <c r="IC62" s="134"/>
      <c r="IE62" s="134"/>
      <c r="IF62" s="134"/>
      <c r="IG62" s="134"/>
      <c r="IH62" s="134"/>
      <c r="II62" s="134"/>
      <c r="IJ62" s="134"/>
      <c r="IK62" s="134"/>
      <c r="IL62" s="134"/>
      <c r="IM62" s="134"/>
      <c r="IN62" s="135"/>
      <c r="IO62" s="135"/>
      <c r="IP62" s="135"/>
      <c r="XEP62" s="7" t="str">
        <f t="shared" si="4"/>
        <v/>
      </c>
      <c r="XEQ62" s="7" t="str">
        <f t="shared" si="5"/>
        <v/>
      </c>
      <c r="XER62" s="7" t="str">
        <f t="shared" si="6"/>
        <v/>
      </c>
      <c r="XES62" s="7" t="str">
        <f t="shared" si="7"/>
        <v/>
      </c>
    </row>
    <row r="63" spans="1:250 16370:16373" ht="23.25" customHeight="1" x14ac:dyDescent="0.25">
      <c r="A63" s="74">
        <f>IF($I63&gt;0,VLOOKUP(I63,'Lista de Precios'!$A$3:$L$2883,9,0),0)</f>
        <v>0</v>
      </c>
      <c r="B63" s="74">
        <f>IF($I63&gt;0,VLOOKUP(I63,'Lista de Precios'!$A$3:$H$2883,7,0),0)</f>
        <v>0</v>
      </c>
      <c r="C63" s="7" t="str">
        <f>IF($I63&gt;0,VLOOKUP(I63,'Lista de Precios'!$A$3:$H$2883,2,0),"")</f>
        <v/>
      </c>
      <c r="D63" s="7" t="str">
        <f>IF($I63&gt;0,VLOOKUP(I63,'Lista de Precios'!$A$3:$H$2883,3,0),"")</f>
        <v/>
      </c>
      <c r="E63" s="76" t="str">
        <f>IF($I63&gt;0,VLOOKUP(I63,'Lista de Precios'!$A$3:$H$2883,6,0),"")</f>
        <v/>
      </c>
      <c r="F63" s="76" t="str">
        <f>IF($I63&gt;0,VLOOKUP(I63,'Lista de Precios'!$A$3:$H$2883,8,0),"")</f>
        <v/>
      </c>
      <c r="G63" s="101" t="str">
        <f t="shared" si="2"/>
        <v/>
      </c>
      <c r="H63" s="20" t="s">
        <v>3</v>
      </c>
      <c r="I63" s="18"/>
      <c r="J63" s="28" t="str">
        <f t="shared" si="8"/>
        <v/>
      </c>
      <c r="K63" s="24">
        <f>+IF($I63&gt;0,VLOOKUP($I63,'Lista de Precios'!$A$3:$H$2883,5,0),0)</f>
        <v>0</v>
      </c>
      <c r="L63" s="54"/>
      <c r="M63" s="54"/>
      <c r="N63" s="54"/>
      <c r="O63" s="48"/>
      <c r="P63" s="55"/>
      <c r="Q63" s="50"/>
      <c r="R63" s="43"/>
      <c r="S63" s="43"/>
      <c r="T63" s="43"/>
      <c r="U63" s="43"/>
      <c r="V63" s="43"/>
      <c r="W63" s="43"/>
      <c r="X63" s="43"/>
      <c r="Y63" s="43"/>
      <c r="Z63" s="44"/>
      <c r="AA63" s="53"/>
      <c r="AB63" s="48"/>
      <c r="AC63" s="48"/>
      <c r="AD63" s="48"/>
      <c r="AE63" s="48"/>
      <c r="AF63" s="48"/>
      <c r="AG63" s="54"/>
      <c r="AH63" s="54"/>
      <c r="AI63" s="54"/>
      <c r="AJ63" s="54"/>
      <c r="AK63" s="54"/>
      <c r="AL63" s="54"/>
      <c r="AM63" s="73">
        <f t="shared" si="12"/>
        <v>0</v>
      </c>
      <c r="AN63" s="71" t="str">
        <f>+IF($I63&gt;0,VLOOKUP($I63,'Lista de Precios'!$A$3:$H$2883,4,0),"")</f>
        <v/>
      </c>
      <c r="AO63" s="68" t="str">
        <f t="shared" si="3"/>
        <v/>
      </c>
      <c r="AP63" s="7" t="str">
        <f>IF($I63&gt;0,VLOOKUP($I63,'Lista de Precios'!$A$3:$K$2883,10,0),"")</f>
        <v/>
      </c>
      <c r="AQ63" s="7" t="str">
        <f>IF($I63&gt;0,VLOOKUP($I63,'Lista de Precios'!$A$3:$M$4893,13,0),"")</f>
        <v/>
      </c>
      <c r="AR63" s="7" t="str">
        <f>IF($I63&gt;0,VLOOKUP(I63,'Lista de Precios'!$A$3:$M$2883,13,0),"")</f>
        <v/>
      </c>
      <c r="HR63" s="134"/>
      <c r="HS63" s="134"/>
      <c r="HT63" s="134"/>
      <c r="HU63" s="134"/>
      <c r="HV63" s="134"/>
      <c r="HW63" s="134"/>
      <c r="HX63" s="134"/>
      <c r="HY63" s="134"/>
      <c r="HZ63" s="134"/>
      <c r="IA63" s="134"/>
      <c r="IB63" s="134"/>
      <c r="IC63" s="134"/>
      <c r="IE63" s="134"/>
      <c r="IF63" s="134"/>
      <c r="IG63" s="134"/>
      <c r="IH63" s="134"/>
      <c r="II63" s="134"/>
      <c r="IJ63" s="134"/>
      <c r="IK63" s="134"/>
      <c r="IL63" s="134"/>
      <c r="IM63" s="134"/>
      <c r="IN63" s="135"/>
      <c r="IO63" s="135"/>
      <c r="IP63" s="135"/>
      <c r="XEP63" s="7" t="str">
        <f t="shared" si="4"/>
        <v/>
      </c>
      <c r="XEQ63" s="7" t="str">
        <f t="shared" si="5"/>
        <v/>
      </c>
      <c r="XER63" s="7" t="str">
        <f t="shared" si="6"/>
        <v/>
      </c>
      <c r="XES63" s="7" t="str">
        <f t="shared" si="7"/>
        <v/>
      </c>
    </row>
    <row r="64" spans="1:250 16370:16373" ht="23.25" customHeight="1" x14ac:dyDescent="0.25">
      <c r="A64" s="74">
        <f>IF($I64&gt;0,VLOOKUP(I64,'Lista de Precios'!$A$3:$L$2883,9,0),0)</f>
        <v>0</v>
      </c>
      <c r="B64" s="74">
        <f>IF($I64&gt;0,VLOOKUP(I64,'Lista de Precios'!$A$3:$H$2883,7,0),0)</f>
        <v>0</v>
      </c>
      <c r="C64" s="7" t="str">
        <f>IF($I64&gt;0,VLOOKUP(I64,'Lista de Precios'!$A$3:$H$2883,2,0),"")</f>
        <v/>
      </c>
      <c r="D64" s="7" t="str">
        <f>IF($I64&gt;0,VLOOKUP(I64,'Lista de Precios'!$A$3:$H$2883,3,0),"")</f>
        <v/>
      </c>
      <c r="E64" s="76" t="str">
        <f>IF($I64&gt;0,VLOOKUP(I64,'Lista de Precios'!$A$3:$H$2883,6,0),"")</f>
        <v/>
      </c>
      <c r="F64" s="76" t="str">
        <f>IF($I64&gt;0,VLOOKUP(I64,'Lista de Precios'!$A$3:$H$2883,8,0),"")</f>
        <v/>
      </c>
      <c r="G64" s="101" t="str">
        <f t="shared" si="2"/>
        <v/>
      </c>
      <c r="H64" s="20" t="s">
        <v>3</v>
      </c>
      <c r="I64" s="18"/>
      <c r="J64" s="28" t="str">
        <f t="shared" si="8"/>
        <v/>
      </c>
      <c r="K64" s="24">
        <f>+IF($I64&gt;0,VLOOKUP($I64,'Lista de Precios'!$A$3:$H$2883,5,0),0)</f>
        <v>0</v>
      </c>
      <c r="L64" s="54"/>
      <c r="M64" s="54"/>
      <c r="N64" s="54"/>
      <c r="O64" s="43"/>
      <c r="P64" s="55"/>
      <c r="Q64" s="45"/>
      <c r="R64" s="43"/>
      <c r="S64" s="43"/>
      <c r="T64" s="43"/>
      <c r="U64" s="43"/>
      <c r="V64" s="43"/>
      <c r="W64" s="43"/>
      <c r="X64" s="43"/>
      <c r="Y64" s="43"/>
      <c r="Z64" s="55"/>
      <c r="AA64" s="56"/>
      <c r="AB64" s="43"/>
      <c r="AC64" s="43"/>
      <c r="AD64" s="43"/>
      <c r="AE64" s="43"/>
      <c r="AF64" s="43"/>
      <c r="AG64" s="54"/>
      <c r="AH64" s="54"/>
      <c r="AI64" s="54"/>
      <c r="AJ64" s="54"/>
      <c r="AK64" s="54"/>
      <c r="AL64" s="54"/>
      <c r="AM64" s="73">
        <f t="shared" si="12"/>
        <v>0</v>
      </c>
      <c r="AN64" s="71" t="str">
        <f>+IF($I64&gt;0,VLOOKUP($I64,'Lista de Precios'!$A$3:$H$2883,4,0),"")</f>
        <v/>
      </c>
      <c r="AO64" s="68" t="str">
        <f t="shared" si="3"/>
        <v/>
      </c>
      <c r="AP64" s="7" t="str">
        <f>IF($I64&gt;0,VLOOKUP($I64,'Lista de Precios'!$A$3:$K$2883,10,0),"")</f>
        <v/>
      </c>
      <c r="AQ64" s="7" t="str">
        <f>IF($I64&gt;0,VLOOKUP($I64,'Lista de Precios'!$A$3:$M$4893,13,0),"")</f>
        <v/>
      </c>
      <c r="AR64" s="7" t="str">
        <f>IF($I64&gt;0,VLOOKUP(I64,'Lista de Precios'!$A$3:$M$2883,13,0),"")</f>
        <v/>
      </c>
      <c r="HR64" s="134"/>
      <c r="HS64" s="134"/>
      <c r="HT64" s="134"/>
      <c r="HU64" s="134"/>
      <c r="HV64" s="134"/>
      <c r="HW64" s="134"/>
      <c r="HX64" s="134"/>
      <c r="HY64" s="134"/>
      <c r="HZ64" s="134"/>
      <c r="IA64" s="134"/>
      <c r="IB64" s="134"/>
      <c r="IC64" s="134"/>
      <c r="IE64" s="134"/>
      <c r="IF64" s="134"/>
      <c r="IG64" s="134"/>
      <c r="IH64" s="134"/>
      <c r="II64" s="134"/>
      <c r="IJ64" s="134"/>
      <c r="IK64" s="134"/>
      <c r="IL64" s="134"/>
      <c r="IM64" s="134"/>
      <c r="IN64" s="135"/>
      <c r="IO64" s="135"/>
      <c r="IP64" s="135"/>
      <c r="XEP64" s="7" t="str">
        <f t="shared" si="4"/>
        <v/>
      </c>
      <c r="XEQ64" s="7" t="str">
        <f t="shared" si="5"/>
        <v/>
      </c>
      <c r="XER64" s="7" t="str">
        <f t="shared" si="6"/>
        <v/>
      </c>
      <c r="XES64" s="7" t="str">
        <f t="shared" si="7"/>
        <v/>
      </c>
    </row>
    <row r="65" spans="1:250 16370:16373" ht="23.25" customHeight="1" x14ac:dyDescent="0.25">
      <c r="A65" s="74">
        <f>IF($I65&gt;0,VLOOKUP(I65,'Lista de Precios'!$A$3:$L$2883,9,0),0)</f>
        <v>0</v>
      </c>
      <c r="B65" s="74">
        <f>IF($I65&gt;0,VLOOKUP(I65,'Lista de Precios'!$A$3:$H$2883,7,0),0)</f>
        <v>0</v>
      </c>
      <c r="C65" s="7" t="str">
        <f>IF($I65&gt;0,VLOOKUP(I65,'Lista de Precios'!$A$3:$H$2883,2,0),"")</f>
        <v/>
      </c>
      <c r="D65" s="7" t="str">
        <f>IF($I65&gt;0,VLOOKUP(I65,'Lista de Precios'!$A$3:$H$2883,3,0),"")</f>
        <v/>
      </c>
      <c r="E65" s="76" t="str">
        <f>IF($I65&gt;0,VLOOKUP(I65,'Lista de Precios'!$A$3:$H$2883,6,0),"")</f>
        <v/>
      </c>
      <c r="F65" s="76" t="str">
        <f>IF($I65&gt;0,VLOOKUP(I65,'Lista de Precios'!$A$3:$H$2883,8,0),"")</f>
        <v/>
      </c>
      <c r="G65" s="101" t="str">
        <f t="shared" si="2"/>
        <v/>
      </c>
      <c r="H65" s="20" t="s">
        <v>3</v>
      </c>
      <c r="I65" s="18"/>
      <c r="J65" s="28" t="str">
        <f t="shared" si="8"/>
        <v/>
      </c>
      <c r="K65" s="24">
        <f>+IF($I65&gt;0,VLOOKUP($I65,'Lista de Precios'!$A$3:$H$2883,5,0),0)</f>
        <v>0</v>
      </c>
      <c r="L65" s="37"/>
      <c r="M65" s="37"/>
      <c r="N65" s="37"/>
      <c r="O65" s="37"/>
      <c r="P65" s="40"/>
      <c r="Q65" s="39"/>
      <c r="R65" s="37"/>
      <c r="S65" s="37"/>
      <c r="T65" s="37"/>
      <c r="U65" s="37"/>
      <c r="V65" s="37"/>
      <c r="W65" s="37"/>
      <c r="X65" s="37"/>
      <c r="Y65" s="37"/>
      <c r="Z65" s="40"/>
      <c r="AA65" s="41"/>
      <c r="AB65" s="37"/>
      <c r="AC65" s="37"/>
      <c r="AD65" s="37"/>
      <c r="AE65" s="37"/>
      <c r="AF65" s="37"/>
      <c r="AG65" s="37"/>
      <c r="AH65" s="36"/>
      <c r="AI65" s="36"/>
      <c r="AJ65" s="36"/>
      <c r="AK65" s="42"/>
      <c r="AL65" s="36"/>
      <c r="AM65" s="73">
        <f t="shared" si="12"/>
        <v>0</v>
      </c>
      <c r="AN65" s="71" t="str">
        <f>+IF($I65&gt;0,VLOOKUP($I65,'Lista de Precios'!$A$3:$H$2883,4,0),"")</f>
        <v/>
      </c>
      <c r="AO65" s="68" t="str">
        <f t="shared" si="3"/>
        <v/>
      </c>
      <c r="AP65" s="7" t="str">
        <f>IF($I65&gt;0,VLOOKUP($I65,'Lista de Precios'!$A$3:$K$2883,10,0),"")</f>
        <v/>
      </c>
      <c r="AQ65" s="7" t="str">
        <f>IF($I65&gt;0,VLOOKUP($I65,'Lista de Precios'!$A$3:$M$4893,13,0),"")</f>
        <v/>
      </c>
      <c r="AR65" s="7" t="str">
        <f>IF($I65&gt;0,VLOOKUP(I65,'Lista de Precios'!$A$3:$M$2883,13,0),"")</f>
        <v/>
      </c>
      <c r="HR65" s="134"/>
      <c r="HS65" s="134"/>
      <c r="HT65" s="134"/>
      <c r="HU65" s="134"/>
      <c r="HV65" s="134"/>
      <c r="HW65" s="134"/>
      <c r="HX65" s="134"/>
      <c r="HY65" s="134"/>
      <c r="HZ65" s="134"/>
      <c r="IA65" s="134"/>
      <c r="IB65" s="134"/>
      <c r="IC65" s="134"/>
      <c r="IE65" s="134"/>
      <c r="IF65" s="134"/>
      <c r="IG65" s="134"/>
      <c r="IH65" s="134"/>
      <c r="II65" s="134"/>
      <c r="IJ65" s="134"/>
      <c r="IK65" s="134"/>
      <c r="IL65" s="134"/>
      <c r="IM65" s="134"/>
      <c r="IN65" s="135"/>
      <c r="IO65" s="135"/>
      <c r="IP65" s="135"/>
      <c r="XEP65" s="7" t="str">
        <f t="shared" si="4"/>
        <v/>
      </c>
      <c r="XEQ65" s="7" t="str">
        <f t="shared" si="5"/>
        <v/>
      </c>
      <c r="XER65" s="7" t="str">
        <f t="shared" si="6"/>
        <v/>
      </c>
      <c r="XES65" s="7" t="str">
        <f t="shared" si="7"/>
        <v/>
      </c>
    </row>
    <row r="66" spans="1:250 16370:16373" ht="23.25" customHeight="1" x14ac:dyDescent="0.25">
      <c r="A66" s="74">
        <f>IF($I66&gt;0,VLOOKUP(I66,'Lista de Precios'!$A$3:$L$2883,9,0),0)</f>
        <v>0</v>
      </c>
      <c r="B66" s="74">
        <f>IF($I66&gt;0,VLOOKUP(I66,'Lista de Precios'!$A$3:$H$2883,7,0),0)</f>
        <v>0</v>
      </c>
      <c r="C66" s="7" t="str">
        <f>IF($I66&gt;0,VLOOKUP(I66,'Lista de Precios'!$A$3:$H$2883,2,0),"")</f>
        <v/>
      </c>
      <c r="D66" s="7" t="str">
        <f>IF($I66&gt;0,VLOOKUP(I66,'Lista de Precios'!$A$3:$H$2883,3,0),"")</f>
        <v/>
      </c>
      <c r="E66" s="76" t="str">
        <f>IF($I66&gt;0,VLOOKUP(I66,'Lista de Precios'!$A$3:$H$2883,6,0),"")</f>
        <v/>
      </c>
      <c r="F66" s="76" t="str">
        <f>IF($I66&gt;0,VLOOKUP(I66,'Lista de Precios'!$A$3:$H$2883,8,0),"")</f>
        <v/>
      </c>
      <c r="G66" s="101" t="str">
        <f t="shared" si="2"/>
        <v/>
      </c>
      <c r="H66" s="20" t="s">
        <v>3</v>
      </c>
      <c r="I66" s="18"/>
      <c r="J66" s="28" t="str">
        <f t="shared" si="8"/>
        <v/>
      </c>
      <c r="K66" s="24">
        <f>+IF($I66&gt;0,VLOOKUP($I66,'Lista de Precios'!$A$3:$H$2883,5,0),0)</f>
        <v>0</v>
      </c>
      <c r="L66" s="37"/>
      <c r="M66" s="37"/>
      <c r="N66" s="37"/>
      <c r="O66" s="37"/>
      <c r="P66" s="40"/>
      <c r="Q66" s="39"/>
      <c r="R66" s="37"/>
      <c r="S66" s="37"/>
      <c r="T66" s="37"/>
      <c r="U66" s="37"/>
      <c r="V66" s="37"/>
      <c r="W66" s="37"/>
      <c r="X66" s="37"/>
      <c r="Y66" s="37"/>
      <c r="Z66" s="40"/>
      <c r="AA66" s="41"/>
      <c r="AB66" s="37"/>
      <c r="AC66" s="37"/>
      <c r="AD66" s="37"/>
      <c r="AE66" s="37"/>
      <c r="AF66" s="37"/>
      <c r="AG66" s="37"/>
      <c r="AH66" s="36"/>
      <c r="AI66" s="36"/>
      <c r="AJ66" s="36"/>
      <c r="AK66" s="42"/>
      <c r="AL66" s="36"/>
      <c r="AM66" s="73">
        <f t="shared" si="12"/>
        <v>0</v>
      </c>
      <c r="AN66" s="71" t="str">
        <f>+IF($I66&gt;0,VLOOKUP($I66,'Lista de Precios'!$A$3:$H$2883,4,0),"")</f>
        <v/>
      </c>
      <c r="AO66" s="68" t="str">
        <f t="shared" si="3"/>
        <v/>
      </c>
      <c r="AP66" s="7" t="str">
        <f>IF($I66&gt;0,VLOOKUP($I66,'Lista de Precios'!$A$3:$K$2883,10,0),"")</f>
        <v/>
      </c>
      <c r="AQ66" s="7" t="str">
        <f>IF($I66&gt;0,VLOOKUP($I66,'Lista de Precios'!$A$3:$M$4893,13,0),"")</f>
        <v/>
      </c>
      <c r="AR66" s="7" t="str">
        <f>IF($I66&gt;0,VLOOKUP(I66,'Lista de Precios'!$A$3:$M$2883,13,0),"")</f>
        <v/>
      </c>
      <c r="HR66" s="134"/>
      <c r="HS66" s="134"/>
      <c r="HT66" s="134"/>
      <c r="HU66" s="134"/>
      <c r="HV66" s="134"/>
      <c r="HW66" s="134"/>
      <c r="HX66" s="134"/>
      <c r="HY66" s="134"/>
      <c r="HZ66" s="134"/>
      <c r="IA66" s="134"/>
      <c r="IB66" s="134"/>
      <c r="IC66" s="134"/>
      <c r="IE66" s="134"/>
      <c r="IF66" s="134"/>
      <c r="IG66" s="134"/>
      <c r="IH66" s="134"/>
      <c r="II66" s="134"/>
      <c r="IJ66" s="134"/>
      <c r="IK66" s="134"/>
      <c r="IL66" s="134"/>
      <c r="IM66" s="134"/>
      <c r="IN66" s="135"/>
      <c r="IO66" s="135"/>
      <c r="IP66" s="135"/>
      <c r="XEP66" s="7" t="str">
        <f t="shared" si="4"/>
        <v/>
      </c>
      <c r="XEQ66" s="7" t="str">
        <f t="shared" si="5"/>
        <v/>
      </c>
      <c r="XER66" s="7" t="str">
        <f t="shared" si="6"/>
        <v/>
      </c>
      <c r="XES66" s="7" t="str">
        <f t="shared" si="7"/>
        <v/>
      </c>
    </row>
    <row r="67" spans="1:250 16370:16373" ht="23.25" customHeight="1" x14ac:dyDescent="0.25">
      <c r="A67" s="74">
        <f>IF($I67&gt;0,VLOOKUP(I67,'Lista de Precios'!$A$3:$L$2883,9,0),0)</f>
        <v>0</v>
      </c>
      <c r="B67" s="74">
        <f>IF($I67&gt;0,VLOOKUP(I67,'Lista de Precios'!$A$3:$H$2883,7,0),0)</f>
        <v>0</v>
      </c>
      <c r="C67" s="7" t="str">
        <f>IF($I67&gt;0,VLOOKUP(I67,'Lista de Precios'!$A$3:$H$2883,2,0),"")</f>
        <v/>
      </c>
      <c r="D67" s="7" t="str">
        <f>IF($I67&gt;0,VLOOKUP(I67,'Lista de Precios'!$A$3:$H$2883,3,0),"")</f>
        <v/>
      </c>
      <c r="E67" s="76" t="str">
        <f>IF($I67&gt;0,VLOOKUP(I67,'Lista de Precios'!$A$3:$H$2883,6,0),"")</f>
        <v/>
      </c>
      <c r="F67" s="76" t="str">
        <f>IF($I67&gt;0,VLOOKUP(I67,'Lista de Precios'!$A$3:$H$2883,8,0),"")</f>
        <v/>
      </c>
      <c r="G67" s="101" t="str">
        <f t="shared" si="2"/>
        <v/>
      </c>
      <c r="H67" s="20" t="s">
        <v>3</v>
      </c>
      <c r="I67" s="18"/>
      <c r="J67" s="28" t="str">
        <f t="shared" si="8"/>
        <v/>
      </c>
      <c r="K67" s="24">
        <f>+IF($I67&gt;0,VLOOKUP($I67,'Lista de Precios'!$A$3:$H$2883,5,0),0)</f>
        <v>0</v>
      </c>
      <c r="L67" s="36"/>
      <c r="M67" s="36"/>
      <c r="N67" s="36"/>
      <c r="O67" s="37"/>
      <c r="P67" s="38"/>
      <c r="Q67" s="39"/>
      <c r="R67" s="37"/>
      <c r="S67" s="37"/>
      <c r="T67" s="37"/>
      <c r="U67" s="37"/>
      <c r="V67" s="37"/>
      <c r="W67" s="37"/>
      <c r="X67" s="37"/>
      <c r="Y67" s="37"/>
      <c r="Z67" s="40"/>
      <c r="AA67" s="41"/>
      <c r="AB67" s="37"/>
      <c r="AC67" s="37"/>
      <c r="AD67" s="37"/>
      <c r="AE67" s="37"/>
      <c r="AF67" s="37"/>
      <c r="AG67" s="37"/>
      <c r="AH67" s="36"/>
      <c r="AI67" s="36"/>
      <c r="AJ67" s="36"/>
      <c r="AK67" s="42"/>
      <c r="AL67" s="42"/>
      <c r="AM67" s="73">
        <f t="shared" si="12"/>
        <v>0</v>
      </c>
      <c r="AN67" s="71" t="str">
        <f>+IF($I67&gt;0,VLOOKUP($I67,'Lista de Precios'!$A$3:$H$2883,4,0),"")</f>
        <v/>
      </c>
      <c r="AO67" s="68" t="str">
        <f t="shared" si="3"/>
        <v/>
      </c>
      <c r="AP67" s="7" t="str">
        <f>IF($I67&gt;0,VLOOKUP($I67,'Lista de Precios'!$A$3:$K$2883,10,0),"")</f>
        <v/>
      </c>
      <c r="AQ67" s="7" t="str">
        <f>IF($I67&gt;0,VLOOKUP($I67,'Lista de Precios'!$A$3:$M$4893,13,0),"")</f>
        <v/>
      </c>
      <c r="AR67" s="7" t="str">
        <f>IF($I67&gt;0,VLOOKUP(I67,'Lista de Precios'!$A$3:$M$2883,13,0),"")</f>
        <v/>
      </c>
      <c r="HR67" s="134"/>
      <c r="HS67" s="134"/>
      <c r="HT67" s="134"/>
      <c r="HU67" s="134"/>
      <c r="HV67" s="134"/>
      <c r="HW67" s="134"/>
      <c r="HX67" s="134"/>
      <c r="HY67" s="134"/>
      <c r="HZ67" s="134"/>
      <c r="IA67" s="134"/>
      <c r="IB67" s="134"/>
      <c r="IC67" s="134"/>
      <c r="IE67" s="134"/>
      <c r="IF67" s="134"/>
      <c r="IG67" s="134"/>
      <c r="IH67" s="134"/>
      <c r="II67" s="134"/>
      <c r="IJ67" s="134"/>
      <c r="IK67" s="134"/>
      <c r="IL67" s="134"/>
      <c r="IM67" s="134"/>
      <c r="IN67" s="135"/>
      <c r="IO67" s="135"/>
      <c r="IP67" s="135"/>
      <c r="XEP67" s="7" t="str">
        <f t="shared" si="4"/>
        <v/>
      </c>
      <c r="XEQ67" s="7" t="str">
        <f t="shared" si="5"/>
        <v/>
      </c>
      <c r="XER67" s="7" t="str">
        <f t="shared" si="6"/>
        <v/>
      </c>
      <c r="XES67" s="7" t="str">
        <f t="shared" si="7"/>
        <v/>
      </c>
    </row>
    <row r="68" spans="1:250 16370:16373" ht="23.25" customHeight="1" x14ac:dyDescent="0.25">
      <c r="A68" s="74">
        <f>IF($I68&gt;0,VLOOKUP(I68,'Lista de Precios'!$A$3:$L$2883,9,0),0)</f>
        <v>0</v>
      </c>
      <c r="B68" s="74">
        <f>IF($I68&gt;0,VLOOKUP(I68,'Lista de Precios'!$A$3:$H$2883,7,0),0)</f>
        <v>0</v>
      </c>
      <c r="C68" s="7" t="str">
        <f>IF($I68&gt;0,VLOOKUP(I68,'Lista de Precios'!$A$3:$H$2883,2,0),"")</f>
        <v/>
      </c>
      <c r="D68" s="7" t="str">
        <f>IF($I68&gt;0,VLOOKUP(I68,'Lista de Precios'!$A$3:$H$2883,3,0),"")</f>
        <v/>
      </c>
      <c r="E68" s="76" t="str">
        <f>IF($I68&gt;0,VLOOKUP(I68,'Lista de Precios'!$A$3:$H$2883,6,0),"")</f>
        <v/>
      </c>
      <c r="F68" s="76" t="str">
        <f>IF($I68&gt;0,VLOOKUP(I68,'Lista de Precios'!$A$3:$H$2883,8,0),"")</f>
        <v/>
      </c>
      <c r="G68" s="101" t="str">
        <f t="shared" si="2"/>
        <v/>
      </c>
      <c r="H68" s="20" t="s">
        <v>3</v>
      </c>
      <c r="I68" s="18"/>
      <c r="J68" s="28" t="str">
        <f t="shared" si="8"/>
        <v/>
      </c>
      <c r="K68" s="24">
        <f>+IF($I68&gt;0,VLOOKUP($I68,'Lista de Precios'!$A$3:$H$2883,5,0),0)</f>
        <v>0</v>
      </c>
      <c r="L68" s="37"/>
      <c r="M68" s="37"/>
      <c r="N68" s="37"/>
      <c r="O68" s="37"/>
      <c r="P68" s="40"/>
      <c r="Q68" s="39"/>
      <c r="R68" s="37"/>
      <c r="S68" s="37"/>
      <c r="T68" s="37"/>
      <c r="U68" s="37"/>
      <c r="V68" s="37"/>
      <c r="W68" s="37"/>
      <c r="X68" s="37"/>
      <c r="Y68" s="37"/>
      <c r="Z68" s="40"/>
      <c r="AA68" s="41"/>
      <c r="AB68" s="37"/>
      <c r="AC68" s="37"/>
      <c r="AD68" s="37"/>
      <c r="AE68" s="37"/>
      <c r="AF68" s="37"/>
      <c r="AG68" s="37"/>
      <c r="AH68" s="36"/>
      <c r="AI68" s="36"/>
      <c r="AJ68" s="36"/>
      <c r="AK68" s="42"/>
      <c r="AL68" s="42"/>
      <c r="AM68" s="73">
        <f t="shared" si="12"/>
        <v>0</v>
      </c>
      <c r="AN68" s="71" t="str">
        <f>+IF($I68&gt;0,VLOOKUP($I68,'Lista de Precios'!$A$3:$H$2883,4,0),"")</f>
        <v/>
      </c>
      <c r="AO68" s="68" t="str">
        <f t="shared" si="3"/>
        <v/>
      </c>
      <c r="AP68" s="7" t="str">
        <f>IF($I68&gt;0,VLOOKUP($I68,'Lista de Precios'!$A$3:$K$2883,10,0),"")</f>
        <v/>
      </c>
      <c r="AQ68" s="7" t="str">
        <f>IF($I68&gt;0,VLOOKUP($I68,'Lista de Precios'!$A$3:$M$4893,13,0),"")</f>
        <v/>
      </c>
      <c r="AR68" s="7" t="str">
        <f>IF($I68&gt;0,VLOOKUP(I68,'Lista de Precios'!$A$3:$M$2883,13,0),"")</f>
        <v/>
      </c>
      <c r="HR68" s="134"/>
      <c r="HS68" s="134"/>
      <c r="HT68" s="134"/>
      <c r="HU68" s="134"/>
      <c r="HV68" s="134"/>
      <c r="HW68" s="134"/>
      <c r="HX68" s="134"/>
      <c r="HY68" s="134"/>
      <c r="HZ68" s="134"/>
      <c r="IA68" s="134"/>
      <c r="IB68" s="134"/>
      <c r="IC68" s="134"/>
      <c r="IE68" s="134"/>
      <c r="IF68" s="134"/>
      <c r="IG68" s="134"/>
      <c r="IH68" s="134"/>
      <c r="II68" s="134"/>
      <c r="IJ68" s="134"/>
      <c r="IK68" s="134"/>
      <c r="IL68" s="134"/>
      <c r="IM68" s="134"/>
      <c r="IN68" s="135"/>
      <c r="IO68" s="135"/>
      <c r="IP68" s="135"/>
      <c r="XEP68" s="7" t="str">
        <f t="shared" si="4"/>
        <v/>
      </c>
      <c r="XEQ68" s="7" t="str">
        <f t="shared" si="5"/>
        <v/>
      </c>
      <c r="XER68" s="7" t="str">
        <f t="shared" si="6"/>
        <v/>
      </c>
      <c r="XES68" s="7" t="str">
        <f t="shared" si="7"/>
        <v/>
      </c>
    </row>
    <row r="69" spans="1:250 16370:16373" ht="23.25" customHeight="1" x14ac:dyDescent="0.25">
      <c r="A69" s="74">
        <f>IF($I69&gt;0,VLOOKUP(I69,'Lista de Precios'!$A$3:$L$2883,9,0),0)</f>
        <v>0</v>
      </c>
      <c r="B69" s="74">
        <f>IF($I69&gt;0,VLOOKUP(I69,'Lista de Precios'!$A$3:$H$2883,7,0),0)</f>
        <v>0</v>
      </c>
      <c r="C69" s="7" t="str">
        <f>IF($I69&gt;0,VLOOKUP(I69,'Lista de Precios'!$A$3:$H$2883,2,0),"")</f>
        <v/>
      </c>
      <c r="D69" s="7" t="str">
        <f>IF($I69&gt;0,VLOOKUP(I69,'Lista de Precios'!$A$3:$H$2883,3,0),"")</f>
        <v/>
      </c>
      <c r="E69" s="76" t="str">
        <f>IF($I69&gt;0,VLOOKUP(I69,'Lista de Precios'!$A$3:$H$2883,6,0),"")</f>
        <v/>
      </c>
      <c r="F69" s="76" t="str">
        <f>IF($I69&gt;0,VLOOKUP(I69,'Lista de Precios'!$A$3:$H$2883,8,0),"")</f>
        <v/>
      </c>
      <c r="G69" s="101" t="str">
        <f t="shared" si="2"/>
        <v/>
      </c>
      <c r="H69" s="20" t="s">
        <v>3</v>
      </c>
      <c r="I69" s="18"/>
      <c r="J69" s="28" t="str">
        <f t="shared" si="8"/>
        <v/>
      </c>
      <c r="K69" s="24">
        <f>+IF($I69&gt;0,VLOOKUP($I69,'Lista de Precios'!$A$3:$H$2883,5,0),0)</f>
        <v>0</v>
      </c>
      <c r="L69" s="37"/>
      <c r="M69" s="37"/>
      <c r="N69" s="37"/>
      <c r="O69" s="37"/>
      <c r="P69" s="40"/>
      <c r="Q69" s="39"/>
      <c r="R69" s="37"/>
      <c r="S69" s="37"/>
      <c r="T69" s="37"/>
      <c r="U69" s="37"/>
      <c r="V69" s="37"/>
      <c r="W69" s="37"/>
      <c r="X69" s="37"/>
      <c r="Y69" s="37"/>
      <c r="Z69" s="40"/>
      <c r="AA69" s="41"/>
      <c r="AB69" s="37"/>
      <c r="AC69" s="37"/>
      <c r="AD69" s="37"/>
      <c r="AE69" s="36"/>
      <c r="AF69" s="37"/>
      <c r="AG69" s="37"/>
      <c r="AH69" s="36"/>
      <c r="AI69" s="36"/>
      <c r="AJ69" s="42"/>
      <c r="AK69" s="42"/>
      <c r="AL69" s="43"/>
      <c r="AM69" s="73">
        <f t="shared" si="12"/>
        <v>0</v>
      </c>
      <c r="AN69" s="71" t="str">
        <f>+IF($I69&gt;0,VLOOKUP($I69,'Lista de Precios'!$A$3:$H$2883,4,0),"")</f>
        <v/>
      </c>
      <c r="AO69" s="68" t="str">
        <f t="shared" si="3"/>
        <v/>
      </c>
      <c r="AP69" s="7" t="str">
        <f>IF($I69&gt;0,VLOOKUP($I69,'Lista de Precios'!$A$3:$K$2883,10,0),"")</f>
        <v/>
      </c>
      <c r="AQ69" s="7" t="str">
        <f>IF($I69&gt;0,VLOOKUP($I69,'Lista de Precios'!$A$3:$M$4893,13,0),"")</f>
        <v/>
      </c>
      <c r="AR69" s="7" t="str">
        <f>IF($I69&gt;0,VLOOKUP(I69,'Lista de Precios'!$A$3:$M$2883,13,0),"")</f>
        <v/>
      </c>
      <c r="HR69" s="134"/>
      <c r="HS69" s="134"/>
      <c r="HT69" s="134"/>
      <c r="HU69" s="134"/>
      <c r="HV69" s="134"/>
      <c r="HW69" s="134"/>
      <c r="HX69" s="134"/>
      <c r="HY69" s="134"/>
      <c r="HZ69" s="134"/>
      <c r="IA69" s="134"/>
      <c r="IB69" s="134"/>
      <c r="IC69" s="134"/>
      <c r="IE69" s="134"/>
      <c r="IF69" s="134"/>
      <c r="IG69" s="134"/>
      <c r="IH69" s="134"/>
      <c r="II69" s="134"/>
      <c r="IJ69" s="134"/>
      <c r="IK69" s="134"/>
      <c r="IL69" s="134"/>
      <c r="IM69" s="134"/>
      <c r="IN69" s="135"/>
      <c r="IO69" s="135"/>
      <c r="IP69" s="135"/>
      <c r="XEP69" s="7" t="str">
        <f t="shared" si="4"/>
        <v/>
      </c>
      <c r="XEQ69" s="7" t="str">
        <f t="shared" si="5"/>
        <v/>
      </c>
      <c r="XER69" s="7" t="str">
        <f t="shared" si="6"/>
        <v/>
      </c>
      <c r="XES69" s="7" t="str">
        <f t="shared" si="7"/>
        <v/>
      </c>
    </row>
    <row r="70" spans="1:250 16370:16373" ht="23.25" customHeight="1" x14ac:dyDescent="0.25">
      <c r="A70" s="74">
        <f>IF($I70&gt;0,VLOOKUP(I70,'Lista de Precios'!$A$3:$L$2883,9,0),0)</f>
        <v>0</v>
      </c>
      <c r="B70" s="74">
        <f>IF($I70&gt;0,VLOOKUP(I70,'Lista de Precios'!$A$3:$H$2883,7,0),0)</f>
        <v>0</v>
      </c>
      <c r="C70" s="7" t="str">
        <f>IF($I70&gt;0,VLOOKUP(I70,'Lista de Precios'!$A$3:$H$2883,2,0),"")</f>
        <v/>
      </c>
      <c r="D70" s="7" t="str">
        <f>IF($I70&gt;0,VLOOKUP(I70,'Lista de Precios'!$A$3:$H$2883,3,0),"")</f>
        <v/>
      </c>
      <c r="E70" s="76" t="str">
        <f>IF($I70&gt;0,VLOOKUP(I70,'Lista de Precios'!$A$3:$H$2883,6,0),"")</f>
        <v/>
      </c>
      <c r="F70" s="76" t="str">
        <f>IF($I70&gt;0,VLOOKUP(I70,'Lista de Precios'!$A$3:$H$2883,8,0),"")</f>
        <v/>
      </c>
      <c r="G70" s="101" t="str">
        <f t="shared" si="2"/>
        <v/>
      </c>
      <c r="H70" s="20" t="s">
        <v>3</v>
      </c>
      <c r="I70" s="18"/>
      <c r="J70" s="28" t="str">
        <f t="shared" si="8"/>
        <v/>
      </c>
      <c r="K70" s="24">
        <f>+IF($I70&gt;0,VLOOKUP($I70,'Lista de Precios'!$A$3:$H$2883,5,0),0)</f>
        <v>0</v>
      </c>
      <c r="L70" s="37"/>
      <c r="M70" s="37"/>
      <c r="N70" s="37"/>
      <c r="O70" s="37"/>
      <c r="P70" s="40"/>
      <c r="Q70" s="39"/>
      <c r="R70" s="37"/>
      <c r="S70" s="37"/>
      <c r="T70" s="37"/>
      <c r="U70" s="37"/>
      <c r="V70" s="37"/>
      <c r="W70" s="37"/>
      <c r="X70" s="37"/>
      <c r="Y70" s="37"/>
      <c r="Z70" s="37"/>
      <c r="AA70" s="41"/>
      <c r="AB70" s="37"/>
      <c r="AC70" s="37"/>
      <c r="AD70" s="37"/>
      <c r="AE70" s="36"/>
      <c r="AF70" s="37"/>
      <c r="AG70" s="37"/>
      <c r="AH70" s="36"/>
      <c r="AI70" s="36"/>
      <c r="AJ70" s="42"/>
      <c r="AK70" s="42"/>
      <c r="AL70" s="42"/>
      <c r="AM70" s="73">
        <f t="shared" si="12"/>
        <v>0</v>
      </c>
      <c r="AN70" s="71" t="str">
        <f>+IF($I70&gt;0,VLOOKUP($I70,'Lista de Precios'!$A$3:$H$2883,4,0),"")</f>
        <v/>
      </c>
      <c r="AO70" s="68" t="str">
        <f t="shared" si="3"/>
        <v/>
      </c>
      <c r="AP70" s="7" t="str">
        <f>IF($I70&gt;0,VLOOKUP($I70,'Lista de Precios'!$A$3:$K$2883,10,0),"")</f>
        <v/>
      </c>
      <c r="AQ70" s="7" t="str">
        <f>IF($I70&gt;0,VLOOKUP($I70,'Lista de Precios'!$A$3:$M$4893,13,0),"")</f>
        <v/>
      </c>
      <c r="AR70" s="7" t="str">
        <f>IF($I70&gt;0,VLOOKUP(I70,'Lista de Precios'!$A$3:$M$2883,13,0),"")</f>
        <v/>
      </c>
      <c r="HR70" s="134"/>
      <c r="HS70" s="134"/>
      <c r="HT70" s="134"/>
      <c r="HU70" s="134"/>
      <c r="HV70" s="134"/>
      <c r="HW70" s="134"/>
      <c r="HX70" s="134"/>
      <c r="HY70" s="134"/>
      <c r="HZ70" s="134"/>
      <c r="IA70" s="134"/>
      <c r="IB70" s="134"/>
      <c r="IC70" s="134"/>
      <c r="IE70" s="134"/>
      <c r="IF70" s="134"/>
      <c r="IG70" s="134"/>
      <c r="IH70" s="134"/>
      <c r="II70" s="134"/>
      <c r="IJ70" s="134"/>
      <c r="IK70" s="134"/>
      <c r="IL70" s="134"/>
      <c r="IM70" s="134"/>
      <c r="IN70" s="135"/>
      <c r="IO70" s="135"/>
      <c r="IP70" s="135"/>
      <c r="XEP70" s="7" t="str">
        <f t="shared" si="4"/>
        <v/>
      </c>
      <c r="XEQ70" s="7" t="str">
        <f t="shared" si="5"/>
        <v/>
      </c>
      <c r="XER70" s="7" t="str">
        <f t="shared" si="6"/>
        <v/>
      </c>
      <c r="XES70" s="7" t="str">
        <f t="shared" si="7"/>
        <v/>
      </c>
    </row>
    <row r="71" spans="1:250 16370:16373" ht="23.25" customHeight="1" x14ac:dyDescent="0.25">
      <c r="A71" s="74">
        <f>IF($I71&gt;0,VLOOKUP(I71,'Lista de Precios'!$A$3:$L$2883,9,0),0)</f>
        <v>0</v>
      </c>
      <c r="B71" s="74">
        <f>IF($I71&gt;0,VLOOKUP(I71,'Lista de Precios'!$A$3:$H$2883,7,0),0)</f>
        <v>0</v>
      </c>
      <c r="C71" s="7" t="str">
        <f>IF($I71&gt;0,VLOOKUP(I71,'Lista de Precios'!$A$3:$H$2883,2,0),"")</f>
        <v/>
      </c>
      <c r="D71" s="7" t="str">
        <f>IF($I71&gt;0,VLOOKUP(I71,'Lista de Precios'!$A$3:$H$2883,3,0),"")</f>
        <v/>
      </c>
      <c r="E71" s="76" t="str">
        <f>IF($I71&gt;0,VLOOKUP(I71,'Lista de Precios'!$A$3:$H$2883,6,0),"")</f>
        <v/>
      </c>
      <c r="F71" s="76" t="str">
        <f>IF($I71&gt;0,VLOOKUP(I71,'Lista de Precios'!$A$3:$H$2883,8,0),"")</f>
        <v/>
      </c>
      <c r="G71" s="101" t="str">
        <f t="shared" si="2"/>
        <v/>
      </c>
      <c r="H71" s="20" t="s">
        <v>3</v>
      </c>
      <c r="I71" s="18"/>
      <c r="J71" s="28" t="str">
        <f t="shared" si="8"/>
        <v/>
      </c>
      <c r="K71" s="24">
        <f>+IF($I71&gt;0,VLOOKUP($I71,'Lista de Precios'!$A$3:$H$2883,5,0),0)</f>
        <v>0</v>
      </c>
      <c r="L71" s="37"/>
      <c r="M71" s="37"/>
      <c r="N71" s="37"/>
      <c r="O71" s="37"/>
      <c r="P71" s="40"/>
      <c r="Q71" s="39"/>
      <c r="R71" s="37"/>
      <c r="S71" s="37"/>
      <c r="T71" s="37"/>
      <c r="U71" s="37"/>
      <c r="V71" s="37"/>
      <c r="W71" s="37"/>
      <c r="X71" s="37"/>
      <c r="Y71" s="37"/>
      <c r="Z71" s="40"/>
      <c r="AA71" s="41"/>
      <c r="AB71" s="37"/>
      <c r="AC71" s="37"/>
      <c r="AD71" s="37"/>
      <c r="AE71" s="36"/>
      <c r="AF71" s="37"/>
      <c r="AG71" s="37"/>
      <c r="AH71" s="36"/>
      <c r="AI71" s="36"/>
      <c r="AJ71" s="42"/>
      <c r="AK71" s="42"/>
      <c r="AL71" s="42"/>
      <c r="AM71" s="73">
        <f t="shared" si="12"/>
        <v>0</v>
      </c>
      <c r="AN71" s="71" t="str">
        <f>+IF($I71&gt;0,VLOOKUP($I71,'Lista de Precios'!$A$3:$H$2883,4,0),"")</f>
        <v/>
      </c>
      <c r="AO71" s="68" t="str">
        <f t="shared" si="3"/>
        <v/>
      </c>
      <c r="AP71" s="7" t="str">
        <f>IF($I71&gt;0,VLOOKUP($I71,'Lista de Precios'!$A$3:$K$2883,10,0),"")</f>
        <v/>
      </c>
      <c r="AQ71" s="7" t="str">
        <f>IF($I71&gt;0,VLOOKUP($I71,'Lista de Precios'!$A$3:$M$4893,13,0),"")</f>
        <v/>
      </c>
      <c r="AR71" s="7" t="str">
        <f>IF($I71&gt;0,VLOOKUP(I71,'Lista de Precios'!$A$3:$M$2883,13,0),"")</f>
        <v/>
      </c>
      <c r="HR71" s="134"/>
      <c r="HS71" s="134"/>
      <c r="HT71" s="134"/>
      <c r="HU71" s="134"/>
      <c r="HV71" s="134"/>
      <c r="HW71" s="134"/>
      <c r="HX71" s="134"/>
      <c r="HY71" s="134"/>
      <c r="HZ71" s="134"/>
      <c r="IA71" s="134"/>
      <c r="IB71" s="134"/>
      <c r="IC71" s="134"/>
      <c r="IE71" s="134"/>
      <c r="IF71" s="134"/>
      <c r="IG71" s="134"/>
      <c r="IH71" s="134"/>
      <c r="II71" s="134"/>
      <c r="IJ71" s="134"/>
      <c r="IK71" s="134"/>
      <c r="IL71" s="134"/>
      <c r="IM71" s="134"/>
      <c r="IN71" s="135"/>
      <c r="IO71" s="135"/>
      <c r="IP71" s="135"/>
      <c r="XEP71" s="7" t="str">
        <f t="shared" si="4"/>
        <v/>
      </c>
      <c r="XEQ71" s="7" t="str">
        <f t="shared" si="5"/>
        <v/>
      </c>
      <c r="XER71" s="7" t="str">
        <f t="shared" si="6"/>
        <v/>
      </c>
      <c r="XES71" s="7" t="str">
        <f t="shared" si="7"/>
        <v/>
      </c>
    </row>
    <row r="72" spans="1:250 16370:16373" ht="23.25" customHeight="1" x14ac:dyDescent="0.25">
      <c r="A72" s="74">
        <f>IF($I72&gt;0,VLOOKUP(I72,'Lista de Precios'!$A$3:$L$2883,9,0),0)</f>
        <v>0</v>
      </c>
      <c r="B72" s="74">
        <f>IF($I72&gt;0,VLOOKUP(I72,'Lista de Precios'!$A$3:$H$2883,7,0),0)</f>
        <v>0</v>
      </c>
      <c r="C72" s="7" t="str">
        <f>IF($I72&gt;0,VLOOKUP(I72,'Lista de Precios'!$A$3:$H$2883,2,0),"")</f>
        <v/>
      </c>
      <c r="D72" s="7" t="str">
        <f>IF($I72&gt;0,VLOOKUP(I72,'Lista de Precios'!$A$3:$H$2883,3,0),"")</f>
        <v/>
      </c>
      <c r="E72" s="76" t="str">
        <f>IF($I72&gt;0,VLOOKUP(I72,'Lista de Precios'!$A$3:$H$2883,6,0),"")</f>
        <v/>
      </c>
      <c r="F72" s="76" t="str">
        <f>IF($I72&gt;0,VLOOKUP(I72,'Lista de Precios'!$A$3:$H$2883,8,0),"")</f>
        <v/>
      </c>
      <c r="G72" s="101" t="str">
        <f t="shared" si="2"/>
        <v/>
      </c>
      <c r="H72" s="20" t="s">
        <v>3</v>
      </c>
      <c r="I72" s="18"/>
      <c r="J72" s="28" t="str">
        <f t="shared" si="8"/>
        <v/>
      </c>
      <c r="K72" s="24">
        <f>+IF($I72&gt;0,VLOOKUP($I72,'Lista de Precios'!$A$3:$H$2883,5,0),0)</f>
        <v>0</v>
      </c>
      <c r="L72" s="37"/>
      <c r="M72" s="37"/>
      <c r="N72" s="37"/>
      <c r="O72" s="37"/>
      <c r="P72" s="40"/>
      <c r="Q72" s="39"/>
      <c r="R72" s="37"/>
      <c r="S72" s="37"/>
      <c r="T72" s="37"/>
      <c r="U72" s="37"/>
      <c r="V72" s="37"/>
      <c r="W72" s="37"/>
      <c r="X72" s="37"/>
      <c r="Y72" s="37"/>
      <c r="Z72" s="40"/>
      <c r="AA72" s="41"/>
      <c r="AB72" s="37"/>
      <c r="AC72" s="37"/>
      <c r="AD72" s="37"/>
      <c r="AE72" s="36"/>
      <c r="AF72" s="37"/>
      <c r="AG72" s="37"/>
      <c r="AH72" s="36"/>
      <c r="AI72" s="36"/>
      <c r="AJ72" s="42"/>
      <c r="AK72" s="42"/>
      <c r="AL72" s="42"/>
      <c r="AM72" s="73">
        <f t="shared" si="12"/>
        <v>0</v>
      </c>
      <c r="AN72" s="71" t="str">
        <f>+IF($I72&gt;0,VLOOKUP($I72,'Lista de Precios'!$A$3:$H$2883,4,0),"")</f>
        <v/>
      </c>
      <c r="AO72" s="68" t="str">
        <f t="shared" si="3"/>
        <v/>
      </c>
      <c r="AP72" s="7" t="str">
        <f>IF($I72&gt;0,VLOOKUP($I72,'Lista de Precios'!$A$3:$K$2883,10,0),"")</f>
        <v/>
      </c>
      <c r="AQ72" s="7" t="str">
        <f>IF($I72&gt;0,VLOOKUP($I72,'Lista de Precios'!$A$3:$M$4893,13,0),"")</f>
        <v/>
      </c>
      <c r="AR72" s="7" t="str">
        <f>IF($I72&gt;0,VLOOKUP(I72,'Lista de Precios'!$A$3:$M$2883,13,0),"")</f>
        <v/>
      </c>
      <c r="HR72" s="134"/>
      <c r="HS72" s="134"/>
      <c r="HT72" s="134"/>
      <c r="HU72" s="134"/>
      <c r="HV72" s="134"/>
      <c r="HW72" s="134"/>
      <c r="HX72" s="134"/>
      <c r="HY72" s="134"/>
      <c r="HZ72" s="134"/>
      <c r="IA72" s="134"/>
      <c r="IB72" s="134"/>
      <c r="IC72" s="134"/>
      <c r="IE72" s="134"/>
      <c r="IF72" s="134"/>
      <c r="IG72" s="134"/>
      <c r="IH72" s="134"/>
      <c r="II72" s="134"/>
      <c r="IJ72" s="134"/>
      <c r="IK72" s="134"/>
      <c r="IL72" s="134"/>
      <c r="IM72" s="134"/>
      <c r="IN72" s="135"/>
      <c r="IO72" s="135"/>
      <c r="IP72" s="135"/>
      <c r="XEP72" s="7" t="str">
        <f t="shared" si="4"/>
        <v/>
      </c>
      <c r="XEQ72" s="7" t="str">
        <f t="shared" si="5"/>
        <v/>
      </c>
      <c r="XER72" s="7" t="str">
        <f t="shared" si="6"/>
        <v/>
      </c>
      <c r="XES72" s="7" t="str">
        <f t="shared" si="7"/>
        <v/>
      </c>
    </row>
    <row r="73" spans="1:250 16370:16373" ht="23.25" customHeight="1" x14ac:dyDescent="0.25">
      <c r="A73" s="74">
        <f>IF($I73&gt;0,VLOOKUP(I73,'Lista de Precios'!$A$3:$L$2883,9,0),0)</f>
        <v>0</v>
      </c>
      <c r="B73" s="74">
        <f>IF($I73&gt;0,VLOOKUP(I73,'Lista de Precios'!$A$3:$H$2883,7,0),0)</f>
        <v>0</v>
      </c>
      <c r="C73" s="7" t="str">
        <f>IF($I73&gt;0,VLOOKUP(I73,'Lista de Precios'!$A$3:$H$2883,2,0),"")</f>
        <v/>
      </c>
      <c r="D73" s="7" t="str">
        <f>IF($I73&gt;0,VLOOKUP(I73,'Lista de Precios'!$A$3:$H$2883,3,0),"")</f>
        <v/>
      </c>
      <c r="E73" s="76" t="str">
        <f>IF($I73&gt;0,VLOOKUP(I73,'Lista de Precios'!$A$3:$H$2883,6,0),"")</f>
        <v/>
      </c>
      <c r="F73" s="76" t="str">
        <f>IF($I73&gt;0,VLOOKUP(I73,'Lista de Precios'!$A$3:$H$2883,8,0),"")</f>
        <v/>
      </c>
      <c r="G73" s="101" t="str">
        <f t="shared" si="2"/>
        <v/>
      </c>
      <c r="H73" s="20" t="s">
        <v>3</v>
      </c>
      <c r="I73" s="18"/>
      <c r="J73" s="28" t="str">
        <f t="shared" si="8"/>
        <v/>
      </c>
      <c r="K73" s="24">
        <f>+IF($I73&gt;0,VLOOKUP($I73,'Lista de Precios'!$A$3:$H$2883,5,0),0)</f>
        <v>0</v>
      </c>
      <c r="L73" s="37"/>
      <c r="M73" s="37"/>
      <c r="N73" s="37"/>
      <c r="O73" s="37"/>
      <c r="P73" s="40"/>
      <c r="Q73" s="39"/>
      <c r="R73" s="37"/>
      <c r="S73" s="37"/>
      <c r="T73" s="37"/>
      <c r="U73" s="37"/>
      <c r="V73" s="37"/>
      <c r="W73" s="37"/>
      <c r="X73" s="37"/>
      <c r="Y73" s="37"/>
      <c r="Z73" s="40"/>
      <c r="AA73" s="41"/>
      <c r="AB73" s="37"/>
      <c r="AC73" s="37"/>
      <c r="AD73" s="37"/>
      <c r="AE73" s="37"/>
      <c r="AF73" s="37"/>
      <c r="AG73" s="57"/>
      <c r="AH73" s="54"/>
      <c r="AI73" s="54"/>
      <c r="AJ73" s="54"/>
      <c r="AK73" s="54"/>
      <c r="AL73" s="54"/>
      <c r="AM73" s="73">
        <f t="shared" si="12"/>
        <v>0</v>
      </c>
      <c r="AN73" s="71" t="str">
        <f>+IF($I73&gt;0,VLOOKUP($I73,'Lista de Precios'!$A$3:$H$2883,4,0),"")</f>
        <v/>
      </c>
      <c r="AO73" s="68" t="str">
        <f t="shared" si="3"/>
        <v/>
      </c>
      <c r="AP73" s="7" t="str">
        <f>IF($I73&gt;0,VLOOKUP($I73,'Lista de Precios'!$A$3:$K$2883,10,0),"")</f>
        <v/>
      </c>
      <c r="AQ73" s="7" t="str">
        <f>IF($I73&gt;0,VLOOKUP($I73,'Lista de Precios'!$A$3:$M$4893,13,0),"")</f>
        <v/>
      </c>
      <c r="AR73" s="7" t="str">
        <f>IF($I73&gt;0,VLOOKUP(I73,'Lista de Precios'!$A$3:$M$2883,13,0),"")</f>
        <v/>
      </c>
      <c r="HR73" s="134"/>
      <c r="HS73" s="134"/>
      <c r="HT73" s="134"/>
      <c r="HU73" s="134"/>
      <c r="HV73" s="134"/>
      <c r="HW73" s="134"/>
      <c r="HX73" s="134"/>
      <c r="HY73" s="134"/>
      <c r="HZ73" s="134"/>
      <c r="IA73" s="134"/>
      <c r="IB73" s="134"/>
      <c r="IC73" s="134"/>
      <c r="IE73" s="134"/>
      <c r="IF73" s="134"/>
      <c r="IG73" s="134"/>
      <c r="IH73" s="134"/>
      <c r="II73" s="134"/>
      <c r="IJ73" s="134"/>
      <c r="IK73" s="134"/>
      <c r="IL73" s="134"/>
      <c r="IM73" s="134"/>
      <c r="IN73" s="135"/>
      <c r="IO73" s="135"/>
      <c r="IP73" s="135"/>
      <c r="XEP73" s="7" t="str">
        <f t="shared" si="4"/>
        <v/>
      </c>
      <c r="XEQ73" s="7" t="str">
        <f t="shared" si="5"/>
        <v/>
      </c>
      <c r="XER73" s="7" t="str">
        <f t="shared" si="6"/>
        <v/>
      </c>
      <c r="XES73" s="7" t="str">
        <f t="shared" si="7"/>
        <v/>
      </c>
    </row>
    <row r="74" spans="1:250 16370:16373" ht="23.25" customHeight="1" x14ac:dyDescent="0.25">
      <c r="A74" s="74">
        <f>IF($I74&gt;0,VLOOKUP(I74,'Lista de Precios'!$A$3:$L$2883,9,0),0)</f>
        <v>0</v>
      </c>
      <c r="B74" s="74">
        <f>IF($I74&gt;0,VLOOKUP(I74,'Lista de Precios'!$A$3:$H$2883,7,0),0)</f>
        <v>0</v>
      </c>
      <c r="C74" s="7" t="str">
        <f>IF($I74&gt;0,VLOOKUP(I74,'Lista de Precios'!$A$3:$H$2883,2,0),"")</f>
        <v/>
      </c>
      <c r="D74" s="7" t="str">
        <f>IF($I74&gt;0,VLOOKUP(I74,'Lista de Precios'!$A$3:$H$2883,3,0),"")</f>
        <v/>
      </c>
      <c r="E74" s="76" t="str">
        <f>IF($I74&gt;0,VLOOKUP(I74,'Lista de Precios'!$A$3:$H$2883,6,0),"")</f>
        <v/>
      </c>
      <c r="F74" s="76" t="str">
        <f>IF($I74&gt;0,VLOOKUP(I74,'Lista de Precios'!$A$3:$H$2883,8,0),"")</f>
        <v/>
      </c>
      <c r="G74" s="101" t="str">
        <f t="shared" si="2"/>
        <v/>
      </c>
      <c r="H74" s="20" t="s">
        <v>3</v>
      </c>
      <c r="I74" s="18"/>
      <c r="J74" s="28" t="str">
        <f t="shared" si="8"/>
        <v/>
      </c>
      <c r="K74" s="24">
        <f>+IF($I74&gt;0,VLOOKUP($I74,'Lista de Precios'!$A$3:$H$2883,5,0),0)</f>
        <v>0</v>
      </c>
      <c r="L74" s="37"/>
      <c r="M74" s="37"/>
      <c r="N74" s="37"/>
      <c r="O74" s="37"/>
      <c r="P74" s="40"/>
      <c r="Q74" s="39"/>
      <c r="R74" s="37"/>
      <c r="S74" s="37"/>
      <c r="T74" s="37"/>
      <c r="U74" s="37"/>
      <c r="V74" s="37"/>
      <c r="W74" s="37"/>
      <c r="X74" s="37"/>
      <c r="Y74" s="37"/>
      <c r="Z74" s="40"/>
      <c r="AA74" s="41"/>
      <c r="AB74" s="37"/>
      <c r="AC74" s="37"/>
      <c r="AD74" s="37"/>
      <c r="AE74" s="37"/>
      <c r="AF74" s="37"/>
      <c r="AG74" s="57"/>
      <c r="AH74" s="54"/>
      <c r="AI74" s="54"/>
      <c r="AJ74" s="42"/>
      <c r="AK74" s="42"/>
      <c r="AL74" s="42"/>
      <c r="AM74" s="73">
        <f t="shared" si="12"/>
        <v>0</v>
      </c>
      <c r="AN74" s="71" t="str">
        <f>+IF($I74&gt;0,VLOOKUP($I74,'Lista de Precios'!$A$3:$H$2883,4,0),"")</f>
        <v/>
      </c>
      <c r="AO74" s="68" t="str">
        <f t="shared" si="3"/>
        <v/>
      </c>
      <c r="AP74" s="7" t="str">
        <f>IF($I74&gt;0,VLOOKUP($I74,'Lista de Precios'!$A$3:$K$2883,10,0),"")</f>
        <v/>
      </c>
      <c r="AQ74" s="7" t="str">
        <f>IF($I74&gt;0,VLOOKUP($I74,'Lista de Precios'!$A$3:$M$4893,13,0),"")</f>
        <v/>
      </c>
      <c r="AR74" s="7" t="str">
        <f>IF($I74&gt;0,VLOOKUP(I74,'Lista de Precios'!$A$3:$M$2883,13,0),"")</f>
        <v/>
      </c>
      <c r="HR74" s="134"/>
      <c r="HS74" s="134"/>
      <c r="HT74" s="134"/>
      <c r="HU74" s="134"/>
      <c r="HV74" s="134"/>
      <c r="HW74" s="134"/>
      <c r="HX74" s="134"/>
      <c r="HY74" s="134"/>
      <c r="HZ74" s="134"/>
      <c r="IA74" s="134"/>
      <c r="IB74" s="134"/>
      <c r="IC74" s="134"/>
      <c r="IE74" s="134"/>
      <c r="IF74" s="134"/>
      <c r="IG74" s="134"/>
      <c r="IH74" s="134"/>
      <c r="II74" s="134"/>
      <c r="IJ74" s="134"/>
      <c r="IK74" s="134"/>
      <c r="IL74" s="134"/>
      <c r="IM74" s="134"/>
      <c r="IN74" s="135"/>
      <c r="IO74" s="135"/>
      <c r="IP74" s="135"/>
      <c r="XEP74" s="7" t="str">
        <f t="shared" si="4"/>
        <v/>
      </c>
      <c r="XEQ74" s="7" t="str">
        <f t="shared" si="5"/>
        <v/>
      </c>
      <c r="XER74" s="7" t="str">
        <f t="shared" si="6"/>
        <v/>
      </c>
      <c r="XES74" s="7" t="str">
        <f t="shared" si="7"/>
        <v/>
      </c>
    </row>
    <row r="75" spans="1:250 16370:16373" ht="23.25" customHeight="1" x14ac:dyDescent="0.25">
      <c r="A75" s="74">
        <f>IF($I75&gt;0,VLOOKUP(I75,'Lista de Precios'!$A$3:$L$2883,9,0),0)</f>
        <v>0</v>
      </c>
      <c r="B75" s="74">
        <f>IF($I75&gt;0,VLOOKUP(I75,'Lista de Precios'!$A$3:$H$2883,7,0),0)</f>
        <v>0</v>
      </c>
      <c r="C75" s="7" t="str">
        <f>IF($I75&gt;0,VLOOKUP(I75,'Lista de Precios'!$A$3:$H$2883,2,0),"")</f>
        <v/>
      </c>
      <c r="D75" s="7" t="str">
        <f>IF($I75&gt;0,VLOOKUP(I75,'Lista de Precios'!$A$3:$H$2883,3,0),"")</f>
        <v/>
      </c>
      <c r="E75" s="76" t="str">
        <f>IF($I75&gt;0,VLOOKUP(I75,'Lista de Precios'!$A$3:$H$2883,6,0),"")</f>
        <v/>
      </c>
      <c r="F75" s="76" t="str">
        <f>IF($I75&gt;0,VLOOKUP(I75,'Lista de Precios'!$A$3:$H$2883,8,0),"")</f>
        <v/>
      </c>
      <c r="G75" s="101" t="str">
        <f t="shared" si="2"/>
        <v/>
      </c>
      <c r="H75" s="20" t="s">
        <v>3</v>
      </c>
      <c r="I75" s="18"/>
      <c r="J75" s="28" t="str">
        <f t="shared" si="8"/>
        <v/>
      </c>
      <c r="K75" s="24">
        <f>+IF($I75&gt;0,VLOOKUP($I75,'Lista de Precios'!$A$3:$H$2883,5,0),0)</f>
        <v>0</v>
      </c>
      <c r="L75" s="37"/>
      <c r="M75" s="37"/>
      <c r="N75" s="37"/>
      <c r="O75" s="37"/>
      <c r="P75" s="40"/>
      <c r="Q75" s="39"/>
      <c r="R75" s="37"/>
      <c r="S75" s="37"/>
      <c r="T75" s="37"/>
      <c r="U75" s="37"/>
      <c r="V75" s="37"/>
      <c r="W75" s="37"/>
      <c r="X75" s="37"/>
      <c r="Y75" s="37"/>
      <c r="Z75" s="40"/>
      <c r="AA75" s="41"/>
      <c r="AB75" s="37"/>
      <c r="AC75" s="37"/>
      <c r="AD75" s="37"/>
      <c r="AE75" s="37"/>
      <c r="AF75" s="37"/>
      <c r="AG75" s="37"/>
      <c r="AH75" s="42"/>
      <c r="AI75" s="42"/>
      <c r="AJ75" s="43"/>
      <c r="AK75" s="43"/>
      <c r="AL75" s="43"/>
      <c r="AM75" s="73">
        <f t="shared" si="12"/>
        <v>0</v>
      </c>
      <c r="AN75" s="71" t="str">
        <f>+IF($I75&gt;0,VLOOKUP($I75,'Lista de Precios'!$A$3:$H$2883,4,0),"")</f>
        <v/>
      </c>
      <c r="AO75" s="68" t="str">
        <f t="shared" si="3"/>
        <v/>
      </c>
      <c r="AP75" s="7" t="str">
        <f>IF($I75&gt;0,VLOOKUP($I75,'Lista de Precios'!$A$3:$K$2883,10,0),"")</f>
        <v/>
      </c>
      <c r="AQ75" s="7" t="str">
        <f>IF($I75&gt;0,VLOOKUP($I75,'Lista de Precios'!$A$3:$M$4893,13,0),"")</f>
        <v/>
      </c>
      <c r="AR75" s="7" t="str">
        <f>IF($I75&gt;0,VLOOKUP(I75,'Lista de Precios'!$A$3:$M$2883,13,0),"")</f>
        <v/>
      </c>
      <c r="HR75" s="134"/>
      <c r="HS75" s="134"/>
      <c r="HT75" s="134"/>
      <c r="HU75" s="134"/>
      <c r="HV75" s="134"/>
      <c r="HW75" s="134"/>
      <c r="HX75" s="134"/>
      <c r="HY75" s="134"/>
      <c r="HZ75" s="134"/>
      <c r="IA75" s="134"/>
      <c r="IB75" s="134"/>
      <c r="IC75" s="134"/>
      <c r="IE75" s="134"/>
      <c r="IF75" s="134"/>
      <c r="IG75" s="134"/>
      <c r="IH75" s="134"/>
      <c r="II75" s="134"/>
      <c r="IJ75" s="134"/>
      <c r="IK75" s="134"/>
      <c r="IL75" s="134"/>
      <c r="IM75" s="134"/>
      <c r="IN75" s="135"/>
      <c r="IO75" s="135"/>
      <c r="IP75" s="135"/>
      <c r="XEP75" s="7" t="str">
        <f t="shared" si="4"/>
        <v/>
      </c>
      <c r="XEQ75" s="7" t="str">
        <f t="shared" si="5"/>
        <v/>
      </c>
      <c r="XER75" s="7" t="str">
        <f t="shared" si="6"/>
        <v/>
      </c>
      <c r="XES75" s="7" t="str">
        <f t="shared" si="7"/>
        <v/>
      </c>
    </row>
    <row r="76" spans="1:250 16370:16373" ht="23.25" customHeight="1" x14ac:dyDescent="0.25">
      <c r="A76" s="74">
        <f>IF($I76&gt;0,VLOOKUP(I76,'Lista de Precios'!$A$3:$L$2883,9,0),0)</f>
        <v>0</v>
      </c>
      <c r="B76" s="74">
        <f>IF($I76&gt;0,VLOOKUP(I76,'Lista de Precios'!$A$3:$H$2883,7,0),0)</f>
        <v>0</v>
      </c>
      <c r="C76" s="7" t="str">
        <f>IF($I76&gt;0,VLOOKUP(I76,'Lista de Precios'!$A$3:$H$2883,2,0),"")</f>
        <v/>
      </c>
      <c r="D76" s="7" t="str">
        <f>IF($I76&gt;0,VLOOKUP(I76,'Lista de Precios'!$A$3:$H$2883,3,0),"")</f>
        <v/>
      </c>
      <c r="E76" s="76" t="str">
        <f>IF($I76&gt;0,VLOOKUP(I76,'Lista de Precios'!$A$3:$H$2883,6,0),"")</f>
        <v/>
      </c>
      <c r="F76" s="76" t="str">
        <f>IF($I76&gt;0,VLOOKUP(I76,'Lista de Precios'!$A$3:$H$2883,8,0),"")</f>
        <v/>
      </c>
      <c r="G76" s="101" t="str">
        <f t="shared" si="2"/>
        <v/>
      </c>
      <c r="H76" s="20" t="s">
        <v>3</v>
      </c>
      <c r="I76" s="18"/>
      <c r="J76" s="28" t="str">
        <f t="shared" si="8"/>
        <v/>
      </c>
      <c r="K76" s="24">
        <f>+IF($I76&gt;0,VLOOKUP($I76,'Lista de Precios'!$A$3:$H$2883,5,0),0)</f>
        <v>0</v>
      </c>
      <c r="L76" s="36"/>
      <c r="M76" s="36"/>
      <c r="N76" s="36"/>
      <c r="O76" s="37"/>
      <c r="P76" s="38"/>
      <c r="Q76" s="39"/>
      <c r="R76" s="37"/>
      <c r="S76" s="37"/>
      <c r="T76" s="37"/>
      <c r="U76" s="37"/>
      <c r="V76" s="37"/>
      <c r="W76" s="37"/>
      <c r="X76" s="37"/>
      <c r="Y76" s="37"/>
      <c r="Z76" s="40"/>
      <c r="AA76" s="41"/>
      <c r="AB76" s="37"/>
      <c r="AC76" s="37"/>
      <c r="AD76" s="37"/>
      <c r="AE76" s="37"/>
      <c r="AF76" s="37"/>
      <c r="AG76" s="37"/>
      <c r="AH76" s="42"/>
      <c r="AI76" s="42"/>
      <c r="AJ76" s="43"/>
      <c r="AK76" s="43"/>
      <c r="AL76" s="43"/>
      <c r="AM76" s="73">
        <f t="shared" si="12"/>
        <v>0</v>
      </c>
      <c r="AN76" s="71" t="str">
        <f>+IF($I76&gt;0,VLOOKUP($I76,'Lista de Precios'!$A$3:$H$2883,4,0),"")</f>
        <v/>
      </c>
      <c r="AO76" s="68" t="str">
        <f t="shared" si="3"/>
        <v/>
      </c>
      <c r="AP76" s="7" t="str">
        <f>IF($I76&gt;0,VLOOKUP($I76,'Lista de Precios'!$A$3:$K$2883,10,0),"")</f>
        <v/>
      </c>
      <c r="AQ76" s="7" t="str">
        <f>IF($I76&gt;0,VLOOKUP($I76,'Lista de Precios'!$A$3:$M$4893,13,0),"")</f>
        <v/>
      </c>
      <c r="AR76" s="7" t="str">
        <f>IF($I76&gt;0,VLOOKUP(I76,'Lista de Precios'!$A$3:$M$2883,13,0),"")</f>
        <v/>
      </c>
      <c r="HR76" s="134"/>
      <c r="HS76" s="134"/>
      <c r="HT76" s="134"/>
      <c r="HU76" s="134"/>
      <c r="HV76" s="134"/>
      <c r="HW76" s="134"/>
      <c r="HX76" s="134"/>
      <c r="HY76" s="134"/>
      <c r="HZ76" s="134"/>
      <c r="IA76" s="134"/>
      <c r="IB76" s="134"/>
      <c r="IC76" s="134"/>
      <c r="IE76" s="134"/>
      <c r="IF76" s="134"/>
      <c r="IG76" s="134"/>
      <c r="IH76" s="134"/>
      <c r="II76" s="134"/>
      <c r="IJ76" s="134"/>
      <c r="IK76" s="134"/>
      <c r="IL76" s="134"/>
      <c r="IM76" s="134"/>
      <c r="IN76" s="135"/>
      <c r="IO76" s="135"/>
      <c r="IP76" s="135"/>
      <c r="XEP76" s="7" t="str">
        <f t="shared" si="4"/>
        <v/>
      </c>
      <c r="XEQ76" s="7" t="str">
        <f t="shared" si="5"/>
        <v/>
      </c>
      <c r="XER76" s="7" t="str">
        <f t="shared" si="6"/>
        <v/>
      </c>
      <c r="XES76" s="7" t="str">
        <f t="shared" si="7"/>
        <v/>
      </c>
    </row>
    <row r="77" spans="1:250 16370:16373" ht="23.25" customHeight="1" x14ac:dyDescent="0.25">
      <c r="A77" s="74">
        <f>IF($I77&gt;0,VLOOKUP(I77,'Lista de Precios'!$A$3:$L$2883,9,0),0)</f>
        <v>0</v>
      </c>
      <c r="B77" s="74">
        <f>IF($I77&gt;0,VLOOKUP(I77,'Lista de Precios'!$A$3:$H$2883,7,0),0)</f>
        <v>0</v>
      </c>
      <c r="C77" s="7" t="str">
        <f>IF($I77&gt;0,VLOOKUP(I77,'Lista de Precios'!$A$3:$H$2883,2,0),"")</f>
        <v/>
      </c>
      <c r="D77" s="7" t="str">
        <f>IF($I77&gt;0,VLOOKUP(I77,'Lista de Precios'!$A$3:$H$2883,3,0),"")</f>
        <v/>
      </c>
      <c r="E77" s="76" t="str">
        <f>IF($I77&gt;0,VLOOKUP(I77,'Lista de Precios'!$A$3:$H$2883,6,0),"")</f>
        <v/>
      </c>
      <c r="F77" s="76" t="str">
        <f>IF($I77&gt;0,VLOOKUP(I77,'Lista de Precios'!$A$3:$H$2883,8,0),"")</f>
        <v/>
      </c>
      <c r="G77" s="101" t="str">
        <f t="shared" si="2"/>
        <v/>
      </c>
      <c r="H77" s="20" t="s">
        <v>3</v>
      </c>
      <c r="I77" s="18"/>
      <c r="J77" s="28" t="str">
        <f t="shared" si="8"/>
        <v/>
      </c>
      <c r="K77" s="24">
        <f>+IF($I77&gt;0,VLOOKUP($I77,'Lista de Precios'!$A$3:$H$2883,5,0),0)</f>
        <v>0</v>
      </c>
      <c r="L77" s="37"/>
      <c r="M77" s="37"/>
      <c r="N77" s="37"/>
      <c r="O77" s="37"/>
      <c r="P77" s="40"/>
      <c r="Q77" s="39"/>
      <c r="R77" s="37"/>
      <c r="S77" s="37"/>
      <c r="T77" s="37"/>
      <c r="U77" s="37"/>
      <c r="V77" s="37"/>
      <c r="W77" s="37"/>
      <c r="X77" s="37"/>
      <c r="Y77" s="37"/>
      <c r="Z77" s="40"/>
      <c r="AA77" s="41"/>
      <c r="AB77" s="37"/>
      <c r="AC77" s="43"/>
      <c r="AD77" s="43"/>
      <c r="AE77" s="43"/>
      <c r="AF77" s="43"/>
      <c r="AG77" s="43"/>
      <c r="AH77" s="42"/>
      <c r="AI77" s="42"/>
      <c r="AJ77" s="42"/>
      <c r="AK77" s="42"/>
      <c r="AL77" s="43"/>
      <c r="AM77" s="73">
        <f t="shared" si="12"/>
        <v>0</v>
      </c>
      <c r="AN77" s="71" t="str">
        <f>+IF($I77&gt;0,VLOOKUP($I77,'Lista de Precios'!$A$3:$H$2883,4,0),"")</f>
        <v/>
      </c>
      <c r="AO77" s="68" t="str">
        <f t="shared" si="3"/>
        <v/>
      </c>
      <c r="AP77" s="7" t="str">
        <f>IF($I77&gt;0,VLOOKUP($I77,'Lista de Precios'!$A$3:$K$2883,10,0),"")</f>
        <v/>
      </c>
      <c r="AQ77" s="7" t="str">
        <f>IF($I77&gt;0,VLOOKUP($I77,'Lista de Precios'!$A$3:$M$4893,13,0),"")</f>
        <v/>
      </c>
      <c r="AR77" s="7" t="str">
        <f>IF($I77&gt;0,VLOOKUP(I77,'Lista de Precios'!$A$3:$M$2883,13,0),"")</f>
        <v/>
      </c>
      <c r="HR77" s="134"/>
      <c r="HS77" s="134"/>
      <c r="HT77" s="134"/>
      <c r="HU77" s="134"/>
      <c r="HV77" s="134"/>
      <c r="HW77" s="134"/>
      <c r="HX77" s="134"/>
      <c r="HY77" s="134"/>
      <c r="HZ77" s="134"/>
      <c r="IA77" s="134"/>
      <c r="IB77" s="134"/>
      <c r="IC77" s="134"/>
      <c r="IE77" s="134"/>
      <c r="IF77" s="134"/>
      <c r="IG77" s="134"/>
      <c r="IH77" s="134"/>
      <c r="II77" s="134"/>
      <c r="IJ77" s="134"/>
      <c r="IK77" s="134"/>
      <c r="IL77" s="134"/>
      <c r="IM77" s="134"/>
      <c r="IN77" s="135"/>
      <c r="IO77" s="135"/>
      <c r="IP77" s="135"/>
      <c r="XEP77" s="7" t="str">
        <f t="shared" si="4"/>
        <v/>
      </c>
      <c r="XEQ77" s="7" t="str">
        <f t="shared" si="5"/>
        <v/>
      </c>
      <c r="XER77" s="7" t="str">
        <f t="shared" si="6"/>
        <v/>
      </c>
      <c r="XES77" s="7" t="str">
        <f t="shared" si="7"/>
        <v/>
      </c>
    </row>
    <row r="78" spans="1:250 16370:16373" ht="23.25" customHeight="1" x14ac:dyDescent="0.25">
      <c r="A78" s="74">
        <f>IF($I78&gt;0,VLOOKUP(I78,'Lista de Precios'!$A$3:$L$2883,9,0),0)</f>
        <v>0</v>
      </c>
      <c r="B78" s="74">
        <f>IF($I78&gt;0,VLOOKUP(I78,'Lista de Precios'!$A$3:$H$2883,7,0),0)</f>
        <v>0</v>
      </c>
      <c r="C78" s="7" t="str">
        <f>IF($I78&gt;0,VLOOKUP(I78,'Lista de Precios'!$A$3:$H$2883,2,0),"")</f>
        <v/>
      </c>
      <c r="D78" s="7" t="str">
        <f>IF($I78&gt;0,VLOOKUP(I78,'Lista de Precios'!$A$3:$H$2883,3,0),"")</f>
        <v/>
      </c>
      <c r="E78" s="76" t="str">
        <f>IF($I78&gt;0,VLOOKUP(I78,'Lista de Precios'!$A$3:$H$2883,6,0),"")</f>
        <v/>
      </c>
      <c r="F78" s="76" t="str">
        <f>IF($I78&gt;0,VLOOKUP(I78,'Lista de Precios'!$A$3:$H$2883,8,0),"")</f>
        <v/>
      </c>
      <c r="G78" s="101" t="str">
        <f t="shared" si="2"/>
        <v/>
      </c>
      <c r="H78" s="20" t="s">
        <v>3</v>
      </c>
      <c r="I78" s="18"/>
      <c r="J78" s="28" t="str">
        <f t="shared" si="8"/>
        <v/>
      </c>
      <c r="K78" s="24">
        <f>+IF($I78&gt;0,VLOOKUP($I78,'Lista de Precios'!$A$3:$H$2883,5,0),0)</f>
        <v>0</v>
      </c>
      <c r="L78" s="36"/>
      <c r="M78" s="36"/>
      <c r="N78" s="36"/>
      <c r="O78" s="37"/>
      <c r="P78" s="38"/>
      <c r="Q78" s="45"/>
      <c r="R78" s="43"/>
      <c r="S78" s="43"/>
      <c r="T78" s="43"/>
      <c r="U78" s="43"/>
      <c r="V78" s="43"/>
      <c r="W78" s="43"/>
      <c r="X78" s="43"/>
      <c r="Y78" s="37"/>
      <c r="Z78" s="40"/>
      <c r="AA78" s="41"/>
      <c r="AB78" s="37"/>
      <c r="AC78" s="43"/>
      <c r="AD78" s="43"/>
      <c r="AE78" s="43"/>
      <c r="AF78" s="43"/>
      <c r="AG78" s="43"/>
      <c r="AH78" s="42"/>
      <c r="AI78" s="42"/>
      <c r="AJ78" s="42"/>
      <c r="AK78" s="42"/>
      <c r="AL78" s="43"/>
      <c r="AM78" s="73">
        <f t="shared" si="12"/>
        <v>0</v>
      </c>
      <c r="AN78" s="71" t="str">
        <f>+IF($I78&gt;0,VLOOKUP($I78,'Lista de Precios'!$A$3:$H$2883,4,0),"")</f>
        <v/>
      </c>
      <c r="AO78" s="68" t="str">
        <f t="shared" si="3"/>
        <v/>
      </c>
      <c r="AP78" s="7" t="str">
        <f>IF($I78&gt;0,VLOOKUP($I78,'Lista de Precios'!$A$3:$K$2883,10,0),"")</f>
        <v/>
      </c>
      <c r="AQ78" s="7" t="str">
        <f>IF($I78&gt;0,VLOOKUP($I78,'Lista de Precios'!$A$3:$M$4893,13,0),"")</f>
        <v/>
      </c>
      <c r="AR78" s="7" t="str">
        <f>IF($I78&gt;0,VLOOKUP(I78,'Lista de Precios'!$A$3:$M$2883,13,0),"")</f>
        <v/>
      </c>
      <c r="HR78" s="134"/>
      <c r="HS78" s="134"/>
      <c r="HT78" s="134"/>
      <c r="HU78" s="134"/>
      <c r="HV78" s="134"/>
      <c r="HW78" s="134"/>
      <c r="HX78" s="134"/>
      <c r="HY78" s="134"/>
      <c r="HZ78" s="134"/>
      <c r="IA78" s="134"/>
      <c r="IB78" s="134"/>
      <c r="IC78" s="134"/>
      <c r="IE78" s="134"/>
      <c r="IF78" s="134"/>
      <c r="IG78" s="134"/>
      <c r="IH78" s="134"/>
      <c r="II78" s="134"/>
      <c r="IJ78" s="134"/>
      <c r="IK78" s="134"/>
      <c r="IL78" s="134"/>
      <c r="IM78" s="134"/>
      <c r="IN78" s="135"/>
      <c r="IO78" s="135"/>
      <c r="IP78" s="135"/>
      <c r="XEP78" s="7" t="str">
        <f t="shared" si="4"/>
        <v/>
      </c>
      <c r="XEQ78" s="7" t="str">
        <f t="shared" si="5"/>
        <v/>
      </c>
      <c r="XER78" s="7" t="str">
        <f t="shared" si="6"/>
        <v/>
      </c>
      <c r="XES78" s="7" t="str">
        <f t="shared" si="7"/>
        <v/>
      </c>
    </row>
    <row r="79" spans="1:250 16370:16373" ht="23.25" customHeight="1" x14ac:dyDescent="0.25">
      <c r="A79" s="74">
        <f>IF($I79&gt;0,VLOOKUP(I79,'Lista de Precios'!$A$3:$L$2883,9,0),0)</f>
        <v>0</v>
      </c>
      <c r="B79" s="74">
        <f>IF($I79&gt;0,VLOOKUP(I79,'Lista de Precios'!$A$3:$H$2883,7,0),0)</f>
        <v>0</v>
      </c>
      <c r="C79" s="7" t="str">
        <f>IF($I79&gt;0,VLOOKUP(I79,'Lista de Precios'!$A$3:$H$2883,2,0),"")</f>
        <v/>
      </c>
      <c r="D79" s="7" t="str">
        <f>IF($I79&gt;0,VLOOKUP(I79,'Lista de Precios'!$A$3:$H$2883,3,0),"")</f>
        <v/>
      </c>
      <c r="E79" s="76" t="str">
        <f>IF($I79&gt;0,VLOOKUP(I79,'Lista de Precios'!$A$3:$H$2883,6,0),"")</f>
        <v/>
      </c>
      <c r="F79" s="76" t="str">
        <f>IF($I79&gt;0,VLOOKUP(I79,'Lista de Precios'!$A$3:$H$2883,8,0),"")</f>
        <v/>
      </c>
      <c r="G79" s="101" t="str">
        <f t="shared" si="2"/>
        <v/>
      </c>
      <c r="H79" s="20" t="s">
        <v>3</v>
      </c>
      <c r="I79" s="18"/>
      <c r="J79" s="28" t="str">
        <f t="shared" si="8"/>
        <v/>
      </c>
      <c r="K79" s="24">
        <f>+IF($I79&gt;0,VLOOKUP($I79,'Lista de Precios'!$A$3:$H$2883,5,0),0)</f>
        <v>0</v>
      </c>
      <c r="L79" s="42"/>
      <c r="M79" s="42"/>
      <c r="N79" s="42"/>
      <c r="O79" s="43"/>
      <c r="P79" s="46"/>
      <c r="Q79" s="45"/>
      <c r="R79" s="43"/>
      <c r="S79" s="43"/>
      <c r="T79" s="43"/>
      <c r="U79" s="43"/>
      <c r="V79" s="43"/>
      <c r="W79" s="43"/>
      <c r="X79" s="43"/>
      <c r="Y79" s="37"/>
      <c r="Z79" s="40"/>
      <c r="AA79" s="41"/>
      <c r="AB79" s="37"/>
      <c r="AC79" s="43"/>
      <c r="AD79" s="43"/>
      <c r="AE79" s="43"/>
      <c r="AF79" s="43"/>
      <c r="AG79" s="43"/>
      <c r="AH79" s="42"/>
      <c r="AI79" s="42"/>
      <c r="AJ79" s="42"/>
      <c r="AK79" s="42"/>
      <c r="AL79" s="43"/>
      <c r="AM79" s="73">
        <f t="shared" ref="AM79:AM101" si="13">+IF(I79&gt;0,SUM(L79:AL79),0)</f>
        <v>0</v>
      </c>
      <c r="AN79" s="71" t="str">
        <f>+IF($I79&gt;0,VLOOKUP($I79,'Lista de Precios'!$A$3:$H$2883,4,0),"")</f>
        <v/>
      </c>
      <c r="AO79" s="68" t="str">
        <f t="shared" si="3"/>
        <v/>
      </c>
      <c r="AP79" s="7" t="str">
        <f>IF($I79&gt;0,VLOOKUP($I79,'Lista de Precios'!$A$3:$K$2883,10,0),"")</f>
        <v/>
      </c>
      <c r="AQ79" s="7" t="str">
        <f>IF($I79&gt;0,VLOOKUP($I79,'Lista de Precios'!$A$3:$M$4893,13,0),"")</f>
        <v/>
      </c>
      <c r="AR79" s="7" t="str">
        <f>IF($I79&gt;0,VLOOKUP(I79,'Lista de Precios'!$A$3:$M$2883,13,0),"")</f>
        <v/>
      </c>
      <c r="HR79" s="134"/>
      <c r="HS79" s="134"/>
      <c r="HT79" s="134"/>
      <c r="HU79" s="134"/>
      <c r="HV79" s="134"/>
      <c r="HW79" s="134"/>
      <c r="HX79" s="134"/>
      <c r="HY79" s="134"/>
      <c r="HZ79" s="134"/>
      <c r="IA79" s="134"/>
      <c r="IB79" s="134"/>
      <c r="IC79" s="134"/>
      <c r="IE79" s="134"/>
      <c r="IF79" s="134"/>
      <c r="IG79" s="134"/>
      <c r="IH79" s="134"/>
      <c r="II79" s="134"/>
      <c r="IJ79" s="134"/>
      <c r="IK79" s="134"/>
      <c r="IL79" s="134"/>
      <c r="IM79" s="134"/>
      <c r="IN79" s="135"/>
      <c r="IO79" s="135"/>
      <c r="IP79" s="135"/>
      <c r="XEP79" s="7" t="str">
        <f t="shared" si="4"/>
        <v/>
      </c>
      <c r="XEQ79" s="7" t="str">
        <f t="shared" si="5"/>
        <v/>
      </c>
      <c r="XER79" s="7" t="str">
        <f t="shared" si="6"/>
        <v/>
      </c>
      <c r="XES79" s="7" t="str">
        <f t="shared" si="7"/>
        <v/>
      </c>
    </row>
    <row r="80" spans="1:250 16370:16373" ht="23.25" customHeight="1" x14ac:dyDescent="0.25">
      <c r="A80" s="74">
        <f>IF($I80&gt;0,VLOOKUP(I80,'Lista de Precios'!$A$3:$L$2883,9,0),0)</f>
        <v>0</v>
      </c>
      <c r="B80" s="74">
        <f>IF($I80&gt;0,VLOOKUP(I80,'Lista de Precios'!$A$3:$H$2883,7,0),0)</f>
        <v>0</v>
      </c>
      <c r="C80" s="7" t="str">
        <f>IF($I80&gt;0,VLOOKUP(I80,'Lista de Precios'!$A$3:$H$2883,2,0),"")</f>
        <v/>
      </c>
      <c r="D80" s="7" t="str">
        <f>IF($I80&gt;0,VLOOKUP(I80,'Lista de Precios'!$A$3:$H$2883,3,0),"")</f>
        <v/>
      </c>
      <c r="E80" s="76" t="str">
        <f>IF($I80&gt;0,VLOOKUP(I80,'Lista de Precios'!$A$3:$H$2883,6,0),"")</f>
        <v/>
      </c>
      <c r="F80" s="76" t="str">
        <f>IF($I80&gt;0,VLOOKUP(I80,'Lista de Precios'!$A$3:$H$2883,8,0),"")</f>
        <v/>
      </c>
      <c r="G80" s="101" t="str">
        <f t="shared" ref="G80:G101" si="14">IF(AN80="","",AN80*1.87)</f>
        <v/>
      </c>
      <c r="H80" s="20" t="s">
        <v>3</v>
      </c>
      <c r="I80" s="18"/>
      <c r="J80" s="28" t="str">
        <f t="shared" si="8"/>
        <v/>
      </c>
      <c r="K80" s="24">
        <f>+IF($I80&gt;0,VLOOKUP($I80,'Lista de Precios'!$A$3:$H$2883,5,0),0)</f>
        <v>0</v>
      </c>
      <c r="L80" s="43"/>
      <c r="M80" s="43"/>
      <c r="N80" s="43"/>
      <c r="O80" s="43"/>
      <c r="P80" s="44"/>
      <c r="Q80" s="45"/>
      <c r="R80" s="43"/>
      <c r="S80" s="43"/>
      <c r="T80" s="43"/>
      <c r="U80" s="43"/>
      <c r="V80" s="43"/>
      <c r="W80" s="43"/>
      <c r="X80" s="43"/>
      <c r="Y80" s="37"/>
      <c r="Z80" s="40"/>
      <c r="AA80" s="41"/>
      <c r="AB80" s="37"/>
      <c r="AC80" s="43"/>
      <c r="AD80" s="43"/>
      <c r="AE80" s="43"/>
      <c r="AF80" s="43"/>
      <c r="AG80" s="43"/>
      <c r="AH80" s="42"/>
      <c r="AI80" s="42"/>
      <c r="AJ80" s="42"/>
      <c r="AK80" s="42"/>
      <c r="AL80" s="43"/>
      <c r="AM80" s="73">
        <f t="shared" si="13"/>
        <v>0</v>
      </c>
      <c r="AN80" s="71" t="str">
        <f>+IF($I80&gt;0,VLOOKUP($I80,'Lista de Precios'!$A$3:$H$2883,4,0),"")</f>
        <v/>
      </c>
      <c r="AO80" s="68" t="str">
        <f t="shared" ref="AO80:AO101" si="15">+IF(AM80&gt;0,AN80*AM80,"")</f>
        <v/>
      </c>
      <c r="AP80" s="7" t="str">
        <f>IF($I80&gt;0,VLOOKUP($I80,'Lista de Precios'!$A$3:$K$2883,10,0),"")</f>
        <v/>
      </c>
      <c r="AQ80" s="7" t="str">
        <f>IF($I80&gt;0,VLOOKUP($I80,'Lista de Precios'!$A$3:$M$4893,13,0),"")</f>
        <v/>
      </c>
      <c r="AR80" s="7" t="str">
        <f>IF($I80&gt;0,VLOOKUP(I80,'Lista de Precios'!$A$3:$M$2883,13,0),"")</f>
        <v/>
      </c>
      <c r="HR80" s="134"/>
      <c r="HS80" s="134"/>
      <c r="HT80" s="134"/>
      <c r="HU80" s="134"/>
      <c r="HV80" s="134"/>
      <c r="HW80" s="134"/>
      <c r="HX80" s="134"/>
      <c r="HY80" s="134"/>
      <c r="HZ80" s="134"/>
      <c r="IA80" s="134"/>
      <c r="IB80" s="134"/>
      <c r="IC80" s="134"/>
      <c r="IE80" s="134"/>
      <c r="IF80" s="134"/>
      <c r="IG80" s="134"/>
      <c r="IH80" s="134"/>
      <c r="II80" s="134"/>
      <c r="IJ80" s="134"/>
      <c r="IK80" s="134"/>
      <c r="IL80" s="134"/>
      <c r="IM80" s="134"/>
      <c r="IN80" s="135"/>
      <c r="IO80" s="135"/>
      <c r="IP80" s="135"/>
      <c r="XEP80" s="7" t="str">
        <f t="shared" ref="XEP80:XEP94" si="16">+IF($AQ80=$XEP$13,$AM80,"")</f>
        <v/>
      </c>
      <c r="XEQ80" s="7" t="str">
        <f t="shared" ref="XEQ80:XEQ94" si="17">+IF($AQ80=$XEQ$13,$AM80,"")</f>
        <v/>
      </c>
      <c r="XER80" s="7" t="str">
        <f t="shared" ref="XER80:XER94" si="18">+IF($AQ80=$XER$13,$AM80,"")</f>
        <v/>
      </c>
      <c r="XES80" s="7" t="str">
        <f t="shared" ref="XES80:XES94" si="19">+IF($AQ80=$XES$13,$AM80,"")</f>
        <v/>
      </c>
    </row>
    <row r="81" spans="1:250 16370:16373" ht="23.25" customHeight="1" x14ac:dyDescent="0.25">
      <c r="A81" s="74">
        <f>IF($I81&gt;0,VLOOKUP(I81,'Lista de Precios'!$A$3:$L$2883,9,0),0)</f>
        <v>0</v>
      </c>
      <c r="B81" s="74">
        <f>IF($I81&gt;0,VLOOKUP(I81,'Lista de Precios'!$A$3:$H$2883,7,0),0)</f>
        <v>0</v>
      </c>
      <c r="C81" s="7" t="str">
        <f>IF($I81&gt;0,VLOOKUP(I81,'Lista de Precios'!$A$3:$H$2883,2,0),"")</f>
        <v/>
      </c>
      <c r="D81" s="7" t="str">
        <f>IF($I81&gt;0,VLOOKUP(I81,'Lista de Precios'!$A$3:$H$2883,3,0),"")</f>
        <v/>
      </c>
      <c r="E81" s="76" t="str">
        <f>IF($I81&gt;0,VLOOKUP(I81,'Lista de Precios'!$A$3:$H$2883,6,0),"")</f>
        <v/>
      </c>
      <c r="F81" s="76" t="str">
        <f>IF($I81&gt;0,VLOOKUP(I81,'Lista de Precios'!$A$3:$H$2883,8,0),"")</f>
        <v/>
      </c>
      <c r="G81" s="101" t="str">
        <f t="shared" si="14"/>
        <v/>
      </c>
      <c r="H81" s="20" t="s">
        <v>3</v>
      </c>
      <c r="I81" s="18"/>
      <c r="J81" s="28" t="str">
        <f t="shared" ref="J81:J101" si="20">+E81</f>
        <v/>
      </c>
      <c r="K81" s="24">
        <f>+IF($I81&gt;0,VLOOKUP($I81,'Lista de Precios'!$A$3:$H$2883,5,0),0)</f>
        <v>0</v>
      </c>
      <c r="L81" s="43"/>
      <c r="M81" s="43"/>
      <c r="N81" s="43"/>
      <c r="O81" s="37"/>
      <c r="P81" s="44"/>
      <c r="Q81" s="39"/>
      <c r="R81" s="37"/>
      <c r="S81" s="37"/>
      <c r="T81" s="37"/>
      <c r="U81" s="37"/>
      <c r="V81" s="37"/>
      <c r="W81" s="37"/>
      <c r="X81" s="37"/>
      <c r="Y81" s="37"/>
      <c r="Z81" s="40"/>
      <c r="AA81" s="41"/>
      <c r="AB81" s="37"/>
      <c r="AC81" s="43"/>
      <c r="AD81" s="43"/>
      <c r="AE81" s="43"/>
      <c r="AF81" s="43"/>
      <c r="AG81" s="43"/>
      <c r="AH81" s="42"/>
      <c r="AI81" s="42"/>
      <c r="AJ81" s="42"/>
      <c r="AK81" s="42"/>
      <c r="AL81" s="43"/>
      <c r="AM81" s="73">
        <f t="shared" si="13"/>
        <v>0</v>
      </c>
      <c r="AN81" s="71" t="str">
        <f>+IF($I81&gt;0,VLOOKUP($I81,'Lista de Precios'!$A$3:$H$2883,4,0),"")</f>
        <v/>
      </c>
      <c r="AO81" s="68" t="str">
        <f t="shared" si="15"/>
        <v/>
      </c>
      <c r="AP81" s="7" t="str">
        <f>IF($I81&gt;0,VLOOKUP($I81,'Lista de Precios'!$A$3:$K$2883,10,0),"")</f>
        <v/>
      </c>
      <c r="AQ81" s="7" t="str">
        <f>IF($I81&gt;0,VLOOKUP($I81,'Lista de Precios'!$A$3:$M$4893,13,0),"")</f>
        <v/>
      </c>
      <c r="AR81" s="7" t="str">
        <f>IF($I81&gt;0,VLOOKUP(I81,'Lista de Precios'!$A$3:$M$2883,13,0),"")</f>
        <v/>
      </c>
      <c r="HR81" s="134"/>
      <c r="HS81" s="134"/>
      <c r="HT81" s="134"/>
      <c r="HU81" s="134"/>
      <c r="HV81" s="134"/>
      <c r="HW81" s="134"/>
      <c r="HX81" s="134"/>
      <c r="HY81" s="134"/>
      <c r="HZ81" s="134"/>
      <c r="IA81" s="134"/>
      <c r="IB81" s="134"/>
      <c r="IC81" s="134"/>
      <c r="IE81" s="134"/>
      <c r="IF81" s="134"/>
      <c r="IG81" s="134"/>
      <c r="IH81" s="134"/>
      <c r="II81" s="134"/>
      <c r="IJ81" s="134"/>
      <c r="IK81" s="134"/>
      <c r="IL81" s="134"/>
      <c r="IM81" s="134"/>
      <c r="IN81" s="135"/>
      <c r="IO81" s="135"/>
      <c r="IP81" s="135"/>
      <c r="XEP81" s="7" t="str">
        <f t="shared" si="16"/>
        <v/>
      </c>
      <c r="XEQ81" s="7" t="str">
        <f t="shared" si="17"/>
        <v/>
      </c>
      <c r="XER81" s="7" t="str">
        <f t="shared" si="18"/>
        <v/>
      </c>
      <c r="XES81" s="7" t="str">
        <f t="shared" si="19"/>
        <v/>
      </c>
    </row>
    <row r="82" spans="1:250 16370:16373" ht="23.25" customHeight="1" x14ac:dyDescent="0.25">
      <c r="A82" s="74">
        <f>IF($I82&gt;0,VLOOKUP(I82,'Lista de Precios'!$A$3:$L$2883,9,0),0)</f>
        <v>0</v>
      </c>
      <c r="B82" s="74">
        <f>IF($I82&gt;0,VLOOKUP(I82,'Lista de Precios'!$A$3:$H$2883,7,0),0)</f>
        <v>0</v>
      </c>
      <c r="C82" s="7" t="str">
        <f>IF($I82&gt;0,VLOOKUP(I82,'Lista de Precios'!$A$3:$H$2883,2,0),"")</f>
        <v/>
      </c>
      <c r="D82" s="7" t="str">
        <f>IF($I82&gt;0,VLOOKUP(I82,'Lista de Precios'!$A$3:$H$2883,3,0),"")</f>
        <v/>
      </c>
      <c r="E82" s="76" t="str">
        <f>IF($I82&gt;0,VLOOKUP(I82,'Lista de Precios'!$A$3:$H$2883,6,0),"")</f>
        <v/>
      </c>
      <c r="F82" s="76" t="str">
        <f>IF($I82&gt;0,VLOOKUP(I82,'Lista de Precios'!$A$3:$H$2883,8,0),"")</f>
        <v/>
      </c>
      <c r="G82" s="101" t="str">
        <f t="shared" si="14"/>
        <v/>
      </c>
      <c r="H82" s="20" t="s">
        <v>3</v>
      </c>
      <c r="I82" s="18"/>
      <c r="J82" s="28" t="str">
        <f t="shared" si="20"/>
        <v/>
      </c>
      <c r="K82" s="24">
        <f>+IF($I82&gt;0,VLOOKUP($I82,'Lista de Precios'!$A$3:$H$2883,5,0),0)</f>
        <v>0</v>
      </c>
      <c r="L82" s="43"/>
      <c r="M82" s="43"/>
      <c r="N82" s="43"/>
      <c r="O82" s="43"/>
      <c r="P82" s="44"/>
      <c r="Q82" s="45"/>
      <c r="R82" s="43"/>
      <c r="S82" s="43"/>
      <c r="T82" s="43"/>
      <c r="U82" s="43"/>
      <c r="V82" s="43"/>
      <c r="W82" s="43"/>
      <c r="X82" s="43"/>
      <c r="Y82" s="37"/>
      <c r="Z82" s="40"/>
      <c r="AA82" s="41"/>
      <c r="AB82" s="37"/>
      <c r="AC82" s="37"/>
      <c r="AD82" s="37"/>
      <c r="AE82" s="37"/>
      <c r="AF82" s="37"/>
      <c r="AG82" s="43"/>
      <c r="AH82" s="42"/>
      <c r="AI82" s="42"/>
      <c r="AJ82" s="49"/>
      <c r="AK82" s="49"/>
      <c r="AL82" s="49"/>
      <c r="AM82" s="73">
        <f t="shared" si="13"/>
        <v>0</v>
      </c>
      <c r="AN82" s="71" t="str">
        <f>+IF($I82&gt;0,VLOOKUP($I82,'Lista de Precios'!$A$3:$H$2883,4,0),"")</f>
        <v/>
      </c>
      <c r="AO82" s="68" t="str">
        <f t="shared" si="15"/>
        <v/>
      </c>
      <c r="AP82" s="7" t="str">
        <f>IF($I82&gt;0,VLOOKUP($I82,'Lista de Precios'!$A$3:$K$2883,10,0),"")</f>
        <v/>
      </c>
      <c r="AQ82" s="7" t="str">
        <f>IF($I82&gt;0,VLOOKUP($I82,'Lista de Precios'!$A$3:$M$4893,13,0),"")</f>
        <v/>
      </c>
      <c r="AR82" s="7" t="str">
        <f>IF($I82&gt;0,VLOOKUP(I82,'Lista de Precios'!$A$3:$M$2883,13,0),"")</f>
        <v/>
      </c>
      <c r="HR82" s="134"/>
      <c r="HS82" s="134"/>
      <c r="HT82" s="134"/>
      <c r="HU82" s="134"/>
      <c r="HV82" s="134"/>
      <c r="HW82" s="134"/>
      <c r="HX82" s="134"/>
      <c r="HY82" s="134"/>
      <c r="HZ82" s="134"/>
      <c r="IA82" s="134"/>
      <c r="IB82" s="134"/>
      <c r="IC82" s="134"/>
      <c r="IE82" s="134"/>
      <c r="IF82" s="134"/>
      <c r="IG82" s="134"/>
      <c r="IH82" s="134"/>
      <c r="II82" s="134"/>
      <c r="IJ82" s="134"/>
      <c r="IK82" s="134"/>
      <c r="IL82" s="134"/>
      <c r="IM82" s="134"/>
      <c r="IN82" s="135"/>
      <c r="IO82" s="135"/>
      <c r="IP82" s="135"/>
      <c r="XEP82" s="7" t="str">
        <f t="shared" si="16"/>
        <v/>
      </c>
      <c r="XEQ82" s="7" t="str">
        <f t="shared" si="17"/>
        <v/>
      </c>
      <c r="XER82" s="7" t="str">
        <f t="shared" si="18"/>
        <v/>
      </c>
      <c r="XES82" s="7" t="str">
        <f t="shared" si="19"/>
        <v/>
      </c>
    </row>
    <row r="83" spans="1:250 16370:16373" ht="23.25" customHeight="1" x14ac:dyDescent="0.25">
      <c r="A83" s="74">
        <f>IF($I83&gt;0,VLOOKUP(I83,'Lista de Precios'!$A$3:$L$2883,9,0),0)</f>
        <v>0</v>
      </c>
      <c r="B83" s="74">
        <f>IF($I83&gt;0,VLOOKUP(I83,'Lista de Precios'!$A$3:$H$2883,7,0),0)</f>
        <v>0</v>
      </c>
      <c r="C83" s="7" t="str">
        <f>IF($I83&gt;0,VLOOKUP(I83,'Lista de Precios'!$A$3:$H$2883,2,0),"")</f>
        <v/>
      </c>
      <c r="D83" s="7" t="str">
        <f>IF($I83&gt;0,VLOOKUP(I83,'Lista de Precios'!$A$3:$H$2883,3,0),"")</f>
        <v/>
      </c>
      <c r="E83" s="76" t="str">
        <f>IF($I83&gt;0,VLOOKUP(I83,'Lista de Precios'!$A$3:$H$2883,6,0),"")</f>
        <v/>
      </c>
      <c r="F83" s="76" t="str">
        <f>IF($I83&gt;0,VLOOKUP(I83,'Lista de Precios'!$A$3:$H$2883,8,0),"")</f>
        <v/>
      </c>
      <c r="G83" s="101" t="str">
        <f t="shared" si="14"/>
        <v/>
      </c>
      <c r="H83" s="20" t="s">
        <v>3</v>
      </c>
      <c r="I83" s="18"/>
      <c r="J83" s="28" t="str">
        <f t="shared" si="20"/>
        <v/>
      </c>
      <c r="K83" s="24">
        <f>+IF($I83&gt;0,VLOOKUP($I83,'Lista de Precios'!$A$3:$H$2883,5,0),0)</f>
        <v>0</v>
      </c>
      <c r="L83" s="48"/>
      <c r="M83" s="48"/>
      <c r="N83" s="48"/>
      <c r="O83" s="48"/>
      <c r="P83" s="47"/>
      <c r="Q83" s="50"/>
      <c r="R83" s="43"/>
      <c r="S83" s="43"/>
      <c r="T83" s="43"/>
      <c r="U83" s="43"/>
      <c r="V83" s="43"/>
      <c r="W83" s="43"/>
      <c r="X83" s="43"/>
      <c r="Y83" s="37"/>
      <c r="Z83" s="40"/>
      <c r="AA83" s="41"/>
      <c r="AB83" s="37"/>
      <c r="AC83" s="37"/>
      <c r="AD83" s="37"/>
      <c r="AE83" s="37"/>
      <c r="AF83" s="37"/>
      <c r="AG83" s="43"/>
      <c r="AH83" s="42"/>
      <c r="AI83" s="42"/>
      <c r="AJ83" s="49"/>
      <c r="AK83" s="49"/>
      <c r="AL83" s="48"/>
      <c r="AM83" s="73">
        <f t="shared" si="13"/>
        <v>0</v>
      </c>
      <c r="AN83" s="71" t="str">
        <f>+IF($I83&gt;0,VLOOKUP($I83,'Lista de Precios'!$A$3:$H$2883,4,0),"")</f>
        <v/>
      </c>
      <c r="AO83" s="68" t="str">
        <f t="shared" si="15"/>
        <v/>
      </c>
      <c r="AP83" s="7" t="str">
        <f>IF($I83&gt;0,VLOOKUP($I83,'Lista de Precios'!$A$3:$K$2883,10,0),"")</f>
        <v/>
      </c>
      <c r="AQ83" s="7" t="str">
        <f>IF($I83&gt;0,VLOOKUP($I83,'Lista de Precios'!$A$3:$M$4893,13,0),"")</f>
        <v/>
      </c>
      <c r="AR83" s="7" t="str">
        <f>IF($I83&gt;0,VLOOKUP(I83,'Lista de Precios'!$A$3:$M$2883,13,0),"")</f>
        <v/>
      </c>
      <c r="HR83" s="134"/>
      <c r="HS83" s="134"/>
      <c r="HT83" s="134"/>
      <c r="HU83" s="134"/>
      <c r="HV83" s="134"/>
      <c r="HW83" s="134"/>
      <c r="HX83" s="134"/>
      <c r="HY83" s="134"/>
      <c r="HZ83" s="134"/>
      <c r="IA83" s="134"/>
      <c r="IB83" s="134"/>
      <c r="IC83" s="134"/>
      <c r="IE83" s="134"/>
      <c r="IF83" s="134"/>
      <c r="IG83" s="134"/>
      <c r="IH83" s="134"/>
      <c r="II83" s="134"/>
      <c r="IJ83" s="134"/>
      <c r="IK83" s="134"/>
      <c r="IL83" s="134"/>
      <c r="IM83" s="134"/>
      <c r="IN83" s="135"/>
      <c r="IO83" s="135"/>
      <c r="IP83" s="135"/>
      <c r="XEP83" s="7" t="str">
        <f t="shared" si="16"/>
        <v/>
      </c>
      <c r="XEQ83" s="7" t="str">
        <f t="shared" si="17"/>
        <v/>
      </c>
      <c r="XER83" s="7" t="str">
        <f t="shared" si="18"/>
        <v/>
      </c>
      <c r="XES83" s="7" t="str">
        <f t="shared" si="19"/>
        <v/>
      </c>
    </row>
    <row r="84" spans="1:250 16370:16373" ht="23.25" customHeight="1" x14ac:dyDescent="0.25">
      <c r="A84" s="74">
        <f>IF($I84&gt;0,VLOOKUP(I84,'Lista de Precios'!$A$3:$L$2883,9,0),0)</f>
        <v>0</v>
      </c>
      <c r="B84" s="74">
        <f>IF($I84&gt;0,VLOOKUP(I84,'Lista de Precios'!$A$3:$H$2883,7,0),0)</f>
        <v>0</v>
      </c>
      <c r="C84" s="7" t="str">
        <f>IF($I84&gt;0,VLOOKUP(I84,'Lista de Precios'!$A$3:$H$2883,2,0),"")</f>
        <v/>
      </c>
      <c r="D84" s="7" t="str">
        <f>IF($I84&gt;0,VLOOKUP(I84,'Lista de Precios'!$A$3:$H$2883,3,0),"")</f>
        <v/>
      </c>
      <c r="E84" s="76" t="str">
        <f>IF($I84&gt;0,VLOOKUP(I84,'Lista de Precios'!$A$3:$H$2883,6,0),"")</f>
        <v/>
      </c>
      <c r="F84" s="76" t="str">
        <f>IF($I84&gt;0,VLOOKUP(I84,'Lista de Precios'!$A$3:$H$2883,8,0),"")</f>
        <v/>
      </c>
      <c r="G84" s="101" t="str">
        <f t="shared" si="14"/>
        <v/>
      </c>
      <c r="H84" s="20" t="s">
        <v>3</v>
      </c>
      <c r="I84" s="18"/>
      <c r="J84" s="28" t="str">
        <f t="shared" si="20"/>
        <v/>
      </c>
      <c r="K84" s="24">
        <f>+IF($I84&gt;0,VLOOKUP($I84,'Lista de Precios'!$A$3:$H$2883,5,0),0)</f>
        <v>0</v>
      </c>
      <c r="L84" s="51"/>
      <c r="M84" s="51"/>
      <c r="N84" s="51"/>
      <c r="O84" s="48"/>
      <c r="P84" s="52"/>
      <c r="Q84" s="50"/>
      <c r="R84" s="43"/>
      <c r="S84" s="43"/>
      <c r="T84" s="43"/>
      <c r="U84" s="43"/>
      <c r="V84" s="43"/>
      <c r="W84" s="43"/>
      <c r="X84" s="43"/>
      <c r="Y84" s="43"/>
      <c r="Z84" s="44"/>
      <c r="AA84" s="53"/>
      <c r="AB84" s="48"/>
      <c r="AC84" s="48"/>
      <c r="AD84" s="48"/>
      <c r="AE84" s="48"/>
      <c r="AF84" s="48"/>
      <c r="AG84" s="54"/>
      <c r="AH84" s="54"/>
      <c r="AI84" s="54"/>
      <c r="AJ84" s="54"/>
      <c r="AK84" s="54"/>
      <c r="AL84" s="54"/>
      <c r="AM84" s="73">
        <f t="shared" si="13"/>
        <v>0</v>
      </c>
      <c r="AN84" s="71" t="str">
        <f>+IF($I84&gt;0,VLOOKUP($I84,'Lista de Precios'!$A$3:$H$2883,4,0),"")</f>
        <v/>
      </c>
      <c r="AO84" s="68" t="str">
        <f t="shared" si="15"/>
        <v/>
      </c>
      <c r="AP84" s="7" t="str">
        <f>IF($I84&gt;0,VLOOKUP($I84,'Lista de Precios'!$A$3:$K$2883,10,0),"")</f>
        <v/>
      </c>
      <c r="AQ84" s="7" t="str">
        <f>IF($I84&gt;0,VLOOKUP($I84,'Lista de Precios'!$A$3:$M$4893,13,0),"")</f>
        <v/>
      </c>
      <c r="AR84" s="7" t="str">
        <f>IF($I84&gt;0,VLOOKUP(I84,'Lista de Precios'!$A$3:$M$2883,13,0),"")</f>
        <v/>
      </c>
      <c r="HR84" s="134"/>
      <c r="HS84" s="134"/>
      <c r="HT84" s="134"/>
      <c r="HU84" s="134"/>
      <c r="HV84" s="134"/>
      <c r="HW84" s="134"/>
      <c r="HX84" s="134"/>
      <c r="HY84" s="134"/>
      <c r="HZ84" s="134"/>
      <c r="IA84" s="134"/>
      <c r="IB84" s="134"/>
      <c r="IC84" s="134"/>
      <c r="IE84" s="134"/>
      <c r="IF84" s="134"/>
      <c r="IG84" s="134"/>
      <c r="IH84" s="134"/>
      <c r="II84" s="134"/>
      <c r="IJ84" s="134"/>
      <c r="IK84" s="134"/>
      <c r="IL84" s="134"/>
      <c r="IM84" s="134"/>
      <c r="IN84" s="135"/>
      <c r="IO84" s="135"/>
      <c r="IP84" s="135"/>
      <c r="XEP84" s="7" t="str">
        <f t="shared" si="16"/>
        <v/>
      </c>
      <c r="XEQ84" s="7" t="str">
        <f t="shared" si="17"/>
        <v/>
      </c>
      <c r="XER84" s="7" t="str">
        <f t="shared" si="18"/>
        <v/>
      </c>
      <c r="XES84" s="7" t="str">
        <f t="shared" si="19"/>
        <v/>
      </c>
    </row>
    <row r="85" spans="1:250 16370:16373" ht="23.25" customHeight="1" x14ac:dyDescent="0.25">
      <c r="A85" s="74">
        <f>IF($I85&gt;0,VLOOKUP(I85,'Lista de Precios'!$A$3:$L$2883,9,0),0)</f>
        <v>0</v>
      </c>
      <c r="B85" s="74">
        <f>IF($I85&gt;0,VLOOKUP(I85,'Lista de Precios'!$A$3:$H$2883,7,0),0)</f>
        <v>0</v>
      </c>
      <c r="C85" s="7" t="str">
        <f>IF($I85&gt;0,VLOOKUP(I85,'Lista de Precios'!$A$3:$H$2883,2,0),"")</f>
        <v/>
      </c>
      <c r="D85" s="7" t="str">
        <f>IF($I85&gt;0,VLOOKUP(I85,'Lista de Precios'!$A$3:$H$2883,3,0),"")</f>
        <v/>
      </c>
      <c r="E85" s="76" t="str">
        <f>IF($I85&gt;0,VLOOKUP(I85,'Lista de Precios'!$A$3:$H$2883,6,0),"")</f>
        <v/>
      </c>
      <c r="F85" s="76" t="str">
        <f>IF($I85&gt;0,VLOOKUP(I85,'Lista de Precios'!$A$3:$H$2883,8,0),"")</f>
        <v/>
      </c>
      <c r="G85" s="101" t="str">
        <f t="shared" si="14"/>
        <v/>
      </c>
      <c r="H85" s="20" t="s">
        <v>3</v>
      </c>
      <c r="I85" s="18"/>
      <c r="J85" s="28" t="str">
        <f t="shared" si="20"/>
        <v/>
      </c>
      <c r="K85" s="24">
        <f>+IF($I85&gt;0,VLOOKUP($I85,'Lista de Precios'!$A$3:$H$2883,5,0),0)</f>
        <v>0</v>
      </c>
      <c r="L85" s="54"/>
      <c r="M85" s="54"/>
      <c r="N85" s="54"/>
      <c r="O85" s="48"/>
      <c r="P85" s="55"/>
      <c r="Q85" s="50"/>
      <c r="R85" s="43"/>
      <c r="S85" s="43"/>
      <c r="T85" s="43"/>
      <c r="U85" s="43"/>
      <c r="V85" s="43"/>
      <c r="W85" s="43"/>
      <c r="X85" s="43"/>
      <c r="Y85" s="43"/>
      <c r="Z85" s="44"/>
      <c r="AA85" s="53"/>
      <c r="AB85" s="48"/>
      <c r="AC85" s="48"/>
      <c r="AD85" s="48"/>
      <c r="AE85" s="48"/>
      <c r="AF85" s="48"/>
      <c r="AG85" s="54"/>
      <c r="AH85" s="54"/>
      <c r="AI85" s="54"/>
      <c r="AJ85" s="54"/>
      <c r="AK85" s="54"/>
      <c r="AL85" s="54"/>
      <c r="AM85" s="73">
        <f t="shared" si="13"/>
        <v>0</v>
      </c>
      <c r="AN85" s="71" t="str">
        <f>+IF($I85&gt;0,VLOOKUP($I85,'Lista de Precios'!$A$3:$H$2883,4,0),"")</f>
        <v/>
      </c>
      <c r="AO85" s="68" t="str">
        <f t="shared" si="15"/>
        <v/>
      </c>
      <c r="AP85" s="7" t="str">
        <f>IF($I85&gt;0,VLOOKUP($I85,'Lista de Precios'!$A$3:$K$2883,10,0),"")</f>
        <v/>
      </c>
      <c r="AQ85" s="7" t="str">
        <f>IF($I85&gt;0,VLOOKUP($I85,'Lista de Precios'!$A$3:$M$4893,13,0),"")</f>
        <v/>
      </c>
      <c r="AR85" s="7" t="str">
        <f>IF($I85&gt;0,VLOOKUP(I85,'Lista de Precios'!$A$3:$M$2883,13,0),"")</f>
        <v/>
      </c>
      <c r="HR85" s="134"/>
      <c r="HS85" s="134"/>
      <c r="HT85" s="134"/>
      <c r="HU85" s="134"/>
      <c r="HV85" s="134"/>
      <c r="HW85" s="134"/>
      <c r="HX85" s="134"/>
      <c r="HY85" s="134"/>
      <c r="HZ85" s="134"/>
      <c r="IA85" s="134"/>
      <c r="IB85" s="134"/>
      <c r="IC85" s="134"/>
      <c r="IE85" s="134"/>
      <c r="IF85" s="134"/>
      <c r="IG85" s="134"/>
      <c r="IH85" s="134"/>
      <c r="II85" s="134"/>
      <c r="IJ85" s="134"/>
      <c r="IK85" s="134"/>
      <c r="IL85" s="134"/>
      <c r="IM85" s="134"/>
      <c r="IN85" s="135"/>
      <c r="IO85" s="135"/>
      <c r="IP85" s="135"/>
      <c r="XEP85" s="7" t="str">
        <f t="shared" si="16"/>
        <v/>
      </c>
      <c r="XEQ85" s="7" t="str">
        <f t="shared" si="17"/>
        <v/>
      </c>
      <c r="XER85" s="7" t="str">
        <f t="shared" si="18"/>
        <v/>
      </c>
      <c r="XES85" s="7" t="str">
        <f t="shared" si="19"/>
        <v/>
      </c>
    </row>
    <row r="86" spans="1:250 16370:16373" ht="23.25" customHeight="1" x14ac:dyDescent="0.25">
      <c r="A86" s="74">
        <f>IF($I86&gt;0,VLOOKUP(I86,'Lista de Precios'!$A$3:$L$2883,9,0),0)</f>
        <v>0</v>
      </c>
      <c r="B86" s="74">
        <f>IF($I86&gt;0,VLOOKUP(I86,'Lista de Precios'!$A$3:$H$2883,7,0),0)</f>
        <v>0</v>
      </c>
      <c r="C86" s="7" t="str">
        <f>IF($I86&gt;0,VLOOKUP(I86,'Lista de Precios'!$A$3:$H$2883,2,0),"")</f>
        <v/>
      </c>
      <c r="D86" s="7" t="str">
        <f>IF($I86&gt;0,VLOOKUP(I86,'Lista de Precios'!$A$3:$H$2883,3,0),"")</f>
        <v/>
      </c>
      <c r="E86" s="76" t="str">
        <f>IF($I86&gt;0,VLOOKUP(I86,'Lista de Precios'!$A$3:$H$2883,6,0),"")</f>
        <v/>
      </c>
      <c r="F86" s="76" t="str">
        <f>IF($I86&gt;0,VLOOKUP(I86,'Lista de Precios'!$A$3:$H$2883,8,0),"")</f>
        <v/>
      </c>
      <c r="G86" s="101" t="str">
        <f t="shared" si="14"/>
        <v/>
      </c>
      <c r="H86" s="20" t="s">
        <v>3</v>
      </c>
      <c r="I86" s="18"/>
      <c r="J86" s="28" t="str">
        <f t="shared" si="20"/>
        <v/>
      </c>
      <c r="K86" s="24">
        <f>+IF($I86&gt;0,VLOOKUP($I86,'Lista de Precios'!$A$3:$H$2883,5,0),0)</f>
        <v>0</v>
      </c>
      <c r="L86" s="43"/>
      <c r="M86" s="43"/>
      <c r="N86" s="43"/>
      <c r="O86" s="48"/>
      <c r="P86" s="44"/>
      <c r="Q86" s="50"/>
      <c r="R86" s="43"/>
      <c r="S86" s="43"/>
      <c r="T86" s="43"/>
      <c r="U86" s="43"/>
      <c r="V86" s="43"/>
      <c r="W86" s="43"/>
      <c r="X86" s="43"/>
      <c r="Y86" s="43"/>
      <c r="Z86" s="44"/>
      <c r="AA86" s="53"/>
      <c r="AB86" s="48"/>
      <c r="AC86" s="48"/>
      <c r="AD86" s="48"/>
      <c r="AE86" s="49"/>
      <c r="AF86" s="48"/>
      <c r="AG86" s="43"/>
      <c r="AH86" s="42"/>
      <c r="AI86" s="42"/>
      <c r="AJ86" s="42"/>
      <c r="AK86" s="42"/>
      <c r="AL86" s="42"/>
      <c r="AM86" s="73">
        <f t="shared" si="13"/>
        <v>0</v>
      </c>
      <c r="AN86" s="71" t="str">
        <f>+IF($I86&gt;0,VLOOKUP($I86,'Lista de Precios'!$A$3:$H$2883,4,0),"")</f>
        <v/>
      </c>
      <c r="AO86" s="68" t="str">
        <f t="shared" si="15"/>
        <v/>
      </c>
      <c r="AP86" s="7" t="str">
        <f>IF($I86&gt;0,VLOOKUP($I86,'Lista de Precios'!$A$3:$K$2883,10,0),"")</f>
        <v/>
      </c>
      <c r="AQ86" s="7" t="str">
        <f>IF($I86&gt;0,VLOOKUP($I86,'Lista de Precios'!$A$3:$M$4893,13,0),"")</f>
        <v/>
      </c>
      <c r="AR86" s="7" t="str">
        <f>IF($I86&gt;0,VLOOKUP(I86,'Lista de Precios'!$A$3:$M$2883,13,0),"")</f>
        <v/>
      </c>
      <c r="HR86" s="134"/>
      <c r="HS86" s="134"/>
      <c r="HT86" s="134"/>
      <c r="HU86" s="134"/>
      <c r="HV86" s="134"/>
      <c r="HW86" s="134"/>
      <c r="HX86" s="134"/>
      <c r="HY86" s="134"/>
      <c r="HZ86" s="134"/>
      <c r="IA86" s="134"/>
      <c r="IB86" s="134"/>
      <c r="IC86" s="134"/>
      <c r="IE86" s="134"/>
      <c r="IF86" s="134"/>
      <c r="IG86" s="134"/>
      <c r="IH86" s="134"/>
      <c r="II86" s="134"/>
      <c r="IJ86" s="134"/>
      <c r="IK86" s="134"/>
      <c r="IL86" s="134"/>
      <c r="IM86" s="134"/>
      <c r="IN86" s="135"/>
      <c r="IO86" s="135"/>
      <c r="IP86" s="135"/>
      <c r="XEP86" s="7" t="str">
        <f t="shared" si="16"/>
        <v/>
      </c>
      <c r="XEQ86" s="7" t="str">
        <f t="shared" si="17"/>
        <v/>
      </c>
      <c r="XER86" s="7" t="str">
        <f t="shared" si="18"/>
        <v/>
      </c>
      <c r="XES86" s="7" t="str">
        <f t="shared" si="19"/>
        <v/>
      </c>
    </row>
    <row r="87" spans="1:250 16370:16373" ht="23.25" customHeight="1" x14ac:dyDescent="0.25">
      <c r="A87" s="74">
        <f>IF($I87&gt;0,VLOOKUP(I87,'Lista de Precios'!$A$3:$L$2883,9,0),0)</f>
        <v>0</v>
      </c>
      <c r="B87" s="74">
        <f>IF($I87&gt;0,VLOOKUP(I87,'Lista de Precios'!$A$3:$H$2883,7,0),0)</f>
        <v>0</v>
      </c>
      <c r="C87" s="7" t="str">
        <f>IF($I87&gt;0,VLOOKUP(I87,'Lista de Precios'!$A$3:$H$2883,2,0),"")</f>
        <v/>
      </c>
      <c r="D87" s="7" t="str">
        <f>IF($I87&gt;0,VLOOKUP(I87,'Lista de Precios'!$A$3:$H$2883,3,0),"")</f>
        <v/>
      </c>
      <c r="E87" s="76" t="str">
        <f>IF($I87&gt;0,VLOOKUP(I87,'Lista de Precios'!$A$3:$H$2883,6,0),"")</f>
        <v/>
      </c>
      <c r="F87" s="76" t="str">
        <f>IF($I87&gt;0,VLOOKUP(I87,'Lista de Precios'!$A$3:$H$2883,8,0),"")</f>
        <v/>
      </c>
      <c r="G87" s="101" t="str">
        <f t="shared" si="14"/>
        <v/>
      </c>
      <c r="H87" s="20" t="s">
        <v>3</v>
      </c>
      <c r="I87" s="18"/>
      <c r="J87" s="28" t="str">
        <f t="shared" si="20"/>
        <v/>
      </c>
      <c r="K87" s="24">
        <f>+IF($I87&gt;0,VLOOKUP($I87,'Lista de Precios'!$A$3:$H$2883,5,0),0)</f>
        <v>0</v>
      </c>
      <c r="L87" s="54"/>
      <c r="M87" s="54"/>
      <c r="N87" s="54"/>
      <c r="O87" s="43"/>
      <c r="P87" s="55"/>
      <c r="Q87" s="45"/>
      <c r="R87" s="43"/>
      <c r="S87" s="43"/>
      <c r="T87" s="43"/>
      <c r="U87" s="43"/>
      <c r="V87" s="43"/>
      <c r="W87" s="43"/>
      <c r="X87" s="43"/>
      <c r="Y87" s="43"/>
      <c r="Z87" s="44"/>
      <c r="AA87" s="56"/>
      <c r="AB87" s="43"/>
      <c r="AC87" s="43"/>
      <c r="AD87" s="43"/>
      <c r="AE87" s="43"/>
      <c r="AF87" s="43"/>
      <c r="AG87" s="54"/>
      <c r="AH87" s="54"/>
      <c r="AI87" s="54"/>
      <c r="AJ87" s="54"/>
      <c r="AK87" s="54"/>
      <c r="AL87" s="54"/>
      <c r="AM87" s="73">
        <f t="shared" si="13"/>
        <v>0</v>
      </c>
      <c r="AN87" s="71" t="str">
        <f>+IF($I87&gt;0,VLOOKUP($I87,'Lista de Precios'!$A$3:$H$2883,4,0),"")</f>
        <v/>
      </c>
      <c r="AO87" s="68" t="str">
        <f t="shared" si="15"/>
        <v/>
      </c>
      <c r="AP87" s="7" t="str">
        <f>IF($I87&gt;0,VLOOKUP($I87,'Lista de Precios'!$A$3:$K$2883,10,0),"")</f>
        <v/>
      </c>
      <c r="AQ87" s="7" t="str">
        <f>IF($I87&gt;0,VLOOKUP($I87,'Lista de Precios'!$A$3:$M$4893,13,0),"")</f>
        <v/>
      </c>
      <c r="AR87" s="7" t="str">
        <f>IF($I87&gt;0,VLOOKUP(I87,'Lista de Precios'!$A$3:$M$2883,13,0),"")</f>
        <v/>
      </c>
      <c r="HR87" s="134"/>
      <c r="HS87" s="134"/>
      <c r="HT87" s="134"/>
      <c r="HU87" s="134"/>
      <c r="HV87" s="134"/>
      <c r="HW87" s="134"/>
      <c r="HX87" s="134"/>
      <c r="HY87" s="134"/>
      <c r="HZ87" s="134"/>
      <c r="IA87" s="134"/>
      <c r="IB87" s="134"/>
      <c r="IC87" s="134"/>
      <c r="IE87" s="134"/>
      <c r="IF87" s="134"/>
      <c r="IG87" s="134"/>
      <c r="IH87" s="134"/>
      <c r="II87" s="134"/>
      <c r="IJ87" s="134"/>
      <c r="IK87" s="134"/>
      <c r="IL87" s="134"/>
      <c r="IM87" s="134"/>
      <c r="IN87" s="135"/>
      <c r="IO87" s="135"/>
      <c r="IP87" s="135"/>
      <c r="XEP87" s="7" t="str">
        <f t="shared" si="16"/>
        <v/>
      </c>
      <c r="XEQ87" s="7" t="str">
        <f t="shared" si="17"/>
        <v/>
      </c>
      <c r="XER87" s="7" t="str">
        <f t="shared" si="18"/>
        <v/>
      </c>
      <c r="XES87" s="7" t="str">
        <f t="shared" si="19"/>
        <v/>
      </c>
    </row>
    <row r="88" spans="1:250 16370:16373" ht="23.25" customHeight="1" x14ac:dyDescent="0.25">
      <c r="A88" s="74">
        <f>IF($I88&gt;0,VLOOKUP(I88,'Lista de Precios'!$A$3:$L$2883,9,0),0)</f>
        <v>0</v>
      </c>
      <c r="B88" s="74">
        <f>IF($I88&gt;0,VLOOKUP(I88,'Lista de Precios'!$A$3:$H$2883,7,0),0)</f>
        <v>0</v>
      </c>
      <c r="C88" s="7" t="str">
        <f>IF($I88&gt;0,VLOOKUP(I88,'Lista de Precios'!$A$3:$H$2883,2,0),"")</f>
        <v/>
      </c>
      <c r="D88" s="7" t="str">
        <f>IF($I88&gt;0,VLOOKUP(I88,'Lista de Precios'!$A$3:$H$2883,3,0),"")</f>
        <v/>
      </c>
      <c r="E88" s="76" t="str">
        <f>IF($I88&gt;0,VLOOKUP(I88,'Lista de Precios'!$A$3:$H$2883,6,0),"")</f>
        <v/>
      </c>
      <c r="F88" s="76" t="str">
        <f>IF($I88&gt;0,VLOOKUP(I88,'Lista de Precios'!$A$3:$H$2883,8,0),"")</f>
        <v/>
      </c>
      <c r="G88" s="101" t="str">
        <f t="shared" si="14"/>
        <v/>
      </c>
      <c r="H88" s="20" t="s">
        <v>3</v>
      </c>
      <c r="I88" s="18"/>
      <c r="J88" s="28" t="str">
        <f t="shared" si="20"/>
        <v/>
      </c>
      <c r="K88" s="24">
        <f>+IF($I88&gt;0,VLOOKUP($I88,'Lista de Precios'!$A$3:$H$2883,5,0),0)</f>
        <v>0</v>
      </c>
      <c r="L88" s="37"/>
      <c r="M88" s="37"/>
      <c r="N88" s="37"/>
      <c r="O88" s="37"/>
      <c r="P88" s="40"/>
      <c r="Q88" s="39"/>
      <c r="R88" s="37"/>
      <c r="S88" s="37"/>
      <c r="T88" s="37"/>
      <c r="U88" s="37"/>
      <c r="V88" s="37"/>
      <c r="W88" s="37"/>
      <c r="X88" s="37"/>
      <c r="Y88" s="37"/>
      <c r="Z88" s="40"/>
      <c r="AA88" s="41"/>
      <c r="AB88" s="37"/>
      <c r="AC88" s="37"/>
      <c r="AD88" s="37"/>
      <c r="AE88" s="37"/>
      <c r="AF88" s="37"/>
      <c r="AG88" s="37"/>
      <c r="AH88" s="36"/>
      <c r="AI88" s="36"/>
      <c r="AJ88" s="36"/>
      <c r="AK88" s="42"/>
      <c r="AL88" s="36"/>
      <c r="AM88" s="73">
        <f t="shared" si="13"/>
        <v>0</v>
      </c>
      <c r="AN88" s="71" t="str">
        <f>+IF($I88&gt;0,VLOOKUP($I88,'Lista de Precios'!$A$3:$H$2883,4,0),"")</f>
        <v/>
      </c>
      <c r="AO88" s="68" t="str">
        <f t="shared" si="15"/>
        <v/>
      </c>
      <c r="AP88" s="7" t="str">
        <f>IF($I88&gt;0,VLOOKUP($I88,'Lista de Precios'!$A$3:$K$2883,10,0),"")</f>
        <v/>
      </c>
      <c r="AQ88" s="7" t="str">
        <f>IF($I88&gt;0,VLOOKUP($I88,'Lista de Precios'!$A$3:$M$4893,13,0),"")</f>
        <v/>
      </c>
      <c r="AR88" s="7" t="str">
        <f>IF($I88&gt;0,VLOOKUP(I88,'Lista de Precios'!$A$3:$M$2883,13,0),"")</f>
        <v/>
      </c>
      <c r="HR88" s="134"/>
      <c r="HS88" s="134"/>
      <c r="HT88" s="134"/>
      <c r="HU88" s="134"/>
      <c r="HV88" s="134"/>
      <c r="HW88" s="134"/>
      <c r="HX88" s="134"/>
      <c r="HY88" s="134"/>
      <c r="HZ88" s="134"/>
      <c r="IA88" s="134"/>
      <c r="IB88" s="134"/>
      <c r="IC88" s="134"/>
      <c r="IE88" s="134"/>
      <c r="IF88" s="134"/>
      <c r="IG88" s="134"/>
      <c r="IH88" s="134"/>
      <c r="II88" s="134"/>
      <c r="IJ88" s="134"/>
      <c r="IK88" s="134"/>
      <c r="IL88" s="134"/>
      <c r="IM88" s="134"/>
      <c r="IN88" s="135"/>
      <c r="IO88" s="135"/>
      <c r="IP88" s="135"/>
      <c r="XEP88" s="7" t="str">
        <f t="shared" si="16"/>
        <v/>
      </c>
      <c r="XEQ88" s="7" t="str">
        <f t="shared" si="17"/>
        <v/>
      </c>
      <c r="XER88" s="7" t="str">
        <f t="shared" si="18"/>
        <v/>
      </c>
      <c r="XES88" s="7" t="str">
        <f t="shared" si="19"/>
        <v/>
      </c>
    </row>
    <row r="89" spans="1:250 16370:16373" ht="23.25" customHeight="1" x14ac:dyDescent="0.25">
      <c r="A89" s="74">
        <f>IF($I89&gt;0,VLOOKUP(I89,'Lista de Precios'!$A$3:$L$2883,9,0),0)</f>
        <v>0</v>
      </c>
      <c r="B89" s="74">
        <f>IF($I89&gt;0,VLOOKUP(I89,'Lista de Precios'!$A$3:$H$2883,7,0),0)</f>
        <v>0</v>
      </c>
      <c r="C89" s="7" t="str">
        <f>IF($I89&gt;0,VLOOKUP(I89,'Lista de Precios'!$A$3:$H$2883,2,0),"")</f>
        <v/>
      </c>
      <c r="D89" s="7" t="str">
        <f>IF($I89&gt;0,VLOOKUP(I89,'Lista de Precios'!$A$3:$H$2883,3,0),"")</f>
        <v/>
      </c>
      <c r="E89" s="76" t="str">
        <f>IF($I89&gt;0,VLOOKUP(I89,'Lista de Precios'!$A$3:$H$2883,6,0),"")</f>
        <v/>
      </c>
      <c r="F89" s="76" t="str">
        <f>IF($I89&gt;0,VLOOKUP(I89,'Lista de Precios'!$A$3:$H$2883,8,0),"")</f>
        <v/>
      </c>
      <c r="G89" s="101" t="str">
        <f t="shared" si="14"/>
        <v/>
      </c>
      <c r="H89" s="20" t="s">
        <v>3</v>
      </c>
      <c r="I89" s="18"/>
      <c r="J89" s="28" t="str">
        <f t="shared" si="20"/>
        <v/>
      </c>
      <c r="K89" s="24">
        <f>+IF($I89&gt;0,VLOOKUP($I89,'Lista de Precios'!$A$3:$H$2883,5,0),0)</f>
        <v>0</v>
      </c>
      <c r="L89" s="37"/>
      <c r="M89" s="37"/>
      <c r="N89" s="37"/>
      <c r="O89" s="37"/>
      <c r="P89" s="40"/>
      <c r="Q89" s="39"/>
      <c r="R89" s="37"/>
      <c r="S89" s="37"/>
      <c r="T89" s="37"/>
      <c r="U89" s="37"/>
      <c r="V89" s="37"/>
      <c r="W89" s="37"/>
      <c r="X89" s="37"/>
      <c r="Y89" s="37"/>
      <c r="Z89" s="40"/>
      <c r="AA89" s="41"/>
      <c r="AB89" s="37"/>
      <c r="AC89" s="37"/>
      <c r="AD89" s="37"/>
      <c r="AE89" s="37"/>
      <c r="AF89" s="37"/>
      <c r="AG89" s="37"/>
      <c r="AH89" s="36"/>
      <c r="AI89" s="36"/>
      <c r="AJ89" s="36"/>
      <c r="AK89" s="42"/>
      <c r="AL89" s="36"/>
      <c r="AM89" s="73">
        <f t="shared" si="13"/>
        <v>0</v>
      </c>
      <c r="AN89" s="71" t="str">
        <f>+IF($I89&gt;0,VLOOKUP($I89,'Lista de Precios'!$A$3:$H$2883,4,0),"")</f>
        <v/>
      </c>
      <c r="AO89" s="68" t="str">
        <f t="shared" si="15"/>
        <v/>
      </c>
      <c r="AP89" s="7" t="str">
        <f>IF($I89&gt;0,VLOOKUP($I89,'Lista de Precios'!$A$3:$K$2883,10,0),"")</f>
        <v/>
      </c>
      <c r="AQ89" s="7" t="str">
        <f>IF($I89&gt;0,VLOOKUP($I89,'Lista de Precios'!$A$3:$M$4893,13,0),"")</f>
        <v/>
      </c>
      <c r="AR89" s="7" t="str">
        <f>IF($I89&gt;0,VLOOKUP(I89,'Lista de Precios'!$A$3:$M$2883,13,0),"")</f>
        <v/>
      </c>
      <c r="HR89" s="134"/>
      <c r="HS89" s="134"/>
      <c r="HT89" s="134"/>
      <c r="HU89" s="134"/>
      <c r="HV89" s="134"/>
      <c r="HW89" s="134"/>
      <c r="HX89" s="134"/>
      <c r="HY89" s="134"/>
      <c r="HZ89" s="134"/>
      <c r="IA89" s="134"/>
      <c r="IB89" s="134"/>
      <c r="IC89" s="134"/>
      <c r="IE89" s="134"/>
      <c r="IF89" s="134"/>
      <c r="IG89" s="134"/>
      <c r="IH89" s="134"/>
      <c r="II89" s="134"/>
      <c r="IJ89" s="134"/>
      <c r="IK89" s="134"/>
      <c r="IL89" s="134"/>
      <c r="IM89" s="134"/>
      <c r="IN89" s="135"/>
      <c r="IO89" s="135"/>
      <c r="IP89" s="135"/>
      <c r="XEP89" s="7" t="str">
        <f t="shared" si="16"/>
        <v/>
      </c>
      <c r="XEQ89" s="7" t="str">
        <f t="shared" si="17"/>
        <v/>
      </c>
      <c r="XER89" s="7" t="str">
        <f t="shared" si="18"/>
        <v/>
      </c>
      <c r="XES89" s="7" t="str">
        <f t="shared" si="19"/>
        <v/>
      </c>
    </row>
    <row r="90" spans="1:250 16370:16373" ht="23.25" customHeight="1" x14ac:dyDescent="0.25">
      <c r="A90" s="74">
        <f>IF($I90&gt;0,VLOOKUP(I90,'Lista de Precios'!$A$3:$L$2883,9,0),0)</f>
        <v>0</v>
      </c>
      <c r="B90" s="74">
        <f>IF($I90&gt;0,VLOOKUP(I90,'Lista de Precios'!$A$3:$H$2883,7,0),0)</f>
        <v>0</v>
      </c>
      <c r="C90" s="7" t="str">
        <f>IF($I90&gt;0,VLOOKUP(I90,'Lista de Precios'!$A$3:$H$2883,2,0),"")</f>
        <v/>
      </c>
      <c r="D90" s="7" t="str">
        <f>IF($I90&gt;0,VLOOKUP(I90,'Lista de Precios'!$A$3:$H$2883,3,0),"")</f>
        <v/>
      </c>
      <c r="E90" s="76" t="str">
        <f>IF($I90&gt;0,VLOOKUP(I90,'Lista de Precios'!$A$3:$H$2883,6,0),"")</f>
        <v/>
      </c>
      <c r="F90" s="76" t="str">
        <f>IF($I90&gt;0,VLOOKUP(I90,'Lista de Precios'!$A$3:$H$2883,8,0),"")</f>
        <v/>
      </c>
      <c r="G90" s="101" t="str">
        <f t="shared" si="14"/>
        <v/>
      </c>
      <c r="H90" s="20" t="s">
        <v>3</v>
      </c>
      <c r="I90" s="18"/>
      <c r="J90" s="28" t="str">
        <f t="shared" si="20"/>
        <v/>
      </c>
      <c r="K90" s="24">
        <f>+IF($I90&gt;0,VLOOKUP($I90,'Lista de Precios'!$A$3:$H$2883,5,0),0)</f>
        <v>0</v>
      </c>
      <c r="L90" s="36"/>
      <c r="M90" s="36"/>
      <c r="N90" s="36"/>
      <c r="O90" s="37"/>
      <c r="P90" s="38"/>
      <c r="Q90" s="39"/>
      <c r="R90" s="37"/>
      <c r="S90" s="37"/>
      <c r="T90" s="37"/>
      <c r="U90" s="37"/>
      <c r="V90" s="37"/>
      <c r="W90" s="37"/>
      <c r="X90" s="37"/>
      <c r="Y90" s="37"/>
      <c r="Z90" s="40"/>
      <c r="AA90" s="41"/>
      <c r="AB90" s="37"/>
      <c r="AC90" s="37"/>
      <c r="AD90" s="37"/>
      <c r="AE90" s="37"/>
      <c r="AF90" s="37"/>
      <c r="AG90" s="37"/>
      <c r="AH90" s="36"/>
      <c r="AI90" s="36"/>
      <c r="AJ90" s="36"/>
      <c r="AK90" s="42"/>
      <c r="AL90" s="42"/>
      <c r="AM90" s="73">
        <f t="shared" si="13"/>
        <v>0</v>
      </c>
      <c r="AN90" s="71" t="str">
        <f>+IF($I90&gt;0,VLOOKUP($I90,'Lista de Precios'!$A$3:$H$2883,4,0),"")</f>
        <v/>
      </c>
      <c r="AO90" s="68" t="str">
        <f t="shared" si="15"/>
        <v/>
      </c>
      <c r="AP90" s="7" t="str">
        <f>IF($I90&gt;0,VLOOKUP($I90,'Lista de Precios'!$A$3:$K$2883,10,0),"")</f>
        <v/>
      </c>
      <c r="AQ90" s="7" t="str">
        <f>IF($I90&gt;0,VLOOKUP($I90,'Lista de Precios'!$A$3:$M$4893,13,0),"")</f>
        <v/>
      </c>
      <c r="AR90" s="7" t="str">
        <f>IF($I90&gt;0,VLOOKUP(I90,'Lista de Precios'!$A$3:$M$2883,13,0),"")</f>
        <v/>
      </c>
      <c r="HR90" s="134"/>
      <c r="HS90" s="134"/>
      <c r="HT90" s="134"/>
      <c r="HU90" s="134"/>
      <c r="HV90" s="134"/>
      <c r="HW90" s="134"/>
      <c r="HX90" s="134"/>
      <c r="HY90" s="134"/>
      <c r="HZ90" s="134"/>
      <c r="IA90" s="134"/>
      <c r="IB90" s="134"/>
      <c r="IC90" s="134"/>
      <c r="IE90" s="134"/>
      <c r="IF90" s="134"/>
      <c r="IG90" s="134"/>
      <c r="IH90" s="134"/>
      <c r="II90" s="134"/>
      <c r="IJ90" s="134"/>
      <c r="IK90" s="134"/>
      <c r="IL90" s="134"/>
      <c r="IM90" s="134"/>
      <c r="IN90" s="135"/>
      <c r="IO90" s="135"/>
      <c r="IP90" s="135"/>
      <c r="XEP90" s="7" t="str">
        <f t="shared" si="16"/>
        <v/>
      </c>
      <c r="XEQ90" s="7" t="str">
        <f t="shared" si="17"/>
        <v/>
      </c>
      <c r="XER90" s="7" t="str">
        <f t="shared" si="18"/>
        <v/>
      </c>
      <c r="XES90" s="7" t="str">
        <f t="shared" si="19"/>
        <v/>
      </c>
    </row>
    <row r="91" spans="1:250 16370:16373" ht="23.25" customHeight="1" x14ac:dyDescent="0.25">
      <c r="A91" s="74">
        <f>IF($I91&gt;0,VLOOKUP(I91,'Lista de Precios'!$A$3:$L$2883,9,0),0)</f>
        <v>0</v>
      </c>
      <c r="B91" s="74">
        <f>IF($I91&gt;0,VLOOKUP(I91,'Lista de Precios'!$A$3:$H$2883,7,0),0)</f>
        <v>0</v>
      </c>
      <c r="C91" s="7" t="str">
        <f>IF($I91&gt;0,VLOOKUP(I91,'Lista de Precios'!$A$3:$H$2883,2,0),"")</f>
        <v/>
      </c>
      <c r="D91" s="7" t="str">
        <f>IF($I91&gt;0,VLOOKUP(I91,'Lista de Precios'!$A$3:$H$2883,3,0),"")</f>
        <v/>
      </c>
      <c r="E91" s="76" t="str">
        <f>IF($I91&gt;0,VLOOKUP(I91,'Lista de Precios'!$A$3:$H$2883,6,0),"")</f>
        <v/>
      </c>
      <c r="F91" s="76" t="str">
        <f>IF($I91&gt;0,VLOOKUP(I91,'Lista de Precios'!$A$3:$H$2883,8,0),"")</f>
        <v/>
      </c>
      <c r="G91" s="101" t="str">
        <f t="shared" si="14"/>
        <v/>
      </c>
      <c r="H91" s="20" t="s">
        <v>3</v>
      </c>
      <c r="I91" s="18"/>
      <c r="J91" s="28" t="str">
        <f t="shared" si="20"/>
        <v/>
      </c>
      <c r="K91" s="24">
        <f>+IF($I91&gt;0,VLOOKUP($I91,'Lista de Precios'!$A$3:$H$2883,5,0),0)</f>
        <v>0</v>
      </c>
      <c r="L91" s="37"/>
      <c r="M91" s="37"/>
      <c r="N91" s="37"/>
      <c r="O91" s="37"/>
      <c r="P91" s="40"/>
      <c r="Q91" s="39"/>
      <c r="R91" s="37"/>
      <c r="S91" s="37"/>
      <c r="T91" s="37"/>
      <c r="U91" s="37"/>
      <c r="V91" s="37"/>
      <c r="W91" s="37"/>
      <c r="X91" s="37"/>
      <c r="Y91" s="37"/>
      <c r="Z91" s="40"/>
      <c r="AA91" s="41"/>
      <c r="AB91" s="37"/>
      <c r="AC91" s="37"/>
      <c r="AD91" s="37"/>
      <c r="AE91" s="37"/>
      <c r="AF91" s="37"/>
      <c r="AG91" s="37"/>
      <c r="AH91" s="36"/>
      <c r="AI91" s="36"/>
      <c r="AJ91" s="36"/>
      <c r="AK91" s="42"/>
      <c r="AL91" s="42"/>
      <c r="AM91" s="73">
        <f t="shared" si="13"/>
        <v>0</v>
      </c>
      <c r="AN91" s="71" t="str">
        <f>+IF($I91&gt;0,VLOOKUP($I91,'Lista de Precios'!$A$3:$H$2883,4,0),"")</f>
        <v/>
      </c>
      <c r="AO91" s="68" t="str">
        <f t="shared" si="15"/>
        <v/>
      </c>
      <c r="AP91" s="7" t="str">
        <f>IF($I91&gt;0,VLOOKUP($I91,'Lista de Precios'!$A$3:$K$2883,10,0),"")</f>
        <v/>
      </c>
      <c r="AQ91" s="7" t="str">
        <f>IF($I91&gt;0,VLOOKUP($I91,'Lista de Precios'!$A$3:$M$4893,13,0),"")</f>
        <v/>
      </c>
      <c r="AR91" s="7" t="str">
        <f>IF($I91&gt;0,VLOOKUP(I91,'Lista de Precios'!$A$3:$M$2883,13,0),"")</f>
        <v/>
      </c>
      <c r="HR91" s="134"/>
      <c r="HS91" s="134"/>
      <c r="HT91" s="134"/>
      <c r="HU91" s="134"/>
      <c r="HV91" s="134"/>
      <c r="HW91" s="134"/>
      <c r="HX91" s="134"/>
      <c r="HY91" s="134"/>
      <c r="HZ91" s="134"/>
      <c r="IA91" s="134"/>
      <c r="IB91" s="134"/>
      <c r="IC91" s="134"/>
      <c r="IE91" s="134"/>
      <c r="IF91" s="134"/>
      <c r="IG91" s="134"/>
      <c r="IH91" s="134"/>
      <c r="II91" s="134"/>
      <c r="IJ91" s="134"/>
      <c r="IK91" s="134"/>
      <c r="IL91" s="134"/>
      <c r="IM91" s="134"/>
      <c r="IN91" s="135"/>
      <c r="IO91" s="135"/>
      <c r="IP91" s="135"/>
      <c r="XEP91" s="7" t="str">
        <f t="shared" si="16"/>
        <v/>
      </c>
      <c r="XEQ91" s="7" t="str">
        <f t="shared" si="17"/>
        <v/>
      </c>
      <c r="XER91" s="7" t="str">
        <f t="shared" si="18"/>
        <v/>
      </c>
      <c r="XES91" s="7" t="str">
        <f t="shared" si="19"/>
        <v/>
      </c>
    </row>
    <row r="92" spans="1:250 16370:16373" ht="23.25" customHeight="1" x14ac:dyDescent="0.25">
      <c r="A92" s="74">
        <f>IF($I92&gt;0,VLOOKUP(I92,'Lista de Precios'!$A$3:$L$2883,9,0),0)</f>
        <v>0</v>
      </c>
      <c r="B92" s="74">
        <f>IF($I92&gt;0,VLOOKUP(I92,'Lista de Precios'!$A$3:$H$2883,7,0),0)</f>
        <v>0</v>
      </c>
      <c r="C92" s="7" t="str">
        <f>IF($I92&gt;0,VLOOKUP(I92,'Lista de Precios'!$A$3:$H$2883,2,0),"")</f>
        <v/>
      </c>
      <c r="D92" s="7" t="str">
        <f>IF($I92&gt;0,VLOOKUP(I92,'Lista de Precios'!$A$3:$H$2883,3,0),"")</f>
        <v/>
      </c>
      <c r="E92" s="76" t="str">
        <f>IF($I92&gt;0,VLOOKUP(I92,'Lista de Precios'!$A$3:$H$2883,6,0),"")</f>
        <v/>
      </c>
      <c r="F92" s="76" t="str">
        <f>IF($I92&gt;0,VLOOKUP(I92,'Lista de Precios'!$A$3:$H$2883,8,0),"")</f>
        <v/>
      </c>
      <c r="G92" s="101" t="str">
        <f t="shared" si="14"/>
        <v/>
      </c>
      <c r="H92" s="20" t="s">
        <v>3</v>
      </c>
      <c r="I92" s="18"/>
      <c r="J92" s="28" t="str">
        <f t="shared" si="20"/>
        <v/>
      </c>
      <c r="K92" s="24">
        <f>+IF($I92&gt;0,VLOOKUP($I92,'Lista de Precios'!$A$3:$H$2883,5,0),0)</f>
        <v>0</v>
      </c>
      <c r="L92" s="37"/>
      <c r="M92" s="37"/>
      <c r="N92" s="37"/>
      <c r="O92" s="37"/>
      <c r="P92" s="40"/>
      <c r="Q92" s="39"/>
      <c r="R92" s="37"/>
      <c r="S92" s="37"/>
      <c r="T92" s="37"/>
      <c r="U92" s="37"/>
      <c r="V92" s="37"/>
      <c r="W92" s="37"/>
      <c r="X92" s="37"/>
      <c r="Y92" s="37"/>
      <c r="Z92" s="40"/>
      <c r="AA92" s="41"/>
      <c r="AB92" s="37"/>
      <c r="AC92" s="37"/>
      <c r="AD92" s="37"/>
      <c r="AE92" s="36"/>
      <c r="AF92" s="37"/>
      <c r="AG92" s="37"/>
      <c r="AH92" s="36"/>
      <c r="AI92" s="36"/>
      <c r="AJ92" s="42"/>
      <c r="AK92" s="42"/>
      <c r="AL92" s="43"/>
      <c r="AM92" s="73">
        <f t="shared" si="13"/>
        <v>0</v>
      </c>
      <c r="AN92" s="71" t="str">
        <f>+IF($I92&gt;0,VLOOKUP($I92,'Lista de Precios'!$A$3:$H$2883,4,0),"")</f>
        <v/>
      </c>
      <c r="AO92" s="68" t="str">
        <f t="shared" si="15"/>
        <v/>
      </c>
      <c r="AP92" s="7" t="str">
        <f>IF($I92&gt;0,VLOOKUP($I92,'Lista de Precios'!$A$3:$K$2883,10,0),"")</f>
        <v/>
      </c>
      <c r="AQ92" s="7" t="str">
        <f>IF($I92&gt;0,VLOOKUP($I92,'Lista de Precios'!$A$3:$M$4893,13,0),"")</f>
        <v/>
      </c>
      <c r="AR92" s="7" t="str">
        <f>IF($I92&gt;0,VLOOKUP(I92,'Lista de Precios'!$A$3:$M$2883,13,0),"")</f>
        <v/>
      </c>
      <c r="HR92" s="134"/>
      <c r="HS92" s="134"/>
      <c r="HT92" s="134"/>
      <c r="HU92" s="134"/>
      <c r="HV92" s="134"/>
      <c r="HW92" s="134"/>
      <c r="HX92" s="134"/>
      <c r="HY92" s="134"/>
      <c r="HZ92" s="134"/>
      <c r="IA92" s="134"/>
      <c r="IB92" s="134"/>
      <c r="IC92" s="134"/>
      <c r="IE92" s="134"/>
      <c r="IF92" s="134"/>
      <c r="IG92" s="134"/>
      <c r="IH92" s="134"/>
      <c r="II92" s="134"/>
      <c r="IJ92" s="134"/>
      <c r="IK92" s="134"/>
      <c r="IL92" s="134"/>
      <c r="IM92" s="134"/>
      <c r="IN92" s="135"/>
      <c r="IO92" s="135"/>
      <c r="IP92" s="135"/>
      <c r="XEP92" s="7" t="str">
        <f t="shared" si="16"/>
        <v/>
      </c>
      <c r="XEQ92" s="7" t="str">
        <f t="shared" si="17"/>
        <v/>
      </c>
      <c r="XER92" s="7" t="str">
        <f t="shared" si="18"/>
        <v/>
      </c>
      <c r="XES92" s="7" t="str">
        <f t="shared" si="19"/>
        <v/>
      </c>
    </row>
    <row r="93" spans="1:250 16370:16373" ht="23.25" customHeight="1" x14ac:dyDescent="0.25">
      <c r="A93" s="74">
        <f>IF($I93&gt;0,VLOOKUP(I93,'Lista de Precios'!$A$3:$L$2883,9,0),0)</f>
        <v>0</v>
      </c>
      <c r="B93" s="74">
        <f>IF($I93&gt;0,VLOOKUP(I93,'Lista de Precios'!$A$3:$H$2883,7,0),0)</f>
        <v>0</v>
      </c>
      <c r="C93" s="7" t="str">
        <f>IF($I93&gt;0,VLOOKUP(I93,'Lista de Precios'!$A$3:$H$2883,2,0),"")</f>
        <v/>
      </c>
      <c r="D93" s="7" t="str">
        <f>IF($I93&gt;0,VLOOKUP(I93,'Lista de Precios'!$A$3:$H$2883,3,0),"")</f>
        <v/>
      </c>
      <c r="E93" s="76" t="str">
        <f>IF($I93&gt;0,VLOOKUP(I93,'Lista de Precios'!$A$3:$H$2883,6,0),"")</f>
        <v/>
      </c>
      <c r="F93" s="76" t="str">
        <f>IF($I93&gt;0,VLOOKUP(I93,'Lista de Precios'!$A$3:$H$2883,8,0),"")</f>
        <v/>
      </c>
      <c r="G93" s="101" t="str">
        <f t="shared" si="14"/>
        <v/>
      </c>
      <c r="H93" s="20" t="s">
        <v>3</v>
      </c>
      <c r="I93" s="18"/>
      <c r="J93" s="28" t="str">
        <f t="shared" si="20"/>
        <v/>
      </c>
      <c r="K93" s="24">
        <f>+IF($I93&gt;0,VLOOKUP($I93,'Lista de Precios'!$A$3:$H$2883,5,0),0)</f>
        <v>0</v>
      </c>
      <c r="L93" s="37"/>
      <c r="M93" s="37"/>
      <c r="N93" s="37"/>
      <c r="O93" s="37"/>
      <c r="P93" s="40"/>
      <c r="Q93" s="39"/>
      <c r="R93" s="37"/>
      <c r="S93" s="37"/>
      <c r="T93" s="37"/>
      <c r="U93" s="37"/>
      <c r="V93" s="37"/>
      <c r="W93" s="37"/>
      <c r="X93" s="37"/>
      <c r="Y93" s="37"/>
      <c r="Z93" s="37"/>
      <c r="AA93" s="41"/>
      <c r="AB93" s="37"/>
      <c r="AC93" s="37"/>
      <c r="AD93" s="37"/>
      <c r="AE93" s="36"/>
      <c r="AF93" s="37"/>
      <c r="AG93" s="37"/>
      <c r="AH93" s="36"/>
      <c r="AI93" s="36"/>
      <c r="AJ93" s="42"/>
      <c r="AK93" s="42"/>
      <c r="AL93" s="42"/>
      <c r="AM93" s="73">
        <f t="shared" si="13"/>
        <v>0</v>
      </c>
      <c r="AN93" s="71" t="str">
        <f>+IF($I93&gt;0,VLOOKUP($I93,'Lista de Precios'!$A$3:$H$2883,4,0),"")</f>
        <v/>
      </c>
      <c r="AO93" s="68" t="str">
        <f t="shared" si="15"/>
        <v/>
      </c>
      <c r="AP93" s="7" t="str">
        <f>IF($I93&gt;0,VLOOKUP($I93,'Lista de Precios'!$A$3:$K$2883,10,0),"")</f>
        <v/>
      </c>
      <c r="AQ93" s="7" t="str">
        <f>IF($I93&gt;0,VLOOKUP($I93,'Lista de Precios'!$A$3:$M$4893,13,0),"")</f>
        <v/>
      </c>
      <c r="AR93" s="7" t="str">
        <f>IF($I93&gt;0,VLOOKUP(I93,'Lista de Precios'!$A$3:$M$2883,13,0),"")</f>
        <v/>
      </c>
      <c r="HR93" s="134"/>
      <c r="HS93" s="134"/>
      <c r="HT93" s="134"/>
      <c r="HU93" s="134"/>
      <c r="HV93" s="134"/>
      <c r="HW93" s="134"/>
      <c r="HX93" s="134"/>
      <c r="HY93" s="134"/>
      <c r="HZ93" s="134"/>
      <c r="IA93" s="134"/>
      <c r="IB93" s="134"/>
      <c r="IC93" s="134"/>
      <c r="IE93" s="134"/>
      <c r="IF93" s="134"/>
      <c r="IG93" s="134"/>
      <c r="IH93" s="134"/>
      <c r="II93" s="134"/>
      <c r="IJ93" s="134"/>
      <c r="IK93" s="134"/>
      <c r="IL93" s="134"/>
      <c r="IM93" s="134"/>
      <c r="IN93" s="135"/>
      <c r="IO93" s="135"/>
      <c r="IP93" s="135"/>
      <c r="XEP93" s="7" t="str">
        <f t="shared" si="16"/>
        <v/>
      </c>
      <c r="XEQ93" s="7" t="str">
        <f t="shared" si="17"/>
        <v/>
      </c>
      <c r="XER93" s="7" t="str">
        <f t="shared" si="18"/>
        <v/>
      </c>
      <c r="XES93" s="7" t="str">
        <f t="shared" si="19"/>
        <v/>
      </c>
    </row>
    <row r="94" spans="1:250 16370:16373" ht="23.25" customHeight="1" x14ac:dyDescent="0.25">
      <c r="A94" s="74">
        <f>IF($I94&gt;0,VLOOKUP(I94,'Lista de Precios'!$A$3:$L$2883,9,0),0)</f>
        <v>0</v>
      </c>
      <c r="B94" s="74">
        <f>IF($I94&gt;0,VLOOKUP(I94,'Lista de Precios'!$A$3:$H$2883,7,0),0)</f>
        <v>0</v>
      </c>
      <c r="C94" s="7" t="str">
        <f>IF($I94&gt;0,VLOOKUP(I94,'Lista de Precios'!$A$3:$H$2883,2,0),"")</f>
        <v/>
      </c>
      <c r="D94" s="7" t="str">
        <f>IF($I94&gt;0,VLOOKUP(I94,'Lista de Precios'!$A$3:$H$2883,3,0),"")</f>
        <v/>
      </c>
      <c r="E94" s="76" t="str">
        <f>IF($I94&gt;0,VLOOKUP(I94,'Lista de Precios'!$A$3:$H$2883,6,0),"")</f>
        <v/>
      </c>
      <c r="F94" s="76" t="str">
        <f>IF($I94&gt;0,VLOOKUP(I94,'Lista de Precios'!$A$3:$H$2883,8,0),"")</f>
        <v/>
      </c>
      <c r="G94" s="101" t="str">
        <f t="shared" si="14"/>
        <v/>
      </c>
      <c r="H94" s="20" t="s">
        <v>3</v>
      </c>
      <c r="I94" s="18"/>
      <c r="J94" s="28" t="str">
        <f t="shared" si="20"/>
        <v/>
      </c>
      <c r="K94" s="24">
        <f>+IF($I94&gt;0,VLOOKUP($I94,'Lista de Precios'!$A$3:$H$2883,5,0),0)</f>
        <v>0</v>
      </c>
      <c r="L94" s="37"/>
      <c r="M94" s="37"/>
      <c r="N94" s="37"/>
      <c r="O94" s="37"/>
      <c r="P94" s="40"/>
      <c r="Q94" s="39"/>
      <c r="R94" s="37"/>
      <c r="S94" s="37"/>
      <c r="T94" s="37"/>
      <c r="U94" s="37"/>
      <c r="V94" s="37"/>
      <c r="W94" s="37"/>
      <c r="X94" s="37"/>
      <c r="Y94" s="37"/>
      <c r="Z94" s="40"/>
      <c r="AA94" s="41"/>
      <c r="AB94" s="37"/>
      <c r="AC94" s="37"/>
      <c r="AD94" s="37"/>
      <c r="AE94" s="36"/>
      <c r="AF94" s="37"/>
      <c r="AG94" s="37"/>
      <c r="AH94" s="36"/>
      <c r="AI94" s="36"/>
      <c r="AJ94" s="42"/>
      <c r="AK94" s="42"/>
      <c r="AL94" s="42"/>
      <c r="AM94" s="73">
        <f t="shared" si="13"/>
        <v>0</v>
      </c>
      <c r="AN94" s="71" t="str">
        <f>+IF($I94&gt;0,VLOOKUP($I94,'Lista de Precios'!$A$3:$H$2883,4,0),"")</f>
        <v/>
      </c>
      <c r="AO94" s="68" t="str">
        <f t="shared" si="15"/>
        <v/>
      </c>
      <c r="AP94" s="7" t="str">
        <f>IF($I94&gt;0,VLOOKUP($I94,'Lista de Precios'!$A$3:$K$2883,10,0),"")</f>
        <v/>
      </c>
      <c r="AQ94" s="7" t="str">
        <f>IF($I94&gt;0,VLOOKUP($I94,'Lista de Precios'!$A$3:$M$4893,13,0),"")</f>
        <v/>
      </c>
      <c r="AR94" s="7" t="str">
        <f>IF($I94&gt;0,VLOOKUP(I94,'Lista de Precios'!$A$3:$M$2883,13,0),"")</f>
        <v/>
      </c>
      <c r="HR94" s="134"/>
      <c r="HS94" s="134"/>
      <c r="HT94" s="134"/>
      <c r="HU94" s="134"/>
      <c r="HV94" s="134"/>
      <c r="HW94" s="134"/>
      <c r="HX94" s="134"/>
      <c r="HY94" s="134"/>
      <c r="HZ94" s="134"/>
      <c r="IA94" s="134"/>
      <c r="IB94" s="134"/>
      <c r="IC94" s="134"/>
      <c r="IE94" s="134"/>
      <c r="IF94" s="134"/>
      <c r="IG94" s="134"/>
      <c r="IH94" s="134"/>
      <c r="II94" s="134"/>
      <c r="IJ94" s="134"/>
      <c r="IK94" s="134"/>
      <c r="IL94" s="134"/>
      <c r="IM94" s="134"/>
      <c r="IN94" s="135"/>
      <c r="IO94" s="135"/>
      <c r="IP94" s="135"/>
      <c r="XEP94" s="7" t="str">
        <f t="shared" si="16"/>
        <v/>
      </c>
      <c r="XEQ94" s="7" t="str">
        <f t="shared" si="17"/>
        <v/>
      </c>
      <c r="XER94" s="7" t="str">
        <f t="shared" si="18"/>
        <v/>
      </c>
      <c r="XES94" s="7" t="str">
        <f t="shared" si="19"/>
        <v/>
      </c>
    </row>
    <row r="95" spans="1:250 16370:16373" ht="23.25" customHeight="1" x14ac:dyDescent="0.25">
      <c r="A95" s="74">
        <f>IF($I95&gt;0,VLOOKUP(I95,'Lista de Precios'!$A$3:$L$2883,9,0),0)</f>
        <v>0</v>
      </c>
      <c r="B95" s="74">
        <f>IF($I95&gt;0,VLOOKUP(I95,'Lista de Precios'!$A$3:$H$2883,7,0),0)</f>
        <v>0</v>
      </c>
      <c r="C95" s="7" t="str">
        <f>IF($I95&gt;0,VLOOKUP(I95,'Lista de Precios'!$A$3:$H$2883,2,0),"")</f>
        <v/>
      </c>
      <c r="D95" s="7" t="str">
        <f>IF($I95&gt;0,VLOOKUP(I95,'Lista de Precios'!$A$3:$H$2883,3,0),"")</f>
        <v/>
      </c>
      <c r="E95" s="76" t="str">
        <f>IF($I95&gt;0,VLOOKUP(I95,'Lista de Precios'!$A$3:$H$2883,6,0),"")</f>
        <v/>
      </c>
      <c r="F95" s="76" t="str">
        <f>IF($I95&gt;0,VLOOKUP(I95,'Lista de Precios'!$A$3:$H$2883,8,0),"")</f>
        <v/>
      </c>
      <c r="G95" s="101" t="str">
        <f t="shared" si="14"/>
        <v/>
      </c>
      <c r="H95" s="20" t="s">
        <v>3</v>
      </c>
      <c r="I95" s="18"/>
      <c r="J95" s="28" t="str">
        <f t="shared" si="20"/>
        <v/>
      </c>
      <c r="K95" s="24">
        <f>+IF($I95&gt;0,VLOOKUP($I95,'Lista de Precios'!$A$3:$H$2883,5,0),0)</f>
        <v>0</v>
      </c>
      <c r="L95" s="37"/>
      <c r="M95" s="37"/>
      <c r="N95" s="37"/>
      <c r="O95" s="37"/>
      <c r="P95" s="40"/>
      <c r="Q95" s="39"/>
      <c r="R95" s="37"/>
      <c r="S95" s="37"/>
      <c r="T95" s="37"/>
      <c r="U95" s="37"/>
      <c r="V95" s="37"/>
      <c r="W95" s="37"/>
      <c r="X95" s="37"/>
      <c r="Y95" s="37"/>
      <c r="Z95" s="40"/>
      <c r="AA95" s="41"/>
      <c r="AB95" s="37"/>
      <c r="AC95" s="37"/>
      <c r="AD95" s="37"/>
      <c r="AE95" s="36"/>
      <c r="AF95" s="37"/>
      <c r="AG95" s="37"/>
      <c r="AH95" s="36"/>
      <c r="AI95" s="36"/>
      <c r="AJ95" s="42"/>
      <c r="AK95" s="42"/>
      <c r="AL95" s="42"/>
      <c r="AM95" s="73">
        <f t="shared" si="13"/>
        <v>0</v>
      </c>
      <c r="AN95" s="71" t="str">
        <f>+IF($I95&gt;0,VLOOKUP($I95,'Lista de Precios'!$A$3:$H$2883,4,0),"")</f>
        <v/>
      </c>
      <c r="AO95" s="68" t="str">
        <f t="shared" si="15"/>
        <v/>
      </c>
      <c r="AP95" s="7" t="str">
        <f>IF($I95&gt;0,VLOOKUP($I95,'Lista de Precios'!$A$3:$K$2883,10,0),"")</f>
        <v/>
      </c>
      <c r="AR95" s="7" t="str">
        <f>IF($I95&gt;0,VLOOKUP(I95,'Lista de Precios'!$A$3:$M$2883,13,0),"")</f>
        <v/>
      </c>
      <c r="HR95" s="134"/>
      <c r="HS95" s="134"/>
      <c r="HT95" s="134"/>
      <c r="HU95" s="134"/>
      <c r="HV95" s="134"/>
      <c r="HW95" s="134"/>
      <c r="HX95" s="134"/>
      <c r="HY95" s="134"/>
      <c r="HZ95" s="134"/>
      <c r="IA95" s="134"/>
      <c r="IB95" s="134"/>
      <c r="IC95" s="134"/>
      <c r="IE95" s="134"/>
      <c r="IF95" s="134"/>
      <c r="IG95" s="134"/>
      <c r="IH95" s="134"/>
      <c r="II95" s="134"/>
      <c r="IJ95" s="134"/>
      <c r="IK95" s="134"/>
      <c r="IL95" s="134"/>
      <c r="IM95" s="134"/>
      <c r="IN95" s="135"/>
      <c r="IO95" s="135"/>
      <c r="IP95" s="135"/>
    </row>
    <row r="96" spans="1:250 16370:16373" ht="23.25" customHeight="1" x14ac:dyDescent="0.25">
      <c r="A96" s="74">
        <f>IF($I96&gt;0,VLOOKUP(I96,'Lista de Precios'!$A$3:$L$2883,9,0),0)</f>
        <v>0</v>
      </c>
      <c r="B96" s="74">
        <f>IF($I96&gt;0,VLOOKUP(I96,'Lista de Precios'!$A$3:$H$2883,7,0),0)</f>
        <v>0</v>
      </c>
      <c r="C96" s="7" t="str">
        <f>IF($I96&gt;0,VLOOKUP(I96,'Lista de Precios'!$A$3:$H$2883,2,0),"")</f>
        <v/>
      </c>
      <c r="D96" s="7" t="str">
        <f>IF($I96&gt;0,VLOOKUP(I96,'Lista de Precios'!$A$3:$H$2883,3,0),"")</f>
        <v/>
      </c>
      <c r="E96" s="76" t="str">
        <f>IF($I96&gt;0,VLOOKUP(I96,'Lista de Precios'!$A$3:$H$2883,6,0),"")</f>
        <v/>
      </c>
      <c r="F96" s="76" t="str">
        <f>IF($I96&gt;0,VLOOKUP(I96,'Lista de Precios'!$A$3:$H$2883,8,0),"")</f>
        <v/>
      </c>
      <c r="G96" s="101" t="str">
        <f t="shared" si="14"/>
        <v/>
      </c>
      <c r="H96" s="20" t="s">
        <v>3</v>
      </c>
      <c r="I96" s="18"/>
      <c r="J96" s="28" t="str">
        <f t="shared" si="20"/>
        <v/>
      </c>
      <c r="K96" s="24">
        <f>+IF($I96&gt;0,VLOOKUP($I96,'Lista de Precios'!$A$3:$H$2883,5,0),0)</f>
        <v>0</v>
      </c>
      <c r="L96" s="37"/>
      <c r="M96" s="37"/>
      <c r="N96" s="37"/>
      <c r="O96" s="37"/>
      <c r="P96" s="40"/>
      <c r="Q96" s="39"/>
      <c r="R96" s="37"/>
      <c r="S96" s="37"/>
      <c r="T96" s="37"/>
      <c r="U96" s="37"/>
      <c r="V96" s="37"/>
      <c r="W96" s="37"/>
      <c r="X96" s="37"/>
      <c r="Y96" s="37"/>
      <c r="Z96" s="40"/>
      <c r="AA96" s="41"/>
      <c r="AB96" s="37"/>
      <c r="AC96" s="37"/>
      <c r="AD96" s="37"/>
      <c r="AE96" s="37"/>
      <c r="AF96" s="37"/>
      <c r="AG96" s="57"/>
      <c r="AH96" s="54"/>
      <c r="AI96" s="54"/>
      <c r="AJ96" s="54"/>
      <c r="AK96" s="54"/>
      <c r="AL96" s="54"/>
      <c r="AM96" s="73">
        <f t="shared" si="13"/>
        <v>0</v>
      </c>
      <c r="AN96" s="71" t="str">
        <f>+IF($I96&gt;0,VLOOKUP($I96,'Lista de Precios'!$A$3:$H$2883,4,0),"")</f>
        <v/>
      </c>
      <c r="AO96" s="68" t="str">
        <f t="shared" si="15"/>
        <v/>
      </c>
      <c r="AP96" s="7" t="str">
        <f>IF($I96&gt;0,VLOOKUP($I96,'Lista de Precios'!$A$3:$K$2883,10,0),"")</f>
        <v/>
      </c>
      <c r="AR96" s="7" t="str">
        <f>IF($I96&gt;0,VLOOKUP(I96,'Lista de Precios'!$A$3:$M$2883,13,0),"")</f>
        <v/>
      </c>
      <c r="HR96" s="134"/>
      <c r="HS96" s="134"/>
      <c r="HT96" s="134"/>
      <c r="HU96" s="134"/>
      <c r="HV96" s="134"/>
      <c r="HW96" s="134"/>
      <c r="HX96" s="134"/>
      <c r="HY96" s="134"/>
      <c r="HZ96" s="134"/>
      <c r="IA96" s="134"/>
      <c r="IB96" s="134"/>
      <c r="IC96" s="134"/>
      <c r="IE96" s="134"/>
      <c r="IF96" s="134"/>
      <c r="IG96" s="134"/>
      <c r="IH96" s="134"/>
      <c r="II96" s="134"/>
      <c r="IJ96" s="134"/>
      <c r="IK96" s="134"/>
      <c r="IL96" s="134"/>
      <c r="IM96" s="134"/>
      <c r="IN96" s="135"/>
      <c r="IO96" s="135"/>
      <c r="IP96" s="135"/>
    </row>
    <row r="97" spans="1:252" ht="23.25" customHeight="1" x14ac:dyDescent="0.25">
      <c r="A97" s="74">
        <f>IF($I97&gt;0,VLOOKUP(I97,'Lista de Precios'!$A$3:$L$2883,9,0),0)</f>
        <v>0</v>
      </c>
      <c r="B97" s="74">
        <f>IF($I97&gt;0,VLOOKUP(I97,'Lista de Precios'!$A$3:$H$2883,7,0),0)</f>
        <v>0</v>
      </c>
      <c r="C97" s="7" t="str">
        <f>IF($I97&gt;0,VLOOKUP(I97,'Lista de Precios'!$A$3:$H$2883,2,0),"")</f>
        <v/>
      </c>
      <c r="D97" s="7" t="str">
        <f>IF($I97&gt;0,VLOOKUP(I97,'Lista de Precios'!$A$3:$H$2883,3,0),"")</f>
        <v/>
      </c>
      <c r="E97" s="76" t="str">
        <f>IF($I97&gt;0,VLOOKUP(I97,'Lista de Precios'!$A$3:$H$2883,6,0),"")</f>
        <v/>
      </c>
      <c r="F97" s="76" t="str">
        <f>IF($I97&gt;0,VLOOKUP(I97,'Lista de Precios'!$A$3:$H$2883,8,0),"")</f>
        <v/>
      </c>
      <c r="G97" s="101" t="str">
        <f t="shared" si="14"/>
        <v/>
      </c>
      <c r="H97" s="20" t="s">
        <v>3</v>
      </c>
      <c r="I97" s="18"/>
      <c r="J97" s="28" t="str">
        <f t="shared" si="20"/>
        <v/>
      </c>
      <c r="K97" s="24">
        <f>+IF($I97&gt;0,VLOOKUP($I97,'Lista de Precios'!$A$3:$H$2883,5,0),0)</f>
        <v>0</v>
      </c>
      <c r="L97" s="37"/>
      <c r="M97" s="37"/>
      <c r="N97" s="37"/>
      <c r="O97" s="37"/>
      <c r="P97" s="40"/>
      <c r="Q97" s="39"/>
      <c r="R97" s="37"/>
      <c r="S97" s="37"/>
      <c r="T97" s="37"/>
      <c r="U97" s="37"/>
      <c r="V97" s="37"/>
      <c r="W97" s="37"/>
      <c r="X97" s="37"/>
      <c r="Y97" s="37"/>
      <c r="Z97" s="40"/>
      <c r="AA97" s="41"/>
      <c r="AB97" s="37"/>
      <c r="AC97" s="37"/>
      <c r="AD97" s="37"/>
      <c r="AE97" s="37"/>
      <c r="AF97" s="37"/>
      <c r="AG97" s="57"/>
      <c r="AH97" s="54"/>
      <c r="AI97" s="54"/>
      <c r="AJ97" s="42"/>
      <c r="AK97" s="42"/>
      <c r="AL97" s="42"/>
      <c r="AM97" s="73">
        <f t="shared" si="13"/>
        <v>0</v>
      </c>
      <c r="AN97" s="71" t="str">
        <f>+IF($I97&gt;0,VLOOKUP($I97,'Lista de Precios'!$A$3:$H$2883,4,0),"")</f>
        <v/>
      </c>
      <c r="AO97" s="68" t="str">
        <f t="shared" si="15"/>
        <v/>
      </c>
      <c r="AP97" s="7" t="str">
        <f>IF($I97&gt;0,VLOOKUP($I97,'Lista de Precios'!$A$3:$K$2883,10,0),"")</f>
        <v/>
      </c>
      <c r="AR97" s="7" t="str">
        <f>IF($I97&gt;0,VLOOKUP(I97,'Lista de Precios'!$A$3:$M$2883,13,0),"")</f>
        <v/>
      </c>
      <c r="HR97" s="134"/>
      <c r="HS97" s="134"/>
      <c r="HT97" s="134"/>
      <c r="HU97" s="134"/>
      <c r="HV97" s="134"/>
      <c r="HW97" s="134"/>
      <c r="HX97" s="134"/>
      <c r="HY97" s="134"/>
      <c r="HZ97" s="134"/>
      <c r="IA97" s="134"/>
      <c r="IB97" s="134"/>
      <c r="IC97" s="134"/>
      <c r="IE97" s="134"/>
      <c r="IF97" s="134"/>
      <c r="IG97" s="134"/>
      <c r="IH97" s="134"/>
      <c r="II97" s="134"/>
      <c r="IJ97" s="134"/>
      <c r="IK97" s="134"/>
      <c r="IL97" s="134"/>
      <c r="IM97" s="134"/>
      <c r="IN97" s="135"/>
      <c r="IO97" s="135"/>
      <c r="IP97" s="135"/>
    </row>
    <row r="98" spans="1:252" ht="23.25" customHeight="1" x14ac:dyDescent="0.25">
      <c r="A98" s="74">
        <f>IF($I98&gt;0,VLOOKUP(I98,'Lista de Precios'!$A$3:$L$2883,9,0),0)</f>
        <v>0</v>
      </c>
      <c r="B98" s="74">
        <f>IF($I98&gt;0,VLOOKUP(I98,'Lista de Precios'!$A$3:$H$2883,7,0),0)</f>
        <v>0</v>
      </c>
      <c r="C98" s="7" t="str">
        <f>IF($I98&gt;0,VLOOKUP(I98,'Lista de Precios'!$A$3:$H$2883,2,0),"")</f>
        <v/>
      </c>
      <c r="D98" s="7" t="str">
        <f>IF($I98&gt;0,VLOOKUP(I98,'Lista de Precios'!$A$3:$H$2883,3,0),"")</f>
        <v/>
      </c>
      <c r="E98" s="76" t="str">
        <f>IF($I98&gt;0,VLOOKUP(I98,'Lista de Precios'!$A$3:$H$2883,6,0),"")</f>
        <v/>
      </c>
      <c r="F98" s="76" t="str">
        <f>IF($I98&gt;0,VLOOKUP(I98,'Lista de Precios'!$A$3:$H$2883,8,0),"")</f>
        <v/>
      </c>
      <c r="G98" s="101" t="str">
        <f t="shared" si="14"/>
        <v/>
      </c>
      <c r="H98" s="20" t="s">
        <v>3</v>
      </c>
      <c r="I98" s="18"/>
      <c r="J98" s="28" t="str">
        <f t="shared" si="20"/>
        <v/>
      </c>
      <c r="K98" s="24">
        <f>+IF($I98&gt;0,VLOOKUP($I98,'Lista de Precios'!$A$3:$H$2883,5,0),0)</f>
        <v>0</v>
      </c>
      <c r="L98" s="37"/>
      <c r="M98" s="37"/>
      <c r="N98" s="37"/>
      <c r="O98" s="37"/>
      <c r="P98" s="40"/>
      <c r="Q98" s="39"/>
      <c r="R98" s="37"/>
      <c r="S98" s="37"/>
      <c r="T98" s="37"/>
      <c r="U98" s="37"/>
      <c r="V98" s="37"/>
      <c r="W98" s="37"/>
      <c r="X98" s="37"/>
      <c r="Y98" s="37"/>
      <c r="Z98" s="40"/>
      <c r="AA98" s="41"/>
      <c r="AB98" s="37"/>
      <c r="AC98" s="37"/>
      <c r="AD98" s="37"/>
      <c r="AE98" s="37"/>
      <c r="AF98" s="37"/>
      <c r="AG98" s="37"/>
      <c r="AH98" s="42"/>
      <c r="AI98" s="42"/>
      <c r="AJ98" s="43"/>
      <c r="AK98" s="43"/>
      <c r="AL98" s="43"/>
      <c r="AM98" s="73">
        <f t="shared" si="13"/>
        <v>0</v>
      </c>
      <c r="AN98" s="71" t="str">
        <f>+IF($I98&gt;0,VLOOKUP($I98,'Lista de Precios'!$A$3:$H$2883,4,0),"")</f>
        <v/>
      </c>
      <c r="AO98" s="68" t="str">
        <f t="shared" si="15"/>
        <v/>
      </c>
      <c r="AP98" s="7" t="str">
        <f>IF($I98&gt;0,VLOOKUP($I98,'Lista de Precios'!$A$3:$K$2883,10,0),"")</f>
        <v/>
      </c>
      <c r="AR98" s="7" t="str">
        <f>IF($I98&gt;0,VLOOKUP(I98,'Lista de Precios'!$A$3:$M$2883,13,0),"")</f>
        <v/>
      </c>
      <c r="HR98" s="134"/>
      <c r="HS98" s="134"/>
      <c r="HT98" s="134"/>
      <c r="HU98" s="134"/>
      <c r="HV98" s="134"/>
      <c r="HW98" s="134"/>
      <c r="HX98" s="134"/>
      <c r="HY98" s="134"/>
      <c r="HZ98" s="134"/>
      <c r="IA98" s="134"/>
      <c r="IB98" s="134"/>
      <c r="IC98" s="134"/>
      <c r="IE98" s="134"/>
      <c r="IF98" s="134"/>
      <c r="IG98" s="134"/>
      <c r="IH98" s="134"/>
      <c r="II98" s="134"/>
      <c r="IJ98" s="134"/>
      <c r="IK98" s="134"/>
      <c r="IL98" s="134"/>
      <c r="IM98" s="134"/>
      <c r="IN98" s="135"/>
      <c r="IO98" s="135"/>
      <c r="IP98" s="135"/>
    </row>
    <row r="99" spans="1:252" ht="23.25" customHeight="1" x14ac:dyDescent="0.25">
      <c r="A99" s="74">
        <f>IF($I99&gt;0,VLOOKUP(I99,'Lista de Precios'!$A$3:$L$2883,9,0),0)</f>
        <v>0</v>
      </c>
      <c r="B99" s="74">
        <f>IF($I99&gt;0,VLOOKUP(I99,'Lista de Precios'!$A$3:$H$2883,7,0),0)</f>
        <v>0</v>
      </c>
      <c r="C99" s="7" t="str">
        <f>IF($I99&gt;0,VLOOKUP(I99,'Lista de Precios'!$A$3:$H$2883,2,0),"")</f>
        <v/>
      </c>
      <c r="D99" s="7" t="str">
        <f>IF($I99&gt;0,VLOOKUP(I99,'Lista de Precios'!$A$3:$H$2883,3,0),"")</f>
        <v/>
      </c>
      <c r="E99" s="76" t="str">
        <f>IF($I99&gt;0,VLOOKUP(I99,'Lista de Precios'!$A$3:$H$2883,6,0),"")</f>
        <v/>
      </c>
      <c r="F99" s="76" t="str">
        <f>IF($I99&gt;0,VLOOKUP(I99,'Lista de Precios'!$A$3:$H$2883,8,0),"")</f>
        <v/>
      </c>
      <c r="G99" s="101" t="str">
        <f t="shared" si="14"/>
        <v/>
      </c>
      <c r="H99" s="20" t="s">
        <v>3</v>
      </c>
      <c r="I99" s="18"/>
      <c r="J99" s="28" t="str">
        <f t="shared" si="20"/>
        <v/>
      </c>
      <c r="K99" s="24">
        <f>+IF($I99&gt;0,VLOOKUP($I99,'Lista de Precios'!$A$3:$H$2883,5,0),0)</f>
        <v>0</v>
      </c>
      <c r="L99" s="36"/>
      <c r="M99" s="36"/>
      <c r="N99" s="36"/>
      <c r="O99" s="37"/>
      <c r="P99" s="38"/>
      <c r="Q99" s="39"/>
      <c r="R99" s="37"/>
      <c r="S99" s="37"/>
      <c r="T99" s="37"/>
      <c r="U99" s="37"/>
      <c r="V99" s="37"/>
      <c r="W99" s="37"/>
      <c r="X99" s="37"/>
      <c r="Y99" s="37"/>
      <c r="Z99" s="40"/>
      <c r="AA99" s="41"/>
      <c r="AB99" s="37"/>
      <c r="AC99" s="37"/>
      <c r="AD99" s="37"/>
      <c r="AE99" s="37"/>
      <c r="AF99" s="37"/>
      <c r="AG99" s="37"/>
      <c r="AH99" s="42"/>
      <c r="AI99" s="42"/>
      <c r="AJ99" s="43"/>
      <c r="AK99" s="43"/>
      <c r="AL99" s="43"/>
      <c r="AM99" s="73">
        <f t="shared" si="13"/>
        <v>0</v>
      </c>
      <c r="AN99" s="71" t="str">
        <f>+IF($I99&gt;0,VLOOKUP($I99,'Lista de Precios'!$A$3:$H$2883,4,0),"")</f>
        <v/>
      </c>
      <c r="AO99" s="68" t="str">
        <f t="shared" si="15"/>
        <v/>
      </c>
      <c r="AP99" s="7" t="str">
        <f>IF($I99&gt;0,VLOOKUP($I99,'Lista de Precios'!$A$3:$K$2883,10,0),"")</f>
        <v/>
      </c>
      <c r="AR99" s="7" t="str">
        <f>IF($I99&gt;0,VLOOKUP(I99,'Lista de Precios'!$A$3:$M$2883,13,0),"")</f>
        <v/>
      </c>
      <c r="HR99" s="134"/>
      <c r="HS99" s="134"/>
      <c r="HT99" s="134"/>
      <c r="HU99" s="134"/>
      <c r="HV99" s="134"/>
      <c r="HW99" s="134"/>
      <c r="HX99" s="134"/>
      <c r="HY99" s="134"/>
      <c r="HZ99" s="134"/>
      <c r="IA99" s="134"/>
      <c r="IB99" s="134"/>
      <c r="IC99" s="134"/>
      <c r="IE99" s="134"/>
      <c r="IF99" s="134"/>
      <c r="IG99" s="134"/>
      <c r="IH99" s="134"/>
      <c r="II99" s="134"/>
      <c r="IJ99" s="134"/>
      <c r="IK99" s="134"/>
      <c r="IL99" s="134"/>
      <c r="IM99" s="134"/>
      <c r="IN99" s="135"/>
      <c r="IO99" s="135"/>
      <c r="IP99" s="135"/>
    </row>
    <row r="100" spans="1:252" ht="23.25" customHeight="1" x14ac:dyDescent="0.25">
      <c r="A100" s="74">
        <f>IF($I100&gt;0,VLOOKUP(I100,'Lista de Precios'!$A$3:$L$2883,9,0),0)</f>
        <v>0</v>
      </c>
      <c r="B100" s="74">
        <f>IF($I100&gt;0,VLOOKUP(I100,'Lista de Precios'!$A$3:$H$2883,7,0),0)</f>
        <v>0</v>
      </c>
      <c r="C100" s="7" t="str">
        <f>IF($I100&gt;0,VLOOKUP(I100,'Lista de Precios'!$A$3:$H$2883,2,0),"")</f>
        <v/>
      </c>
      <c r="D100" s="7" t="str">
        <f>IF($I100&gt;0,VLOOKUP(I100,'Lista de Precios'!$A$3:$H$2883,3,0),"")</f>
        <v/>
      </c>
      <c r="E100" s="76" t="str">
        <f>IF($I100&gt;0,VLOOKUP(I100,'Lista de Precios'!$A$3:$H$2883,6,0),"")</f>
        <v/>
      </c>
      <c r="F100" s="76" t="str">
        <f>IF($I100&gt;0,VLOOKUP(I100,'Lista de Precios'!$A$3:$H$2883,8,0),"")</f>
        <v/>
      </c>
      <c r="G100" s="101" t="str">
        <f t="shared" si="14"/>
        <v/>
      </c>
      <c r="H100" s="20" t="s">
        <v>3</v>
      </c>
      <c r="I100" s="18"/>
      <c r="J100" s="28" t="str">
        <f t="shared" si="20"/>
        <v/>
      </c>
      <c r="K100" s="24">
        <f>+IF($I100&gt;0,VLOOKUP($I100,'Lista de Precios'!$A$3:$H$2883,5,0),0)</f>
        <v>0</v>
      </c>
      <c r="L100" s="37"/>
      <c r="M100" s="37"/>
      <c r="N100" s="37"/>
      <c r="O100" s="37"/>
      <c r="P100" s="40"/>
      <c r="Q100" s="39"/>
      <c r="R100" s="37"/>
      <c r="S100" s="37"/>
      <c r="T100" s="37"/>
      <c r="U100" s="37"/>
      <c r="V100" s="37"/>
      <c r="W100" s="37"/>
      <c r="X100" s="37"/>
      <c r="Y100" s="37"/>
      <c r="Z100" s="40"/>
      <c r="AA100" s="41"/>
      <c r="AB100" s="37"/>
      <c r="AC100" s="43"/>
      <c r="AD100" s="43"/>
      <c r="AE100" s="43"/>
      <c r="AF100" s="43"/>
      <c r="AG100" s="43"/>
      <c r="AH100" s="42"/>
      <c r="AI100" s="42"/>
      <c r="AJ100" s="42"/>
      <c r="AK100" s="42"/>
      <c r="AL100" s="43"/>
      <c r="AM100" s="73">
        <f t="shared" si="13"/>
        <v>0</v>
      </c>
      <c r="AN100" s="71" t="str">
        <f>+IF($I100&gt;0,VLOOKUP($I100,'Lista de Precios'!$A$3:$H$2883,4,0),"")</f>
        <v/>
      </c>
      <c r="AO100" s="68" t="str">
        <f t="shared" si="15"/>
        <v/>
      </c>
      <c r="AP100" s="7" t="str">
        <f>IF($I100&gt;0,VLOOKUP($I100,'Lista de Precios'!$A$3:$K$2883,10,0),"")</f>
        <v/>
      </c>
      <c r="AR100" s="7" t="str">
        <f>IF($I100&gt;0,VLOOKUP(I100,'Lista de Precios'!$A$3:$M$2883,13,0),"")</f>
        <v/>
      </c>
      <c r="HR100" s="134"/>
      <c r="HS100" s="134"/>
      <c r="HT100" s="134"/>
      <c r="HU100" s="134"/>
      <c r="HV100" s="134"/>
      <c r="HW100" s="134"/>
      <c r="HX100" s="134"/>
      <c r="HY100" s="134"/>
      <c r="HZ100" s="134"/>
      <c r="IA100" s="134"/>
      <c r="IB100" s="134"/>
      <c r="IC100" s="134"/>
      <c r="IE100" s="134"/>
      <c r="IF100" s="134"/>
      <c r="IG100" s="134"/>
      <c r="IH100" s="134"/>
      <c r="II100" s="134"/>
      <c r="IJ100" s="134"/>
      <c r="IK100" s="134"/>
      <c r="IL100" s="134"/>
      <c r="IM100" s="134"/>
      <c r="IN100" s="135"/>
      <c r="IO100" s="135"/>
      <c r="IP100" s="135"/>
    </row>
    <row r="101" spans="1:252" ht="23.25" customHeight="1" x14ac:dyDescent="0.25">
      <c r="A101" s="74">
        <f>IF($I101&gt;0,VLOOKUP(I101,'Lista de Precios'!$A$3:$L$2883,9,0),0)</f>
        <v>0</v>
      </c>
      <c r="B101" s="74">
        <f>IF($I101&gt;0,VLOOKUP(I101,'Lista de Precios'!$A$3:$H$2883,7,0),0)</f>
        <v>0</v>
      </c>
      <c r="C101" s="7" t="str">
        <f>IF($I101&gt;0,VLOOKUP(I101,'Lista de Precios'!$A$3:$H$2883,2,0),"")</f>
        <v/>
      </c>
      <c r="D101" s="7" t="str">
        <f>IF($I101&gt;0,VLOOKUP(I101,'Lista de Precios'!$A$3:$H$2883,3,0),"")</f>
        <v/>
      </c>
      <c r="E101" s="76" t="str">
        <f>IF($I101&gt;0,VLOOKUP(I101,'Lista de Precios'!$A$3:$H$2883,6,0),"")</f>
        <v/>
      </c>
      <c r="F101" s="76" t="str">
        <f>IF($I101&gt;0,VLOOKUP(I101,'Lista de Precios'!$A$3:$H$2883,8,0),"")</f>
        <v/>
      </c>
      <c r="G101" s="101" t="str">
        <f t="shared" si="14"/>
        <v/>
      </c>
      <c r="H101" s="20" t="s">
        <v>3</v>
      </c>
      <c r="I101" s="18"/>
      <c r="J101" s="28" t="str">
        <f t="shared" si="20"/>
        <v/>
      </c>
      <c r="K101" s="24">
        <f>+IF($I101&gt;0,VLOOKUP($I101,'Lista de Precios'!$A$3:$H$2883,5,0),0)</f>
        <v>0</v>
      </c>
      <c r="L101" s="36"/>
      <c r="M101" s="36"/>
      <c r="N101" s="36"/>
      <c r="O101" s="37"/>
      <c r="P101" s="38"/>
      <c r="Q101" s="45"/>
      <c r="R101" s="43"/>
      <c r="S101" s="43"/>
      <c r="T101" s="43"/>
      <c r="U101" s="43"/>
      <c r="V101" s="43"/>
      <c r="W101" s="43"/>
      <c r="X101" s="43"/>
      <c r="Y101" s="37"/>
      <c r="Z101" s="40"/>
      <c r="AA101" s="41"/>
      <c r="AB101" s="37"/>
      <c r="AC101" s="43"/>
      <c r="AD101" s="43"/>
      <c r="AE101" s="43"/>
      <c r="AF101" s="43"/>
      <c r="AG101" s="43"/>
      <c r="AH101" s="42"/>
      <c r="AI101" s="42"/>
      <c r="AJ101" s="42"/>
      <c r="AK101" s="42"/>
      <c r="AL101" s="43"/>
      <c r="AM101" s="73">
        <f t="shared" si="13"/>
        <v>0</v>
      </c>
      <c r="AN101" s="71" t="str">
        <f>+IF($I101&gt;0,VLOOKUP($I101,'Lista de Precios'!$A$3:$H$2883,4,0),"")</f>
        <v/>
      </c>
      <c r="AO101" s="68" t="str">
        <f t="shared" si="15"/>
        <v/>
      </c>
      <c r="AP101" s="7" t="str">
        <f>IF($I101&gt;0,VLOOKUP($I101,'Lista de Precios'!$A$3:$K$2883,10,0),"")</f>
        <v/>
      </c>
      <c r="AR101" s="7" t="str">
        <f>IF($I101&gt;0,VLOOKUP(I101,'Lista de Precios'!$A$3:$M$2883,13,0),"")</f>
        <v/>
      </c>
      <c r="HR101" s="134"/>
      <c r="HS101" s="134"/>
      <c r="HT101" s="134"/>
      <c r="HU101" s="134"/>
      <c r="HV101" s="134"/>
      <c r="HW101" s="134"/>
      <c r="HX101" s="134"/>
      <c r="HY101" s="134"/>
      <c r="HZ101" s="134"/>
      <c r="IA101" s="134"/>
      <c r="IB101" s="134"/>
      <c r="IC101" s="134"/>
      <c r="IE101" s="134"/>
      <c r="IF101" s="134"/>
      <c r="IG101" s="134"/>
      <c r="IH101" s="134"/>
      <c r="II101" s="134"/>
      <c r="IJ101" s="134"/>
      <c r="IK101" s="134"/>
      <c r="IL101" s="134"/>
      <c r="IM101" s="134"/>
      <c r="IN101" s="135"/>
      <c r="IO101" s="135"/>
      <c r="IP101" s="135"/>
    </row>
    <row r="102" spans="1:252" x14ac:dyDescent="0.2">
      <c r="C102" s="17"/>
      <c r="HT102" s="134"/>
      <c r="HU102" s="134"/>
      <c r="HV102" s="134"/>
      <c r="HW102" s="134"/>
      <c r="HX102" s="134"/>
      <c r="HY102" s="134"/>
      <c r="HZ102" s="134"/>
      <c r="IA102" s="134"/>
      <c r="IB102" s="134"/>
      <c r="IC102" s="134"/>
      <c r="ID102" s="134"/>
      <c r="IE102" s="134"/>
      <c r="IG102" s="134"/>
      <c r="IH102" s="134"/>
      <c r="II102" s="134"/>
      <c r="IJ102" s="134"/>
      <c r="IK102" s="134"/>
      <c r="IL102" s="134"/>
      <c r="IM102" s="134"/>
      <c r="IN102" s="134"/>
      <c r="IO102" s="134"/>
      <c r="IP102" s="134"/>
      <c r="IQ102" s="134"/>
      <c r="IR102" s="134"/>
    </row>
  </sheetData>
  <mergeCells count="6">
    <mergeCell ref="H12:I12"/>
    <mergeCell ref="D5:J5"/>
    <mergeCell ref="I7:Q8"/>
    <mergeCell ref="J9:K9"/>
    <mergeCell ref="M9:Q9"/>
    <mergeCell ref="H11:I11"/>
  </mergeCells>
  <conditionalFormatting sqref="A14:B20 A25:B27 A30:B101">
    <cfRule type="cellIs" dxfId="136" priority="51" stopIfTrue="1" operator="greaterThan">
      <formula>0</formula>
    </cfRule>
    <cfRule type="cellIs" dxfId="135" priority="52" stopIfTrue="1" operator="equal">
      <formula>0</formula>
    </cfRule>
    <cfRule type="cellIs" dxfId="134" priority="53" operator="greaterThan">
      <formula>0</formula>
    </cfRule>
    <cfRule type="cellIs" dxfId="133" priority="54" stopIfTrue="1" operator="greaterThan">
      <formula>0</formula>
    </cfRule>
    <cfRule type="cellIs" dxfId="132" priority="55" stopIfTrue="1" operator="equal">
      <formula>0</formula>
    </cfRule>
  </conditionalFormatting>
  <conditionalFormatting sqref="J14:J20 J25:J27 J30:J101">
    <cfRule type="cellIs" dxfId="131" priority="56" stopIfTrue="1" operator="lessThan">
      <formula>E14</formula>
    </cfRule>
  </conditionalFormatting>
  <conditionalFormatting sqref="A21:B21">
    <cfRule type="cellIs" dxfId="130" priority="32" stopIfTrue="1" operator="greaterThan">
      <formula>0</formula>
    </cfRule>
    <cfRule type="cellIs" dxfId="129" priority="33" stopIfTrue="1" operator="equal">
      <formula>0</formula>
    </cfRule>
    <cfRule type="cellIs" dxfId="128" priority="34" operator="greaterThan">
      <formula>0</formula>
    </cfRule>
    <cfRule type="cellIs" dxfId="127" priority="35" stopIfTrue="1" operator="greaterThan">
      <formula>0</formula>
    </cfRule>
    <cfRule type="cellIs" dxfId="126" priority="36" stopIfTrue="1" operator="equal">
      <formula>0</formula>
    </cfRule>
  </conditionalFormatting>
  <conditionalFormatting sqref="J21">
    <cfRule type="cellIs" dxfId="125" priority="31" stopIfTrue="1" operator="lessThan">
      <formula>E21</formula>
    </cfRule>
  </conditionalFormatting>
  <conditionalFormatting sqref="A22:B22">
    <cfRule type="cellIs" dxfId="124" priority="26" stopIfTrue="1" operator="greaterThan">
      <formula>0</formula>
    </cfRule>
    <cfRule type="cellIs" dxfId="123" priority="27" stopIfTrue="1" operator="equal">
      <formula>0</formula>
    </cfRule>
    <cfRule type="cellIs" dxfId="122" priority="28" operator="greaterThan">
      <formula>0</formula>
    </cfRule>
    <cfRule type="cellIs" dxfId="121" priority="29" stopIfTrue="1" operator="greaterThan">
      <formula>0</formula>
    </cfRule>
    <cfRule type="cellIs" dxfId="120" priority="30" stopIfTrue="1" operator="equal">
      <formula>0</formula>
    </cfRule>
  </conditionalFormatting>
  <conditionalFormatting sqref="J22">
    <cfRule type="cellIs" dxfId="119" priority="25" stopIfTrue="1" operator="lessThan">
      <formula>E22</formula>
    </cfRule>
  </conditionalFormatting>
  <conditionalFormatting sqref="A23:B23">
    <cfRule type="cellIs" dxfId="118" priority="20" stopIfTrue="1" operator="greaterThan">
      <formula>0</formula>
    </cfRule>
    <cfRule type="cellIs" dxfId="117" priority="21" stopIfTrue="1" operator="equal">
      <formula>0</formula>
    </cfRule>
    <cfRule type="cellIs" dxfId="116" priority="22" operator="greaterThan">
      <formula>0</formula>
    </cfRule>
    <cfRule type="cellIs" dxfId="115" priority="23" stopIfTrue="1" operator="greaterThan">
      <formula>0</formula>
    </cfRule>
    <cfRule type="cellIs" dxfId="114" priority="24" stopIfTrue="1" operator="equal">
      <formula>0</formula>
    </cfRule>
  </conditionalFormatting>
  <conditionalFormatting sqref="J23">
    <cfRule type="cellIs" dxfId="113" priority="19" stopIfTrue="1" operator="lessThan">
      <formula>E23</formula>
    </cfRule>
  </conditionalFormatting>
  <conditionalFormatting sqref="A24:B24">
    <cfRule type="cellIs" dxfId="112" priority="14" stopIfTrue="1" operator="greaterThan">
      <formula>0</formula>
    </cfRule>
    <cfRule type="cellIs" dxfId="111" priority="15" stopIfTrue="1" operator="equal">
      <formula>0</formula>
    </cfRule>
    <cfRule type="cellIs" dxfId="110" priority="16" operator="greaterThan">
      <formula>0</formula>
    </cfRule>
    <cfRule type="cellIs" dxfId="109" priority="17" stopIfTrue="1" operator="greaterThan">
      <formula>0</formula>
    </cfRule>
    <cfRule type="cellIs" dxfId="108" priority="18" stopIfTrue="1" operator="equal">
      <formula>0</formula>
    </cfRule>
  </conditionalFormatting>
  <conditionalFormatting sqref="J24">
    <cfRule type="cellIs" dxfId="107" priority="13" stopIfTrue="1" operator="lessThan">
      <formula>E24</formula>
    </cfRule>
  </conditionalFormatting>
  <conditionalFormatting sqref="A28:B28">
    <cfRule type="cellIs" dxfId="106" priority="8" stopIfTrue="1" operator="greaterThan">
      <formula>0</formula>
    </cfRule>
    <cfRule type="cellIs" dxfId="105" priority="9" stopIfTrue="1" operator="equal">
      <formula>0</formula>
    </cfRule>
    <cfRule type="cellIs" dxfId="104" priority="10" operator="greaterThan">
      <formula>0</formula>
    </cfRule>
    <cfRule type="cellIs" dxfId="103" priority="11" stopIfTrue="1" operator="greaterThan">
      <formula>0</formula>
    </cfRule>
    <cfRule type="cellIs" dxfId="102" priority="12" stopIfTrue="1" operator="equal">
      <formula>0</formula>
    </cfRule>
  </conditionalFormatting>
  <conditionalFormatting sqref="J28">
    <cfRule type="cellIs" dxfId="101" priority="7" stopIfTrue="1" operator="lessThan">
      <formula>E28</formula>
    </cfRule>
  </conditionalFormatting>
  <conditionalFormatting sqref="A29:B29">
    <cfRule type="cellIs" dxfId="100" priority="2" stopIfTrue="1" operator="greaterThan">
      <formula>0</formula>
    </cfRule>
    <cfRule type="cellIs" dxfId="99" priority="3" stopIfTrue="1" operator="equal">
      <formula>0</formula>
    </cfRule>
    <cfRule type="cellIs" dxfId="98" priority="4" operator="greaterThan">
      <formula>0</formula>
    </cfRule>
    <cfRule type="cellIs" dxfId="97" priority="5" stopIfTrue="1" operator="greaterThan">
      <formula>0</formula>
    </cfRule>
    <cfRule type="cellIs" dxfId="96" priority="6" stopIfTrue="1" operator="equal">
      <formula>0</formula>
    </cfRule>
  </conditionalFormatting>
  <conditionalFormatting sqref="J29">
    <cfRule type="cellIs" dxfId="95" priority="1" stopIfTrue="1" operator="lessThan">
      <formula>E29</formula>
    </cfRule>
  </conditionalFormatting>
  <printOptions horizontalCentered="1"/>
  <pageMargins left="0" right="0" top="0.39370078740157483" bottom="0.39370078740157483" header="0" footer="0"/>
  <pageSetup paperSize="5" scale="38" fitToHeight="2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/>
    <pageSetUpPr fitToPage="1"/>
  </sheetPr>
  <dimension ref="A1:XES100"/>
  <sheetViews>
    <sheetView showGridLines="0" zoomScale="60" zoomScaleNormal="60" workbookViewId="0">
      <pane xSplit="11" ySplit="13" topLeftCell="L14" activePane="bottomRight" state="frozen"/>
      <selection activeCell="I14" sqref="I14"/>
      <selection pane="topRight" activeCell="I14" sqref="I14"/>
      <selection pane="bottomLeft" activeCell="I14" sqref="I14"/>
      <selection pane="bottomRight" activeCell="I32" sqref="I32"/>
    </sheetView>
  </sheetViews>
  <sheetFormatPr baseColWidth="10" defaultColWidth="11.42578125" defaultRowHeight="12.75" x14ac:dyDescent="0.2"/>
  <cols>
    <col min="1" max="1" width="11.42578125" style="7"/>
    <col min="2" max="2" width="8.42578125" style="7" customWidth="1"/>
    <col min="3" max="3" width="40.7109375" style="7" customWidth="1"/>
    <col min="4" max="4" width="36" style="7" bestFit="1" customWidth="1"/>
    <col min="5" max="5" width="20.28515625" style="7" bestFit="1" customWidth="1"/>
    <col min="6" max="7" width="16.42578125" style="7" customWidth="1"/>
    <col min="8" max="8" width="3.42578125" style="7" customWidth="1"/>
    <col min="9" max="9" width="14" style="7" bestFit="1" customWidth="1"/>
    <col min="10" max="10" width="17.7109375" style="7" bestFit="1" customWidth="1"/>
    <col min="11" max="11" width="4.7109375" style="7" hidden="1" customWidth="1"/>
    <col min="12" max="39" width="7.28515625" style="7" customWidth="1"/>
    <col min="40" max="40" width="15.85546875" style="7" customWidth="1"/>
    <col min="41" max="41" width="29.140625" style="7" customWidth="1"/>
    <col min="42" max="42" width="12.7109375" style="7" hidden="1" customWidth="1"/>
    <col min="43" max="43" width="19.42578125" style="7" hidden="1" customWidth="1"/>
    <col min="44" max="44" width="11.42578125" style="7" hidden="1" customWidth="1"/>
    <col min="45" max="45" width="19.28515625" style="7" hidden="1" customWidth="1"/>
    <col min="46" max="16371" width="11.42578125" style="7"/>
    <col min="16372" max="16376" width="0" style="7" hidden="1" customWidth="1"/>
    <col min="16377" max="16384" width="11.42578125" style="7"/>
  </cols>
  <sheetData>
    <row r="1" spans="1:250 16370:16373" ht="27.75" customHeight="1" x14ac:dyDescent="0.2">
      <c r="B1" s="75"/>
      <c r="C1" s="84" t="str">
        <f>+'ENE 26'!$C$1</f>
        <v>NOTA DE PEDIDO - 1° SEMESTRE 2026 (Enero - Junio)</v>
      </c>
      <c r="D1" s="85"/>
      <c r="E1" s="85"/>
      <c r="F1" s="85"/>
      <c r="G1" s="85"/>
      <c r="H1" s="85"/>
      <c r="I1" s="85"/>
      <c r="J1" s="85"/>
    </row>
    <row r="2" spans="1:250 16370:16373" ht="6" customHeight="1" x14ac:dyDescent="0.2"/>
    <row r="3" spans="1:250 16370:16373" ht="20.25" x14ac:dyDescent="0.2">
      <c r="C3" s="31" t="s">
        <v>54</v>
      </c>
      <c r="D3" s="83" t="s">
        <v>2</v>
      </c>
      <c r="I3" s="32"/>
      <c r="J3" s="32"/>
    </row>
    <row r="4" spans="1:250 16370:16373" ht="6" customHeight="1" x14ac:dyDescent="0.2"/>
    <row r="5" spans="1:250 16370:16373" ht="23.25" x14ac:dyDescent="0.2">
      <c r="C5" s="31" t="s">
        <v>4</v>
      </c>
      <c r="D5" s="305" t="str">
        <f>+IF(D7="","",(VLOOKUP(D7,AUX!$A$1:$B$5610,2,FALSE)))</f>
        <v/>
      </c>
      <c r="E5" s="306"/>
      <c r="F5" s="306"/>
      <c r="G5" s="306"/>
      <c r="H5" s="306"/>
      <c r="I5" s="306"/>
      <c r="J5" s="307"/>
    </row>
    <row r="6" spans="1:250 16370:16373" ht="6" customHeight="1" thickBot="1" x14ac:dyDescent="0.25"/>
    <row r="7" spans="1:250 16370:16373" ht="23.25" x14ac:dyDescent="0.35">
      <c r="C7" s="31" t="s">
        <v>53</v>
      </c>
      <c r="D7" s="86"/>
      <c r="E7" s="33"/>
      <c r="F7" s="33"/>
      <c r="G7" s="33"/>
      <c r="H7" s="34"/>
      <c r="I7" s="314" t="s">
        <v>55</v>
      </c>
      <c r="J7" s="315"/>
      <c r="K7" s="315"/>
      <c r="L7" s="315"/>
      <c r="M7" s="315"/>
      <c r="N7" s="315"/>
      <c r="O7" s="315"/>
      <c r="P7" s="315"/>
      <c r="Q7" s="316"/>
    </row>
    <row r="8" spans="1:250 16370:16373" ht="6" customHeight="1" thickBot="1" x14ac:dyDescent="0.25">
      <c r="I8" s="317"/>
      <c r="J8" s="318"/>
      <c r="K8" s="318"/>
      <c r="L8" s="318"/>
      <c r="M8" s="318"/>
      <c r="N8" s="318"/>
      <c r="O8" s="318"/>
      <c r="P8" s="318"/>
      <c r="Q8" s="326"/>
    </row>
    <row r="9" spans="1:250 16370:16373" ht="27" customHeight="1" thickBot="1" x14ac:dyDescent="0.25">
      <c r="C9" s="31"/>
      <c r="D9" s="128" t="str">
        <f>+AUX!J7</f>
        <v>MAY 2026</v>
      </c>
      <c r="I9" s="35" t="s">
        <v>52</v>
      </c>
      <c r="J9" s="342">
        <f>+AM9</f>
        <v>392</v>
      </c>
      <c r="K9" s="343"/>
      <c r="L9" s="35" t="s">
        <v>35</v>
      </c>
      <c r="M9" s="344">
        <f>+AO9</f>
        <v>15989518.716577537</v>
      </c>
      <c r="N9" s="345"/>
      <c r="O9" s="345"/>
      <c r="P9" s="345"/>
      <c r="Q9" s="346"/>
      <c r="AM9" s="77">
        <f>SUM(AM14:AM100)</f>
        <v>392</v>
      </c>
      <c r="AN9" s="27"/>
      <c r="AO9" s="78">
        <f>SUM(AO14:AO100)</f>
        <v>15989518.716577537</v>
      </c>
    </row>
    <row r="10" spans="1:250 16370:16373" ht="6" customHeight="1" thickBot="1" x14ac:dyDescent="0.25"/>
    <row r="11" spans="1:250 16370:16373" ht="21" thickBot="1" x14ac:dyDescent="0.25">
      <c r="C11" s="1"/>
      <c r="D11" s="1"/>
      <c r="E11" s="1"/>
      <c r="F11" s="1"/>
      <c r="G11" s="1"/>
      <c r="H11" s="308" t="s">
        <v>6</v>
      </c>
      <c r="I11" s="309"/>
      <c r="J11" s="3" t="s">
        <v>51</v>
      </c>
      <c r="K11" s="4">
        <v>1</v>
      </c>
      <c r="L11" s="5" t="s">
        <v>7</v>
      </c>
      <c r="M11" s="6" t="s">
        <v>8</v>
      </c>
      <c r="N11" s="6" t="s">
        <v>9</v>
      </c>
      <c r="O11" s="6" t="s">
        <v>10</v>
      </c>
      <c r="P11" s="6" t="s">
        <v>11</v>
      </c>
      <c r="Q11" s="5" t="s">
        <v>12</v>
      </c>
      <c r="R11" s="6" t="s">
        <v>13</v>
      </c>
      <c r="S11" s="6" t="s">
        <v>14</v>
      </c>
      <c r="T11" s="6" t="s">
        <v>15</v>
      </c>
      <c r="U11" s="6" t="s">
        <v>16</v>
      </c>
      <c r="V11" s="6" t="s">
        <v>17</v>
      </c>
      <c r="W11" s="6" t="s">
        <v>18</v>
      </c>
      <c r="X11" s="6" t="s">
        <v>19</v>
      </c>
      <c r="Y11" s="6" t="s">
        <v>20</v>
      </c>
      <c r="Z11" s="6" t="s">
        <v>21</v>
      </c>
      <c r="AA11" s="5" t="s">
        <v>22</v>
      </c>
      <c r="AB11" s="6" t="s">
        <v>23</v>
      </c>
      <c r="AC11" s="6" t="s">
        <v>24</v>
      </c>
      <c r="AD11" s="6" t="s">
        <v>25</v>
      </c>
      <c r="AE11" s="6" t="s">
        <v>26</v>
      </c>
      <c r="AF11" s="6" t="s">
        <v>27</v>
      </c>
      <c r="AG11" s="6" t="s">
        <v>28</v>
      </c>
      <c r="AH11" s="6" t="s">
        <v>29</v>
      </c>
      <c r="AI11" s="6" t="s">
        <v>30</v>
      </c>
      <c r="AJ11" s="6" t="s">
        <v>31</v>
      </c>
      <c r="AK11" s="6" t="s">
        <v>32</v>
      </c>
      <c r="AL11" s="6" t="s">
        <v>33</v>
      </c>
      <c r="AM11" s="81" t="s">
        <v>34</v>
      </c>
      <c r="AN11" s="2" t="s">
        <v>5</v>
      </c>
      <c r="AO11" s="79" t="s">
        <v>35</v>
      </c>
    </row>
    <row r="12" spans="1:250 16370:16373" ht="21" thickBot="1" x14ac:dyDescent="0.25">
      <c r="H12" s="310" t="s">
        <v>37</v>
      </c>
      <c r="I12" s="311"/>
      <c r="J12" s="9" t="s">
        <v>670</v>
      </c>
      <c r="K12" s="10">
        <v>2</v>
      </c>
      <c r="L12" s="226"/>
      <c r="M12" s="189"/>
      <c r="N12" s="189"/>
      <c r="O12" s="189"/>
      <c r="P12" s="189"/>
      <c r="Q12" s="95"/>
      <c r="R12" s="189"/>
      <c r="S12" s="189"/>
      <c r="T12" s="189"/>
      <c r="U12" s="227"/>
      <c r="V12" s="189"/>
      <c r="W12" s="189"/>
      <c r="X12" s="189"/>
      <c r="Y12" s="189"/>
      <c r="Z12" s="228"/>
      <c r="AA12" s="229"/>
      <c r="AB12" s="189"/>
      <c r="AC12" s="189"/>
      <c r="AD12" s="189"/>
      <c r="AE12" s="189"/>
      <c r="AF12" s="230"/>
      <c r="AG12" s="230"/>
      <c r="AH12" s="230"/>
      <c r="AI12" s="231"/>
      <c r="AJ12" s="95"/>
      <c r="AK12" s="230"/>
      <c r="AL12" s="230"/>
      <c r="AM12" s="82" t="s">
        <v>38</v>
      </c>
      <c r="AN12" s="8" t="s">
        <v>36</v>
      </c>
      <c r="AO12" s="80" t="s">
        <v>38</v>
      </c>
      <c r="HR12" s="123"/>
      <c r="HS12" s="123"/>
      <c r="HT12" s="123"/>
      <c r="HU12" s="123"/>
      <c r="HV12" s="123"/>
      <c r="HW12" s="123"/>
      <c r="HX12" s="123"/>
      <c r="HY12" s="123"/>
      <c r="HZ12" s="123"/>
      <c r="IA12" s="123"/>
      <c r="IB12" s="123"/>
      <c r="IC12" s="123"/>
      <c r="IE12" s="123"/>
      <c r="IF12" s="123"/>
      <c r="IG12" s="123"/>
      <c r="IH12" s="123"/>
      <c r="II12" s="123"/>
      <c r="IJ12" s="123"/>
      <c r="IK12" s="123"/>
      <c r="IL12" s="123"/>
      <c r="IM12" s="123"/>
      <c r="IN12" s="123"/>
      <c r="IO12" s="123"/>
      <c r="IP12" s="123"/>
      <c r="XEP12" s="7">
        <f>+SUM(XEP14:XEP93)</f>
        <v>66</v>
      </c>
      <c r="XEQ12" s="7">
        <f t="shared" ref="XEQ12:XES12" si="0">+SUM(XEQ14:XEQ93)</f>
        <v>0</v>
      </c>
      <c r="XER12" s="7">
        <f t="shared" si="0"/>
        <v>0</v>
      </c>
      <c r="XES12" s="7">
        <f t="shared" si="0"/>
        <v>46</v>
      </c>
    </row>
    <row r="13" spans="1:250 16370:16373" ht="21" thickBot="1" x14ac:dyDescent="0.25">
      <c r="A13" s="75" t="s">
        <v>437</v>
      </c>
      <c r="B13" s="75"/>
      <c r="C13" s="75" t="s">
        <v>39</v>
      </c>
      <c r="D13" s="75" t="s">
        <v>40</v>
      </c>
      <c r="E13" s="75" t="s">
        <v>56</v>
      </c>
      <c r="F13" s="75" t="s">
        <v>373</v>
      </c>
      <c r="G13" s="75" t="s">
        <v>380</v>
      </c>
      <c r="H13" s="12"/>
      <c r="I13" s="13"/>
      <c r="J13" s="23"/>
      <c r="K13" s="14"/>
      <c r="L13" s="270"/>
      <c r="M13" s="271"/>
      <c r="N13" s="95"/>
      <c r="O13" s="96"/>
      <c r="P13" s="97"/>
      <c r="Q13" s="98"/>
      <c r="R13" s="95"/>
      <c r="S13" s="95"/>
      <c r="T13" s="95"/>
      <c r="U13" s="95"/>
      <c r="V13" s="95"/>
      <c r="W13" s="95"/>
      <c r="X13" s="95"/>
      <c r="Y13" s="96"/>
      <c r="Z13" s="97"/>
      <c r="AA13" s="99"/>
      <c r="AB13" s="95"/>
      <c r="AC13" s="95"/>
      <c r="AD13" s="95"/>
      <c r="AE13" s="95"/>
      <c r="AF13" s="95"/>
      <c r="AG13" s="95"/>
      <c r="AH13" s="95"/>
      <c r="AI13" s="100"/>
      <c r="AJ13" s="95"/>
      <c r="AK13" s="95"/>
      <c r="AL13" s="95"/>
      <c r="AM13" s="15"/>
      <c r="AN13" s="11"/>
      <c r="AO13" s="16"/>
      <c r="AP13" s="75" t="s">
        <v>442</v>
      </c>
      <c r="AQ13" s="75" t="s">
        <v>616</v>
      </c>
      <c r="IA13" s="123"/>
      <c r="IB13" s="123"/>
      <c r="IC13" s="123"/>
      <c r="IN13" s="123"/>
      <c r="IO13" s="123"/>
      <c r="IP13" s="123"/>
      <c r="XEP13" s="7" t="s">
        <v>451</v>
      </c>
      <c r="XEQ13" s="7" t="s">
        <v>617</v>
      </c>
      <c r="XER13" s="7" t="s">
        <v>618</v>
      </c>
      <c r="XES13" s="7" t="s">
        <v>453</v>
      </c>
    </row>
    <row r="14" spans="1:250 16370:16373" ht="23.25" customHeight="1" x14ac:dyDescent="0.25">
      <c r="A14" s="104" t="str">
        <f>IF($I14&gt;0,VLOOKUP(I14,'Lista de Precios'!$A$3:$L$2883,9,0),0)</f>
        <v>Hombre</v>
      </c>
      <c r="B14" s="74" t="str">
        <f>IF($I14&gt;0,VLOOKUP(I14,'Lista de Precios'!$A$3:$H$2883,7,0),0)</f>
        <v>LANZ</v>
      </c>
      <c r="C14" s="7" t="str">
        <f>IF($I14&gt;0,VLOOKUP(I14,'Lista de Precios'!$A$3:$H$2883,2,0),"")</f>
        <v>STRONG PACE 4</v>
      </c>
      <c r="D14" s="7" t="str">
        <f>IF($I14&gt;0,VLOOKUP($I14,'Lista de Precios'!$A$3:$H$2883,3,0),"")</f>
        <v>NEGRO/BLANCO</v>
      </c>
      <c r="E14" s="76" t="str">
        <f>IF($I14&gt;0,VLOOKUP(I14,'Lista de Precios'!$A$3:$H$2883,6,0),"")</f>
        <v>MARZO</v>
      </c>
      <c r="F14" s="76" t="str">
        <f>IF($I14&gt;0,VLOOKUP(I14,'Lista de Precios'!$A$3:$H$2883,8,0),"")</f>
        <v>35 AL 46</v>
      </c>
      <c r="G14" s="101">
        <f>IF(AN14="","",AN14*1.87)</f>
        <v>62899.999999999993</v>
      </c>
      <c r="H14" s="19" t="s">
        <v>3</v>
      </c>
      <c r="I14" s="18">
        <v>27352</v>
      </c>
      <c r="J14" s="28" t="str">
        <f t="shared" ref="J14:J23" si="1">+E14</f>
        <v>MARZO</v>
      </c>
      <c r="K14" s="24"/>
      <c r="L14" s="36"/>
      <c r="M14" s="36"/>
      <c r="N14" s="36"/>
      <c r="O14" s="37"/>
      <c r="P14" s="38"/>
      <c r="Q14" s="39"/>
      <c r="R14" s="37"/>
      <c r="S14" s="37"/>
      <c r="T14" s="37"/>
      <c r="U14" s="37"/>
      <c r="V14" s="37"/>
      <c r="W14" s="37"/>
      <c r="X14" s="37"/>
      <c r="Y14" s="37"/>
      <c r="Z14" s="40"/>
      <c r="AA14" s="41"/>
      <c r="AB14" s="37"/>
      <c r="AC14" s="37">
        <v>4</v>
      </c>
      <c r="AD14" s="37">
        <v>4</v>
      </c>
      <c r="AE14" s="37">
        <v>6</v>
      </c>
      <c r="AF14" s="37">
        <v>6</v>
      </c>
      <c r="AG14" s="37">
        <v>4</v>
      </c>
      <c r="AH14" s="36">
        <v>6</v>
      </c>
      <c r="AI14" s="36">
        <v>4</v>
      </c>
      <c r="AJ14" s="43">
        <v>4</v>
      </c>
      <c r="AK14" s="43">
        <v>2</v>
      </c>
      <c r="AL14" s="43">
        <v>2</v>
      </c>
      <c r="AM14" s="73">
        <f t="shared" ref="AM14:AM45" si="2">+IF(I14&gt;0,SUM(L14:AL14),0)</f>
        <v>42</v>
      </c>
      <c r="AN14" s="70">
        <f>+IF($I14&gt;0,VLOOKUP($I14,'Lista de Precios'!$A$3:$H$2883,4,0),"")</f>
        <v>33636.363636363632</v>
      </c>
      <c r="AO14" s="67">
        <f>+IF(AM14&gt;0,AN14*AM14,"")</f>
        <v>1412727.2727272725</v>
      </c>
      <c r="AP14" s="7" t="str">
        <f>IF($I14&gt;0,VLOOKUP($I14,'Lista de Precios'!$A$3:$K$2883,10,0),"")</f>
        <v>Training</v>
      </c>
      <c r="AQ14" s="7" t="str">
        <f>IF($I14&gt;0,VLOOKUP($I14,'Lista de Precios'!$A$3:$M$4893,13,0),"")</f>
        <v>Running+Training</v>
      </c>
      <c r="AR14" s="7" t="str">
        <f>IF($I14&gt;0,VLOOKUP(I14,'Lista de Precios'!$A$3:$M$2883,13,0),"")</f>
        <v>Running+Training</v>
      </c>
      <c r="HR14" s="134"/>
      <c r="HS14" s="134"/>
      <c r="HT14" s="134"/>
      <c r="HU14" s="134"/>
      <c r="HV14" s="134"/>
      <c r="HW14" s="134"/>
      <c r="HX14" s="134"/>
      <c r="HY14" s="134"/>
      <c r="HZ14" s="134"/>
      <c r="IA14" s="134"/>
      <c r="IB14" s="134"/>
      <c r="IC14" s="134"/>
      <c r="IE14" s="134"/>
      <c r="IF14" s="134"/>
      <c r="IG14" s="134"/>
      <c r="IH14" s="134"/>
      <c r="II14" s="134"/>
      <c r="IJ14" s="134"/>
      <c r="IK14" s="134"/>
      <c r="IL14" s="134"/>
      <c r="IM14" s="134"/>
      <c r="IN14" s="135"/>
      <c r="IO14" s="135"/>
      <c r="IP14" s="135"/>
      <c r="XEP14" s="7" t="str">
        <f>+IF($AQ14=$XEP$13,$AM14,"")</f>
        <v/>
      </c>
      <c r="XEQ14" s="7" t="str">
        <f>+IF($AQ14=$XEQ$13,$AM14,"")</f>
        <v/>
      </c>
      <c r="XER14" s="7" t="str">
        <f>+IF($AQ14=$XER$13,$AM14,"")</f>
        <v/>
      </c>
      <c r="XES14" s="7" t="str">
        <f>+IF($AQ14=$XES$13,$AM14,"")</f>
        <v/>
      </c>
    </row>
    <row r="15" spans="1:250 16370:16373" ht="23.25" customHeight="1" x14ac:dyDescent="0.25">
      <c r="A15" s="74" t="str">
        <f>IF($I15&gt;0,VLOOKUP(I15,'Lista de Precios'!$A$3:$L$2883,9,0),0)</f>
        <v>Mujer</v>
      </c>
      <c r="B15" s="74" t="str">
        <f>IF($I15&gt;0,VLOOKUP(I15,'Lista de Precios'!$A$3:$H$2883,7,0),0)</f>
        <v>LANZ</v>
      </c>
      <c r="C15" s="7" t="str">
        <f>IF($I15&gt;0,VLOOKUP(I15,'Lista de Precios'!$A$3:$H$2883,2,0),"")</f>
        <v>STRONG PACE 4</v>
      </c>
      <c r="D15" s="7" t="str">
        <f>IF($I15&gt;0,VLOOKUP(I15,'Lista de Precios'!$A$3:$H$2883,3,0),"")</f>
        <v>GRIS PE/ROSA PEONY</v>
      </c>
      <c r="E15" s="76" t="str">
        <f>IF($I15&gt;0,VLOOKUP(I15,'Lista de Precios'!$A$3:$H$2883,6,0),"")</f>
        <v>MARZO</v>
      </c>
      <c r="F15" s="76" t="str">
        <f>IF($I15&gt;0,VLOOKUP(I15,'Lista de Precios'!$A$3:$H$2883,8,0),"")</f>
        <v>35 AL 40</v>
      </c>
      <c r="G15" s="101">
        <f t="shared" ref="G15:G78" si="3">IF(AN15="","",AN15*1.87)</f>
        <v>62899.999999999993</v>
      </c>
      <c r="H15" s="20" t="s">
        <v>3</v>
      </c>
      <c r="I15" s="18">
        <v>27354</v>
      </c>
      <c r="J15" s="28" t="str">
        <f t="shared" si="1"/>
        <v>MARZO</v>
      </c>
      <c r="K15" s="24"/>
      <c r="L15" s="36"/>
      <c r="M15" s="36"/>
      <c r="N15" s="36"/>
      <c r="O15" s="37"/>
      <c r="P15" s="38"/>
      <c r="Q15" s="39"/>
      <c r="R15" s="37"/>
      <c r="S15" s="37"/>
      <c r="T15" s="37"/>
      <c r="U15" s="37"/>
      <c r="V15" s="37"/>
      <c r="W15" s="37"/>
      <c r="X15" s="37"/>
      <c r="Y15" s="37"/>
      <c r="Z15" s="40"/>
      <c r="AA15" s="41"/>
      <c r="AB15" s="37"/>
      <c r="AC15" s="37">
        <v>4</v>
      </c>
      <c r="AD15" s="37">
        <v>8</v>
      </c>
      <c r="AE15" s="37">
        <v>8</v>
      </c>
      <c r="AF15" s="37"/>
      <c r="AG15" s="37"/>
      <c r="AH15" s="36"/>
      <c r="AI15" s="36"/>
      <c r="AJ15" s="43"/>
      <c r="AK15" s="43"/>
      <c r="AL15" s="43"/>
      <c r="AM15" s="73">
        <f t="shared" si="2"/>
        <v>20</v>
      </c>
      <c r="AN15" s="71">
        <f>+IF($I15&gt;0,VLOOKUP($I15,'Lista de Precios'!$A$3:$H$2883,4,0),"")</f>
        <v>33636.363636363632</v>
      </c>
      <c r="AO15" s="68">
        <f t="shared" ref="AO15:AO78" si="4">+IF(AM15&gt;0,AN15*AM15,"")</f>
        <v>672727.27272727271</v>
      </c>
      <c r="AP15" s="7" t="str">
        <f>IF($I15&gt;0,VLOOKUP($I15,'Lista de Precios'!$A$3:$K$2883,10,0),"")</f>
        <v>Training</v>
      </c>
      <c r="AQ15" s="7" t="str">
        <f>IF($I15&gt;0,VLOOKUP($I15,'Lista de Precios'!$A$3:$M$4893,13,0),"")</f>
        <v>Running+Training</v>
      </c>
      <c r="AR15" s="7" t="str">
        <f>IF($I15&gt;0,VLOOKUP(I15,'Lista de Precios'!$A$3:$M$2883,13,0),"")</f>
        <v>Running+Training</v>
      </c>
      <c r="HR15" s="134"/>
      <c r="HS15" s="134"/>
      <c r="HT15" s="134"/>
      <c r="HU15" s="134"/>
      <c r="HV15" s="134"/>
      <c r="HW15" s="134"/>
      <c r="HX15" s="134"/>
      <c r="HY15" s="134"/>
      <c r="HZ15" s="134"/>
      <c r="IA15" s="134"/>
      <c r="IB15" s="134"/>
      <c r="IC15" s="134"/>
      <c r="IE15" s="134"/>
      <c r="IF15" s="134"/>
      <c r="IG15" s="134"/>
      <c r="IH15" s="134"/>
      <c r="II15" s="134"/>
      <c r="IJ15" s="134"/>
      <c r="IK15" s="134"/>
      <c r="IL15" s="134"/>
      <c r="IM15" s="134"/>
      <c r="IN15" s="135"/>
      <c r="IO15" s="135"/>
      <c r="IP15" s="135"/>
      <c r="XEP15" s="7" t="str">
        <f t="shared" ref="XEP15:XEP78" si="5">+IF($AQ15=$XEP$13,$AM15,"")</f>
        <v/>
      </c>
      <c r="XEQ15" s="7" t="str">
        <f t="shared" ref="XEQ15:XEQ78" si="6">+IF($AQ15=$XEQ$13,$AM15,"")</f>
        <v/>
      </c>
      <c r="XER15" s="7" t="str">
        <f t="shared" ref="XER15:XER78" si="7">+IF($AQ15=$XER$13,$AM15,"")</f>
        <v/>
      </c>
      <c r="XES15" s="7" t="str">
        <f t="shared" ref="XES15:XES78" si="8">+IF($AQ15=$XES$13,$AM15,"")</f>
        <v/>
      </c>
    </row>
    <row r="16" spans="1:250 16370:16373" ht="23.25" customHeight="1" x14ac:dyDescent="0.25">
      <c r="A16" s="74">
        <f>IF($I16&gt;0,VLOOKUP(I16,'Lista de Precios'!$A$3:$L$2883,9,0),0)</f>
        <v>0</v>
      </c>
      <c r="B16" s="74">
        <f>IF($I16&gt;0,VLOOKUP(I16,'Lista de Precios'!$A$3:$H$2883,7,0),0)</f>
        <v>0</v>
      </c>
      <c r="C16" s="7" t="str">
        <f>IF($I16&gt;0,VLOOKUP(I16,'Lista de Precios'!$A$3:$H$2883,2,0),"")</f>
        <v/>
      </c>
      <c r="D16" s="7" t="str">
        <f>IF($I16&gt;0,VLOOKUP(I16,'Lista de Precios'!$A$3:$H$2883,3,0),"")</f>
        <v/>
      </c>
      <c r="E16" s="76" t="str">
        <f>IF($I16&gt;0,VLOOKUP(I16,'Lista de Precios'!$A$3:$H$2883,6,0),"")</f>
        <v/>
      </c>
      <c r="F16" s="76" t="str">
        <f>IF($I16&gt;0,VLOOKUP(I16,'Lista de Precios'!$A$3:$H$2883,8,0),"")</f>
        <v/>
      </c>
      <c r="G16" s="101" t="str">
        <f t="shared" si="3"/>
        <v/>
      </c>
      <c r="H16" s="20" t="s">
        <v>3</v>
      </c>
      <c r="I16" s="18"/>
      <c r="J16" s="28" t="str">
        <f t="shared" si="1"/>
        <v/>
      </c>
      <c r="K16" s="24"/>
      <c r="L16" s="36"/>
      <c r="M16" s="36"/>
      <c r="N16" s="36"/>
      <c r="O16" s="37"/>
      <c r="P16" s="38"/>
      <c r="Q16" s="39"/>
      <c r="R16" s="37"/>
      <c r="S16" s="37"/>
      <c r="T16" s="37"/>
      <c r="U16" s="37"/>
      <c r="V16" s="37"/>
      <c r="W16" s="37"/>
      <c r="X16" s="37"/>
      <c r="Y16" s="37"/>
      <c r="Z16" s="40"/>
      <c r="AA16" s="41"/>
      <c r="AB16" s="37"/>
      <c r="AC16" s="37"/>
      <c r="AD16" s="37"/>
      <c r="AE16" s="37"/>
      <c r="AF16" s="37"/>
      <c r="AG16" s="37"/>
      <c r="AH16" s="36"/>
      <c r="AI16" s="36"/>
      <c r="AJ16" s="43"/>
      <c r="AK16" s="43"/>
      <c r="AL16" s="43"/>
      <c r="AM16" s="73">
        <f t="shared" si="2"/>
        <v>0</v>
      </c>
      <c r="AN16" s="71" t="str">
        <f>+IF($I16&gt;0,VLOOKUP($I16,'Lista de Precios'!$A$3:$H$2883,4,0),"")</f>
        <v/>
      </c>
      <c r="AO16" s="68" t="str">
        <f t="shared" si="4"/>
        <v/>
      </c>
      <c r="AP16" s="7" t="str">
        <f>IF($I16&gt;0,VLOOKUP($I16,'Lista de Precios'!$A$3:$K$2883,10,0),"")</f>
        <v/>
      </c>
      <c r="AQ16" s="7" t="str">
        <f>IF($I16&gt;0,VLOOKUP($I16,'Lista de Precios'!$A$3:$M$4893,13,0),"")</f>
        <v/>
      </c>
      <c r="AR16" s="7" t="str">
        <f>IF($I16&gt;0,VLOOKUP(I16,'Lista de Precios'!$A$3:$M$2883,13,0),"")</f>
        <v/>
      </c>
      <c r="HR16" s="134"/>
      <c r="HS16" s="134"/>
      <c r="HT16" s="134"/>
      <c r="HU16" s="134"/>
      <c r="HV16" s="134"/>
      <c r="HW16" s="134"/>
      <c r="HX16" s="134"/>
      <c r="HY16" s="134"/>
      <c r="HZ16" s="134"/>
      <c r="IA16" s="134"/>
      <c r="IB16" s="134"/>
      <c r="IC16" s="134"/>
      <c r="IE16" s="134"/>
      <c r="IF16" s="134"/>
      <c r="IG16" s="134"/>
      <c r="IH16" s="134"/>
      <c r="II16" s="134"/>
      <c r="IJ16" s="134"/>
      <c r="IK16" s="134"/>
      <c r="IL16" s="134"/>
      <c r="IM16" s="134"/>
      <c r="IN16" s="135"/>
      <c r="IO16" s="135"/>
      <c r="IP16" s="135"/>
      <c r="XEP16" s="7" t="str">
        <f t="shared" si="5"/>
        <v/>
      </c>
      <c r="XEQ16" s="7" t="str">
        <f t="shared" si="6"/>
        <v/>
      </c>
      <c r="XER16" s="7" t="str">
        <f t="shared" si="7"/>
        <v/>
      </c>
      <c r="XES16" s="7" t="str">
        <f t="shared" si="8"/>
        <v/>
      </c>
    </row>
    <row r="17" spans="1:250 16369:16373" ht="23.25" customHeight="1" x14ac:dyDescent="0.25">
      <c r="A17" s="74" t="str">
        <f>IF($I17&gt;0,VLOOKUP(I17,'Lista de Precios'!$A$3:$L$2883,9,0),0)</f>
        <v>Hombre</v>
      </c>
      <c r="B17" s="74" t="str">
        <f>IF($I17&gt;0,VLOOKUP(I17,'Lista de Precios'!$A$3:$H$2883,7,0),0)</f>
        <v>CONT</v>
      </c>
      <c r="C17" s="7" t="str">
        <f>IF($I17&gt;0,VLOOKUP(I17,'Lista de Precios'!$A$3:$H$2883,2,0),"")</f>
        <v>GROVE HIGH</v>
      </c>
      <c r="D17" s="7" t="str">
        <f>IF($I17&gt;0,VLOOKUP(I17,'Lista de Precios'!$A$3:$H$2883,3,0),"")</f>
        <v>NEGRO/GRIS MAGNET</v>
      </c>
      <c r="E17" s="76" t="str">
        <f>IF($I17&gt;0,VLOOKUP(I17,'Lista de Precios'!$A$3:$H$2883,6,0),"")</f>
        <v>MARZO</v>
      </c>
      <c r="F17" s="76" t="str">
        <f>IF($I17&gt;0,VLOOKUP(I17,'Lista de Precios'!$A$3:$H$2883,8,0),"")</f>
        <v>35 AL 45</v>
      </c>
      <c r="G17" s="101">
        <f t="shared" si="3"/>
        <v>95900</v>
      </c>
      <c r="H17" s="20" t="s">
        <v>3</v>
      </c>
      <c r="I17" s="18">
        <v>50240</v>
      </c>
      <c r="J17" s="28" t="str">
        <f t="shared" si="1"/>
        <v>MARZO</v>
      </c>
      <c r="K17" s="24"/>
      <c r="L17" s="36"/>
      <c r="M17" s="36"/>
      <c r="N17" s="36"/>
      <c r="O17" s="37"/>
      <c r="P17" s="38"/>
      <c r="Q17" s="39"/>
      <c r="R17" s="37"/>
      <c r="S17" s="37"/>
      <c r="T17" s="37"/>
      <c r="U17" s="37"/>
      <c r="V17" s="37"/>
      <c r="W17" s="37"/>
      <c r="X17" s="37"/>
      <c r="Y17" s="37"/>
      <c r="Z17" s="40"/>
      <c r="AA17" s="41"/>
      <c r="AB17" s="37"/>
      <c r="AC17" s="37"/>
      <c r="AD17" s="37"/>
      <c r="AE17" s="37">
        <v>4</v>
      </c>
      <c r="AF17" s="37">
        <v>4</v>
      </c>
      <c r="AG17" s="37">
        <v>6</v>
      </c>
      <c r="AH17" s="36">
        <v>6</v>
      </c>
      <c r="AI17" s="36"/>
      <c r="AJ17" s="43"/>
      <c r="AK17" s="43">
        <v>2</v>
      </c>
      <c r="AL17" s="43"/>
      <c r="AM17" s="73">
        <f t="shared" si="2"/>
        <v>22</v>
      </c>
      <c r="AN17" s="71">
        <f>+IF($I17&gt;0,VLOOKUP($I17,'Lista de Precios'!$A$3:$H$2883,4,0),"")</f>
        <v>51283.422459893045</v>
      </c>
      <c r="AO17" s="68">
        <f t="shared" si="4"/>
        <v>1128235.294117647</v>
      </c>
      <c r="AP17" s="7" t="str">
        <f>IF($I17&gt;0,VLOOKUP($I17,'Lista de Precios'!$A$3:$K$2883,10,0),"")</f>
        <v>Outdoor</v>
      </c>
      <c r="AQ17" s="7" t="str">
        <f>IF($I17&gt;0,VLOOKUP($I17,'Lista de Precios'!$A$3:$M$4893,13,0),"")</f>
        <v>Multideporte</v>
      </c>
      <c r="AR17" s="7" t="str">
        <f>IF($I17&gt;0,VLOOKUP(I17,'Lista de Precios'!$A$3:$M$2883,13,0),"")</f>
        <v>Multideporte</v>
      </c>
      <c r="HR17" s="134"/>
      <c r="HS17" s="134"/>
      <c r="HT17" s="134"/>
      <c r="HU17" s="134"/>
      <c r="HV17" s="134"/>
      <c r="HW17" s="134"/>
      <c r="HX17" s="134"/>
      <c r="HY17" s="134"/>
      <c r="HZ17" s="134"/>
      <c r="IA17" s="134"/>
      <c r="IB17" s="134"/>
      <c r="IC17" s="134"/>
      <c r="IE17" s="134"/>
      <c r="IF17" s="134"/>
      <c r="IG17" s="134"/>
      <c r="IH17" s="134"/>
      <c r="II17" s="134"/>
      <c r="IJ17" s="134"/>
      <c r="IK17" s="134"/>
      <c r="IL17" s="134"/>
      <c r="IM17" s="134"/>
      <c r="IN17" s="135"/>
      <c r="IO17" s="135"/>
      <c r="IP17" s="135"/>
      <c r="XEP17" s="7" t="str">
        <f t="shared" si="5"/>
        <v/>
      </c>
      <c r="XEQ17" s="7" t="str">
        <f t="shared" si="6"/>
        <v/>
      </c>
      <c r="XER17" s="7" t="str">
        <f t="shared" si="7"/>
        <v/>
      </c>
      <c r="XES17" s="7" t="str">
        <f t="shared" si="8"/>
        <v/>
      </c>
    </row>
    <row r="18" spans="1:250 16369:16373" ht="23.25" customHeight="1" x14ac:dyDescent="0.25">
      <c r="A18" s="74">
        <f>IF($I18&gt;0,VLOOKUP(I18,'Lista de Precios'!$A$3:$L$2883,9,0),0)</f>
        <v>0</v>
      </c>
      <c r="B18" s="74">
        <f>IF($I18&gt;0,VLOOKUP(I18,'Lista de Precios'!$A$3:$H$2883,7,0),0)</f>
        <v>0</v>
      </c>
      <c r="C18" s="7" t="str">
        <f>IF($I18&gt;0,VLOOKUP(I18,'Lista de Precios'!$A$3:$H$2883,2,0),"")</f>
        <v/>
      </c>
      <c r="D18" s="7" t="str">
        <f>IF($I18&gt;0,VLOOKUP(I18,'Lista de Precios'!$A$3:$H$2883,3,0),"")</f>
        <v/>
      </c>
      <c r="E18" s="76" t="str">
        <f>IF($I18&gt;0,VLOOKUP(I18,'Lista de Precios'!$A$3:$H$2883,6,0),"")</f>
        <v/>
      </c>
      <c r="F18" s="76" t="str">
        <f>IF($I18&gt;0,VLOOKUP(I18,'Lista de Precios'!$A$3:$H$2883,8,0),"")</f>
        <v/>
      </c>
      <c r="G18" s="101" t="str">
        <f t="shared" si="3"/>
        <v/>
      </c>
      <c r="H18" s="20" t="s">
        <v>3</v>
      </c>
      <c r="I18" s="18"/>
      <c r="J18" s="28" t="str">
        <f t="shared" si="1"/>
        <v/>
      </c>
      <c r="K18" s="24"/>
      <c r="L18" s="36"/>
      <c r="M18" s="36"/>
      <c r="N18" s="36"/>
      <c r="O18" s="37"/>
      <c r="P18" s="38"/>
      <c r="Q18" s="39"/>
      <c r="R18" s="37"/>
      <c r="S18" s="37"/>
      <c r="T18" s="37"/>
      <c r="U18" s="37"/>
      <c r="V18" s="37"/>
      <c r="W18" s="37"/>
      <c r="X18" s="37"/>
      <c r="Y18" s="37"/>
      <c r="Z18" s="40"/>
      <c r="AA18" s="41"/>
      <c r="AB18" s="37"/>
      <c r="AC18" s="37"/>
      <c r="AD18" s="37"/>
      <c r="AE18" s="37"/>
      <c r="AF18" s="37"/>
      <c r="AG18" s="37"/>
      <c r="AH18" s="42"/>
      <c r="AI18" s="42"/>
      <c r="AJ18" s="43"/>
      <c r="AK18" s="43"/>
      <c r="AL18" s="43"/>
      <c r="AM18" s="73">
        <f t="shared" si="2"/>
        <v>0</v>
      </c>
      <c r="AN18" s="71" t="str">
        <f>+IF($I18&gt;0,VLOOKUP($I18,'Lista de Precios'!$A$3:$H$2883,4,0),"")</f>
        <v/>
      </c>
      <c r="AO18" s="68" t="str">
        <f t="shared" si="4"/>
        <v/>
      </c>
      <c r="AP18" s="7" t="str">
        <f>IF($I18&gt;0,VLOOKUP($I18,'Lista de Precios'!$A$3:$K$2883,10,0),"")</f>
        <v/>
      </c>
      <c r="AQ18" s="7" t="str">
        <f>IF($I18&gt;0,VLOOKUP($I18,'Lista de Precios'!$A$3:$M$4893,13,0),"")</f>
        <v/>
      </c>
      <c r="AR18" s="7" t="str">
        <f>IF($I18&gt;0,VLOOKUP(I18,'Lista de Precios'!$A$3:$M$2883,13,0),"")</f>
        <v/>
      </c>
      <c r="HR18" s="134"/>
      <c r="HS18" s="134"/>
      <c r="HT18" s="134"/>
      <c r="HU18" s="134"/>
      <c r="HV18" s="134"/>
      <c r="HW18" s="134"/>
      <c r="HX18" s="134"/>
      <c r="HY18" s="134"/>
      <c r="HZ18" s="134"/>
      <c r="IA18" s="134"/>
      <c r="IB18" s="134"/>
      <c r="IC18" s="134"/>
      <c r="IE18" s="134"/>
      <c r="IF18" s="134"/>
      <c r="IG18" s="134"/>
      <c r="IH18" s="134"/>
      <c r="II18" s="134"/>
      <c r="IJ18" s="134"/>
      <c r="IK18" s="134"/>
      <c r="IL18" s="134"/>
      <c r="IM18" s="134"/>
      <c r="IN18" s="135"/>
      <c r="IO18" s="135"/>
      <c r="IP18" s="135"/>
      <c r="XEP18" s="7" t="str">
        <f t="shared" si="5"/>
        <v/>
      </c>
      <c r="XEQ18" s="7" t="str">
        <f t="shared" si="6"/>
        <v/>
      </c>
      <c r="XER18" s="7" t="str">
        <f t="shared" si="7"/>
        <v/>
      </c>
      <c r="XES18" s="7" t="str">
        <f t="shared" si="8"/>
        <v/>
      </c>
    </row>
    <row r="19" spans="1:250 16369:16373" ht="23.25" customHeight="1" x14ac:dyDescent="0.25">
      <c r="A19" s="74" t="str">
        <f>IF($I19&gt;0,VLOOKUP(I19,'Lista de Precios'!$A$3:$L$2883,9,0),0)</f>
        <v>Hombre</v>
      </c>
      <c r="B19" s="74" t="str">
        <f>IF($I19&gt;0,VLOOKUP(I19,'Lista de Precios'!$A$3:$H$2883,7,0),0)</f>
        <v>LANZ</v>
      </c>
      <c r="C19" s="7" t="str">
        <f>IF($I19&gt;0,VLOOKUP(I19,'Lista de Precios'!$A$3:$H$2883,2,0),"")</f>
        <v>FASKET</v>
      </c>
      <c r="D19" s="7" t="str">
        <f>IF($I19&gt;0,VLOOKUP(I19,'Lista de Precios'!$A$3:$H$2883,3,0),"")</f>
        <v>GRIS WILLOW/VERDE PATINA</v>
      </c>
      <c r="E19" s="76" t="str">
        <f>IF($I19&gt;0,VLOOKUP(I19,'Lista de Precios'!$A$3:$H$2883,6,0),"")</f>
        <v>ABRIL</v>
      </c>
      <c r="F19" s="76" t="str">
        <f>IF($I19&gt;0,VLOOKUP(I19,'Lista de Precios'!$A$3:$H$2883,8,0),"")</f>
        <v>35 AL 45</v>
      </c>
      <c r="G19" s="101">
        <f t="shared" si="3"/>
        <v>79900</v>
      </c>
      <c r="H19" s="20" t="s">
        <v>3</v>
      </c>
      <c r="I19" s="18">
        <v>50626</v>
      </c>
      <c r="J19" s="28" t="str">
        <f t="shared" si="1"/>
        <v>ABRIL</v>
      </c>
      <c r="K19" s="24"/>
      <c r="L19" s="36"/>
      <c r="M19" s="36"/>
      <c r="N19" s="36"/>
      <c r="O19" s="37"/>
      <c r="P19" s="38"/>
      <c r="Q19" s="39"/>
      <c r="R19" s="37"/>
      <c r="S19" s="37"/>
      <c r="T19" s="37"/>
      <c r="U19" s="37"/>
      <c r="V19" s="37"/>
      <c r="W19" s="37"/>
      <c r="X19" s="37"/>
      <c r="Y19" s="37"/>
      <c r="Z19" s="40"/>
      <c r="AA19" s="41"/>
      <c r="AB19" s="37">
        <v>2</v>
      </c>
      <c r="AC19" s="37">
        <v>4</v>
      </c>
      <c r="AD19" s="37">
        <v>6</v>
      </c>
      <c r="AE19" s="37">
        <v>2</v>
      </c>
      <c r="AF19" s="37">
        <v>2</v>
      </c>
      <c r="AG19" s="37"/>
      <c r="AH19" s="42"/>
      <c r="AI19" s="42"/>
      <c r="AJ19" s="43"/>
      <c r="AK19" s="43"/>
      <c r="AL19" s="43"/>
      <c r="AM19" s="73">
        <f t="shared" si="2"/>
        <v>16</v>
      </c>
      <c r="AN19" s="71">
        <f>+IF($I19&gt;0,VLOOKUP($I19,'Lista de Precios'!$A$3:$H$2883,4,0),"")</f>
        <v>42727.272727272728</v>
      </c>
      <c r="AO19" s="68">
        <f t="shared" si="4"/>
        <v>683636.36363636365</v>
      </c>
      <c r="AP19" s="7" t="str">
        <f>IF($I19&gt;0,VLOOKUP($I19,'Lista de Precios'!$A$3:$K$2883,10,0),"")</f>
        <v>Basket</v>
      </c>
      <c r="AQ19" s="7" t="str">
        <f>IF($I19&gt;0,VLOOKUP($I19,'Lista de Precios'!$A$3:$M$4893,13,0),"")</f>
        <v>Multideporte</v>
      </c>
      <c r="AR19" s="7" t="str">
        <f>IF($I19&gt;0,VLOOKUP(I19,'Lista de Precios'!$A$3:$M$2883,13,0),"")</f>
        <v>Multideporte</v>
      </c>
      <c r="HR19" s="134"/>
      <c r="HS19" s="134"/>
      <c r="HT19" s="134"/>
      <c r="HU19" s="134"/>
      <c r="HV19" s="134"/>
      <c r="HW19" s="134"/>
      <c r="HX19" s="134"/>
      <c r="HY19" s="134"/>
      <c r="HZ19" s="134"/>
      <c r="IA19" s="134"/>
      <c r="IB19" s="134"/>
      <c r="IC19" s="134"/>
      <c r="IE19" s="134"/>
      <c r="IF19" s="134"/>
      <c r="IG19" s="134"/>
      <c r="IH19" s="134"/>
      <c r="II19" s="134"/>
      <c r="IJ19" s="134"/>
      <c r="IK19" s="134"/>
      <c r="IL19" s="134"/>
      <c r="IM19" s="134"/>
      <c r="IN19" s="135"/>
      <c r="IO19" s="135"/>
      <c r="IP19" s="135"/>
      <c r="XEP19" s="7" t="str">
        <f t="shared" si="5"/>
        <v/>
      </c>
      <c r="XEQ19" s="7" t="str">
        <f t="shared" si="6"/>
        <v/>
      </c>
      <c r="XER19" s="7" t="str">
        <f t="shared" si="7"/>
        <v/>
      </c>
      <c r="XES19" s="7" t="str">
        <f t="shared" si="8"/>
        <v/>
      </c>
    </row>
    <row r="20" spans="1:250 16369:16373" ht="23.25" customHeight="1" x14ac:dyDescent="0.25">
      <c r="A20" s="74">
        <f>IF($I20&gt;0,VLOOKUP(I20,'Lista de Precios'!$A$3:$L$2883,9,0),0)</f>
        <v>0</v>
      </c>
      <c r="B20" s="74">
        <f>IF($I20&gt;0,VLOOKUP(I20,'Lista de Precios'!$A$3:$H$2883,7,0),0)</f>
        <v>0</v>
      </c>
      <c r="C20" s="7" t="str">
        <f>IF($I20&gt;0,VLOOKUP(I20,'Lista de Precios'!$A$3:$H$2883,2,0),"")</f>
        <v/>
      </c>
      <c r="D20" s="7" t="str">
        <f>IF($I20&gt;0,VLOOKUP(I20,'Lista de Precios'!$A$3:$H$2883,3,0),"")</f>
        <v/>
      </c>
      <c r="E20" s="76" t="str">
        <f>IF($I20&gt;0,VLOOKUP(I20,'Lista de Precios'!$A$3:$H$2883,6,0),"")</f>
        <v/>
      </c>
      <c r="F20" s="76" t="str">
        <f>IF($I20&gt;0,VLOOKUP(I20,'Lista de Precios'!$A$3:$H$2883,8,0),"")</f>
        <v/>
      </c>
      <c r="G20" s="101" t="str">
        <f t="shared" si="3"/>
        <v/>
      </c>
      <c r="H20" s="20" t="s">
        <v>3</v>
      </c>
      <c r="I20" s="18"/>
      <c r="J20" s="28" t="str">
        <f t="shared" si="1"/>
        <v/>
      </c>
      <c r="K20" s="24"/>
      <c r="L20" s="36"/>
      <c r="M20" s="36"/>
      <c r="N20" s="36"/>
      <c r="O20" s="37"/>
      <c r="P20" s="38"/>
      <c r="Q20" s="39"/>
      <c r="R20" s="37"/>
      <c r="S20" s="37"/>
      <c r="T20" s="37"/>
      <c r="U20" s="37"/>
      <c r="V20" s="37"/>
      <c r="W20" s="37"/>
      <c r="X20" s="37"/>
      <c r="Y20" s="37"/>
      <c r="Z20" s="40"/>
      <c r="AA20" s="41"/>
      <c r="AB20" s="37"/>
      <c r="AC20" s="37"/>
      <c r="AD20" s="37"/>
      <c r="AE20" s="37"/>
      <c r="AF20" s="37"/>
      <c r="AG20" s="37"/>
      <c r="AH20" s="42"/>
      <c r="AI20" s="42"/>
      <c r="AJ20" s="43"/>
      <c r="AK20" s="43"/>
      <c r="AL20" s="43"/>
      <c r="AM20" s="73">
        <f t="shared" si="2"/>
        <v>0</v>
      </c>
      <c r="AN20" s="71" t="str">
        <f>+IF($I20&gt;0,VLOOKUP($I20,'Lista de Precios'!$A$3:$H$2883,4,0),"")</f>
        <v/>
      </c>
      <c r="AO20" s="68" t="str">
        <f t="shared" si="4"/>
        <v/>
      </c>
      <c r="AP20" s="7" t="str">
        <f>IF($I20&gt;0,VLOOKUP($I20,'Lista de Precios'!$A$3:$K$2883,10,0),"")</f>
        <v/>
      </c>
      <c r="AQ20" s="7" t="str">
        <f>IF($I20&gt;0,VLOOKUP($I20,'Lista de Precios'!$A$3:$M$4893,13,0),"")</f>
        <v/>
      </c>
      <c r="AR20" s="7" t="str">
        <f>IF($I20&gt;0,VLOOKUP(I20,'Lista de Precios'!$A$3:$M$2883,13,0),"")</f>
        <v/>
      </c>
      <c r="HR20" s="134"/>
      <c r="HS20" s="134"/>
      <c r="HT20" s="134"/>
      <c r="HU20" s="134"/>
      <c r="HV20" s="134"/>
      <c r="HW20" s="134"/>
      <c r="HX20" s="134"/>
      <c r="HY20" s="134"/>
      <c r="HZ20" s="134"/>
      <c r="IA20" s="134"/>
      <c r="IB20" s="134"/>
      <c r="IC20" s="134"/>
      <c r="IE20" s="134"/>
      <c r="IF20" s="134"/>
      <c r="IG20" s="134"/>
      <c r="IH20" s="134"/>
      <c r="II20" s="134"/>
      <c r="IJ20" s="134"/>
      <c r="IK20" s="134"/>
      <c r="IL20" s="134"/>
      <c r="IM20" s="134"/>
      <c r="IN20" s="135"/>
      <c r="IO20" s="135"/>
      <c r="IP20" s="135"/>
      <c r="XEP20" s="7" t="str">
        <f t="shared" si="5"/>
        <v/>
      </c>
      <c r="XEQ20" s="7" t="str">
        <f t="shared" si="6"/>
        <v/>
      </c>
      <c r="XER20" s="7" t="str">
        <f t="shared" si="7"/>
        <v/>
      </c>
      <c r="XES20" s="7" t="str">
        <f t="shared" si="8"/>
        <v/>
      </c>
    </row>
    <row r="21" spans="1:250 16369:16373" ht="23.25" customHeight="1" x14ac:dyDescent="0.25">
      <c r="A21" s="74" t="str">
        <f>IF($I21&gt;0,VLOOKUP(I21,'Lista de Precios'!$A$3:$L$2883,9,0),0)</f>
        <v>Hombre</v>
      </c>
      <c r="B21" s="74" t="str">
        <f>IF($I21&gt;0,VLOOKUP(I21,'Lista de Precios'!$A$3:$H$2883,7,0),0)</f>
        <v>CONT</v>
      </c>
      <c r="C21" s="7" t="str">
        <f>IF($I21&gt;0,VLOOKUP(I21,'Lista de Precios'!$A$3:$H$2883,2,0),"")</f>
        <v>GROVE HIGH</v>
      </c>
      <c r="D21" s="7" t="str">
        <f>IF($I21&gt;0,VLOOKUP(I21,'Lista de Precios'!$A$3:$H$2883,3,0),"")</f>
        <v>NEGRO/GRIS MAGNET</v>
      </c>
      <c r="E21" s="76" t="str">
        <f>IF($I21&gt;0,VLOOKUP(I21,'Lista de Precios'!$A$3:$H$2883,6,0),"")</f>
        <v>MARZO</v>
      </c>
      <c r="F21" s="76" t="str">
        <f>IF($I21&gt;0,VLOOKUP(I21,'Lista de Precios'!$A$3:$H$2883,8,0),"")</f>
        <v>35 AL 45</v>
      </c>
      <c r="G21" s="101">
        <f t="shared" si="3"/>
        <v>95900</v>
      </c>
      <c r="H21" s="20" t="s">
        <v>3</v>
      </c>
      <c r="I21" s="18">
        <v>50240</v>
      </c>
      <c r="J21" s="28" t="str">
        <f t="shared" si="1"/>
        <v>MARZO</v>
      </c>
      <c r="K21" s="24">
        <f>+IF($I21&gt;0,VLOOKUP($I21,'Lista de Precios'!$A$3:$H$2883,5,0),0)</f>
        <v>1</v>
      </c>
      <c r="L21" s="36"/>
      <c r="M21" s="36"/>
      <c r="N21" s="36"/>
      <c r="O21" s="37"/>
      <c r="P21" s="38"/>
      <c r="Q21" s="39"/>
      <c r="R21" s="37"/>
      <c r="S21" s="37"/>
      <c r="T21" s="37"/>
      <c r="U21" s="37"/>
      <c r="V21" s="37"/>
      <c r="W21" s="37"/>
      <c r="X21" s="37"/>
      <c r="Y21" s="37"/>
      <c r="Z21" s="40"/>
      <c r="AA21" s="41"/>
      <c r="AB21" s="37">
        <v>2</v>
      </c>
      <c r="AC21" s="37"/>
      <c r="AD21" s="37"/>
      <c r="AE21" s="37">
        <v>4</v>
      </c>
      <c r="AF21" s="37">
        <v>6</v>
      </c>
      <c r="AG21" s="37">
        <v>8</v>
      </c>
      <c r="AH21" s="42">
        <v>8</v>
      </c>
      <c r="AI21" s="42"/>
      <c r="AJ21" s="43"/>
      <c r="AK21" s="43">
        <v>2</v>
      </c>
      <c r="AL21" s="43"/>
      <c r="AM21" s="73">
        <f t="shared" ref="AM21" si="9">+IF(I21&gt;0,SUM(L21:AL21),0)</f>
        <v>30</v>
      </c>
      <c r="AN21" s="71">
        <f>+IF($I21&gt;0,VLOOKUP($I21,'Lista de Precios'!$A$3:$H$2883,4,0),"")</f>
        <v>51283.422459893045</v>
      </c>
      <c r="AO21" s="68">
        <f t="shared" si="4"/>
        <v>1538502.6737967914</v>
      </c>
      <c r="AP21" s="7" t="str">
        <f>IF($I21&gt;0,VLOOKUP($I21,'Lista de Precios'!$A$3:$K$2883,10,0),"")</f>
        <v>Outdoor</v>
      </c>
      <c r="AQ21" s="7" t="str">
        <f>IF($I21&gt;0,VLOOKUP($I21,'Lista de Precios'!$A$3:$M$4893,13,0),"")</f>
        <v>Multideporte</v>
      </c>
      <c r="AR21" s="7" t="str">
        <f>IF($I21&gt;0,VLOOKUP(I21,'Lista de Precios'!$A$3:$M$2883,13,0),"")</f>
        <v>Multideporte</v>
      </c>
      <c r="HR21" s="134"/>
      <c r="HS21" s="134"/>
      <c r="HT21" s="134"/>
      <c r="HU21" s="134"/>
      <c r="HV21" s="134"/>
      <c r="HW21" s="134"/>
      <c r="HX21" s="134"/>
      <c r="HY21" s="134"/>
      <c r="HZ21" s="134"/>
      <c r="IA21" s="134"/>
      <c r="IB21" s="134"/>
      <c r="IC21" s="134"/>
      <c r="IE21" s="134"/>
      <c r="IF21" s="134"/>
      <c r="IG21" s="134"/>
      <c r="IH21" s="134"/>
      <c r="II21" s="134"/>
      <c r="IJ21" s="134"/>
      <c r="IK21" s="134"/>
      <c r="IL21" s="134"/>
      <c r="IM21" s="134"/>
      <c r="IN21" s="135"/>
      <c r="IO21" s="135"/>
      <c r="IP21" s="135"/>
      <c r="XEP21" s="7" t="str">
        <f t="shared" si="5"/>
        <v/>
      </c>
      <c r="XEQ21" s="7" t="str">
        <f t="shared" si="6"/>
        <v/>
      </c>
      <c r="XER21" s="7" t="str">
        <f t="shared" si="7"/>
        <v/>
      </c>
      <c r="XES21" s="7" t="str">
        <f t="shared" si="8"/>
        <v/>
      </c>
    </row>
    <row r="22" spans="1:250 16369:16373" ht="23.25" customHeight="1" x14ac:dyDescent="0.25">
      <c r="A22" s="74" t="str">
        <f>IF($I22&gt;0,VLOOKUP(I22,'Lista de Precios'!$A$3:$L$2883,9,0),0)</f>
        <v>Hombre</v>
      </c>
      <c r="B22" s="74" t="str">
        <f>IF($I22&gt;0,VLOOKUP(I22,'Lista de Precios'!$A$3:$H$2883,7,0),0)</f>
        <v>LANZ</v>
      </c>
      <c r="C22" s="7" t="str">
        <f>IF($I22&gt;0,VLOOKUP(I22,'Lista de Precios'!$A$3:$H$2883,2,0),"")</f>
        <v>OUTFLEX</v>
      </c>
      <c r="D22" s="7" t="str">
        <f>IF($I22&gt;0,VLOOKUP(I22,'Lista de Precios'!$A$3:$H$2883,3,0),"")</f>
        <v>BORDO FIG/AZUL FUSION/GRIS MAGNET</v>
      </c>
      <c r="E22" s="76" t="str">
        <f>IF($I22&gt;0,VLOOKUP(I22,'Lista de Precios'!$A$3:$H$2883,6,0),"")</f>
        <v>ABRIL</v>
      </c>
      <c r="F22" s="76" t="str">
        <f>IF($I22&gt;0,VLOOKUP(I22,'Lista de Precios'!$A$3:$H$2883,8,0),"")</f>
        <v>35 AL 45</v>
      </c>
      <c r="G22" s="101">
        <f t="shared" si="3"/>
        <v>87900</v>
      </c>
      <c r="H22" s="20" t="s">
        <v>3</v>
      </c>
      <c r="I22" s="18">
        <v>52563</v>
      </c>
      <c r="J22" s="28" t="str">
        <f t="shared" si="1"/>
        <v>ABRIL</v>
      </c>
      <c r="K22" s="24"/>
      <c r="L22" s="37"/>
      <c r="M22" s="37"/>
      <c r="N22" s="37"/>
      <c r="O22" s="37"/>
      <c r="P22" s="40"/>
      <c r="Q22" s="39"/>
      <c r="R22" s="37"/>
      <c r="S22" s="37"/>
      <c r="T22" s="37"/>
      <c r="U22" s="37"/>
      <c r="V22" s="37"/>
      <c r="W22" s="37"/>
      <c r="X22" s="37"/>
      <c r="Y22" s="37"/>
      <c r="Z22" s="40"/>
      <c r="AA22" s="41"/>
      <c r="AB22" s="37"/>
      <c r="AC22" s="37">
        <v>2</v>
      </c>
      <c r="AD22" s="37">
        <v>4</v>
      </c>
      <c r="AE22" s="37">
        <v>4</v>
      </c>
      <c r="AF22" s="37">
        <v>6</v>
      </c>
      <c r="AG22" s="37">
        <v>6</v>
      </c>
      <c r="AH22" s="36">
        <v>4</v>
      </c>
      <c r="AI22" s="36">
        <v>2</v>
      </c>
      <c r="AJ22" s="36">
        <v>2</v>
      </c>
      <c r="AK22" s="42"/>
      <c r="AL22" s="42"/>
      <c r="AM22" s="73">
        <f t="shared" ref="AM22:AM23" si="10">+IF(I22&gt;0,SUM(L22:AL22),0)</f>
        <v>30</v>
      </c>
      <c r="AN22" s="71">
        <f>+IF($I22&gt;0,VLOOKUP($I22,'Lista de Precios'!$A$3:$H$2883,4,0),"")</f>
        <v>47005.347593582883</v>
      </c>
      <c r="AO22" s="68">
        <f t="shared" si="4"/>
        <v>1410160.4278074864</v>
      </c>
      <c r="AP22" s="7" t="str">
        <f>IF($I22&gt;0,VLOOKUP($I22,'Lista de Precios'!$A$3:$K$2883,10,0),"")</f>
        <v>Outdoor</v>
      </c>
      <c r="AQ22" s="7" t="str">
        <f>IF($I22&gt;0,VLOOKUP($I22,'Lista de Precios'!$A$3:$M$49893,13,0),"")</f>
        <v>Multideporte</v>
      </c>
      <c r="HQ22" s="134"/>
      <c r="HR22" s="134"/>
      <c r="HS22" s="134"/>
      <c r="HT22" s="134"/>
      <c r="HU22" s="134"/>
      <c r="HV22" s="134"/>
      <c r="HW22" s="134"/>
      <c r="HX22" s="134"/>
      <c r="HY22" s="134"/>
      <c r="HZ22" s="134"/>
      <c r="IA22" s="134"/>
      <c r="IB22" s="134"/>
      <c r="ID22" s="134"/>
      <c r="IE22" s="134"/>
      <c r="IF22" s="134"/>
      <c r="IG22" s="134"/>
      <c r="IH22" s="134"/>
      <c r="II22" s="134"/>
      <c r="IJ22" s="134"/>
      <c r="IK22" s="134"/>
      <c r="IL22" s="134"/>
      <c r="IM22" s="135"/>
      <c r="IN22" s="135"/>
      <c r="IO22" s="135"/>
      <c r="XEO22" s="7" t="str">
        <f t="shared" ref="XEO22:XEO23" si="11">+IF($AQ22=$XEO$13,$AM22,"")</f>
        <v/>
      </c>
      <c r="XEP22" s="7" t="str">
        <f t="shared" si="5"/>
        <v/>
      </c>
      <c r="XEQ22" s="7" t="str">
        <f t="shared" si="6"/>
        <v/>
      </c>
      <c r="XER22" s="7" t="str">
        <f t="shared" si="7"/>
        <v/>
      </c>
    </row>
    <row r="23" spans="1:250 16369:16373" ht="23.25" customHeight="1" x14ac:dyDescent="0.25">
      <c r="A23" s="74" t="str">
        <f>IF($I23&gt;0,VLOOKUP(I23,'Lista de Precios'!$A$3:$L$2883,9,0),0)</f>
        <v>Mujer</v>
      </c>
      <c r="B23" s="74" t="str">
        <f>IF($I23&gt;0,VLOOKUP(I23,'Lista de Precios'!$A$3:$H$2883,7,0),0)</f>
        <v>LANZ</v>
      </c>
      <c r="C23" s="7" t="str">
        <f>IF($I23&gt;0,VLOOKUP(I23,'Lista de Precios'!$A$3:$H$2883,2,0),"")</f>
        <v>OUTFLEX</v>
      </c>
      <c r="D23" s="7" t="str">
        <f>IF($I23&gt;0,VLOOKUP(I23,'Lista de Precios'!$A$3:$H$2883,3,0),"")</f>
        <v>CRUDO TOFU/BEIGE OYSTER/SALMON</v>
      </c>
      <c r="E23" s="76" t="str">
        <f>IF($I23&gt;0,VLOOKUP(I23,'Lista de Precios'!$A$3:$H$2883,6,0),"")</f>
        <v>ABRIL</v>
      </c>
      <c r="F23" s="76" t="str">
        <f>IF($I23&gt;0,VLOOKUP(I23,'Lista de Precios'!$A$3:$H$2883,8,0),"")</f>
        <v>35 AL 40</v>
      </c>
      <c r="G23" s="101">
        <f t="shared" si="3"/>
        <v>87900</v>
      </c>
      <c r="H23" s="20" t="s">
        <v>3</v>
      </c>
      <c r="I23" s="18">
        <v>52564</v>
      </c>
      <c r="J23" s="28" t="str">
        <f t="shared" si="1"/>
        <v>ABRIL</v>
      </c>
      <c r="K23" s="24"/>
      <c r="L23" s="37"/>
      <c r="M23" s="37"/>
      <c r="N23" s="37"/>
      <c r="O23" s="37"/>
      <c r="P23" s="40"/>
      <c r="Q23" s="39"/>
      <c r="R23" s="37"/>
      <c r="S23" s="37"/>
      <c r="T23" s="37"/>
      <c r="U23" s="37"/>
      <c r="V23" s="37"/>
      <c r="W23" s="37"/>
      <c r="X23" s="37"/>
      <c r="Y23" s="37"/>
      <c r="Z23" s="40"/>
      <c r="AA23" s="41"/>
      <c r="AB23" s="37">
        <v>2</v>
      </c>
      <c r="AC23" s="37">
        <v>4</v>
      </c>
      <c r="AD23" s="37">
        <v>6</v>
      </c>
      <c r="AE23" s="37">
        <v>6</v>
      </c>
      <c r="AF23" s="37">
        <v>4</v>
      </c>
      <c r="AG23" s="37"/>
      <c r="AH23" s="36"/>
      <c r="AI23" s="36"/>
      <c r="AJ23" s="36"/>
      <c r="AK23" s="42"/>
      <c r="AL23" s="42"/>
      <c r="AM23" s="73">
        <f t="shared" si="10"/>
        <v>22</v>
      </c>
      <c r="AN23" s="71">
        <f>+IF($I23&gt;0,VLOOKUP($I23,'Lista de Precios'!$A$3:$H$2883,4,0),"")</f>
        <v>47005.347593582883</v>
      </c>
      <c r="AO23" s="68">
        <f t="shared" si="4"/>
        <v>1034117.6470588234</v>
      </c>
      <c r="AP23" s="7" t="str">
        <f>IF($I23&gt;0,VLOOKUP($I23,'Lista de Precios'!$A$3:$K$2883,10,0),"")</f>
        <v>Outdoor</v>
      </c>
      <c r="AQ23" s="7" t="str">
        <f>IF($I23&gt;0,VLOOKUP($I23,'Lista de Precios'!$A$3:$M$49893,13,0),"")</f>
        <v>Multideporte</v>
      </c>
      <c r="HQ23" s="134"/>
      <c r="HR23" s="134"/>
      <c r="HS23" s="134"/>
      <c r="HT23" s="134"/>
      <c r="HU23" s="134"/>
      <c r="HV23" s="134"/>
      <c r="HW23" s="134"/>
      <c r="HX23" s="134"/>
      <c r="HY23" s="134"/>
      <c r="HZ23" s="134"/>
      <c r="IA23" s="134"/>
      <c r="IB23" s="134"/>
      <c r="ID23" s="134"/>
      <c r="IE23" s="134"/>
      <c r="IF23" s="134"/>
      <c r="IG23" s="134"/>
      <c r="IH23" s="134"/>
      <c r="II23" s="134"/>
      <c r="IJ23" s="134"/>
      <c r="IK23" s="134"/>
      <c r="IL23" s="134"/>
      <c r="IM23" s="135"/>
      <c r="IN23" s="135"/>
      <c r="IO23" s="135"/>
      <c r="XEO23" s="7" t="str">
        <f t="shared" si="11"/>
        <v/>
      </c>
      <c r="XEP23" s="7" t="str">
        <f t="shared" si="5"/>
        <v/>
      </c>
      <c r="XEQ23" s="7" t="str">
        <f t="shared" si="6"/>
        <v/>
      </c>
      <c r="XER23" s="7" t="str">
        <f t="shared" si="7"/>
        <v/>
      </c>
    </row>
    <row r="24" spans="1:250 16369:16373" ht="23.25" customHeight="1" x14ac:dyDescent="0.25">
      <c r="A24" s="74" t="str">
        <f>IF($I24&gt;0,VLOOKUP(I24,'Lista de Precios'!$A$3:$L$2883,9,0),0)</f>
        <v>Kids</v>
      </c>
      <c r="B24" s="74" t="str">
        <f>IF($I24&gt;0,VLOOKUP(I24,'Lista de Precios'!$A$3:$H$2883,7,0),0)</f>
        <v>CONT</v>
      </c>
      <c r="C24" s="7" t="str">
        <f>IF($I24&gt;0,VLOOKUP(I24,'Lista de Precios'!$A$3:$H$2883,2,0),"")</f>
        <v>GONDOR III KIDS</v>
      </c>
      <c r="D24" s="7" t="str">
        <f>IF($I24&gt;0,VLOOKUP(I24,'Lista de Precios'!$A$3:$H$2883,3,0),"")</f>
        <v>NEGRO / BLANCO</v>
      </c>
      <c r="E24" s="76" t="str">
        <f>IF($I24&gt;0,VLOOKUP(I24,'Lista de Precios'!$A$3:$H$2883,6,0),"")</f>
        <v>ENERO</v>
      </c>
      <c r="F24" s="76" t="str">
        <f>IF($I24&gt;0,VLOOKUP(I24,'Lista de Precios'!$A$3:$H$2883,8,0),"")</f>
        <v>25 AL 34</v>
      </c>
      <c r="G24" s="101">
        <f t="shared" si="3"/>
        <v>62899.999999999993</v>
      </c>
      <c r="H24" s="20" t="s">
        <v>3</v>
      </c>
      <c r="I24" s="18">
        <v>25600</v>
      </c>
      <c r="J24" s="28" t="str">
        <f t="shared" ref="J23:J79" si="12">+E24</f>
        <v>ENERO</v>
      </c>
      <c r="K24" s="24">
        <f>+IF($I24&gt;0,VLOOKUP($I24,'Lista de Precios'!$A$3:$H$2883,5,0),0)</f>
        <v>1</v>
      </c>
      <c r="L24" s="36"/>
      <c r="M24" s="36"/>
      <c r="N24" s="36"/>
      <c r="O24" s="37"/>
      <c r="P24" s="38"/>
      <c r="Q24" s="39"/>
      <c r="R24" s="37">
        <v>2</v>
      </c>
      <c r="S24" s="37">
        <v>4</v>
      </c>
      <c r="T24" s="37">
        <v>2</v>
      </c>
      <c r="U24" s="37">
        <v>2</v>
      </c>
      <c r="V24" s="37">
        <v>2</v>
      </c>
      <c r="W24" s="37">
        <v>4</v>
      </c>
      <c r="X24" s="37">
        <v>2</v>
      </c>
      <c r="Y24" s="37"/>
      <c r="Z24" s="40">
        <v>2</v>
      </c>
      <c r="AA24" s="41"/>
      <c r="AB24" s="37"/>
      <c r="AC24" s="37"/>
      <c r="AD24" s="37"/>
      <c r="AE24" s="37"/>
      <c r="AF24" s="37"/>
      <c r="AG24" s="37"/>
      <c r="AH24" s="42"/>
      <c r="AI24" s="42"/>
      <c r="AJ24" s="43"/>
      <c r="AK24" s="43"/>
      <c r="AL24" s="43"/>
      <c r="AM24" s="73">
        <f t="shared" si="2"/>
        <v>20</v>
      </c>
      <c r="AN24" s="71">
        <f>+IF($I24&gt;0,VLOOKUP($I24,'Lista de Precios'!$A$3:$H$2883,4,0),"")</f>
        <v>33636.363636363632</v>
      </c>
      <c r="AO24" s="68">
        <f t="shared" si="4"/>
        <v>672727.27272727271</v>
      </c>
      <c r="AP24" s="7" t="str">
        <f>IF($I24&gt;0,VLOOKUP($I24,'Lista de Precios'!$A$3:$K$2883,10,0),"")</f>
        <v>Outdoor</v>
      </c>
      <c r="AQ24" s="7" t="str">
        <f>IF($I24&gt;0,VLOOKUP($I24,'Lista de Precios'!$A$3:$M$4893,13,0),"")</f>
        <v>Kids</v>
      </c>
      <c r="AR24" s="7" t="str">
        <f>IF($I24&gt;0,VLOOKUP(I24,'Lista de Precios'!$A$3:$M$2883,13,0),"")</f>
        <v>Kids</v>
      </c>
      <c r="HR24" s="134"/>
      <c r="HS24" s="134"/>
      <c r="HT24" s="134"/>
      <c r="HU24" s="134"/>
      <c r="HV24" s="134"/>
      <c r="HW24" s="134"/>
      <c r="HX24" s="134"/>
      <c r="HY24" s="134"/>
      <c r="HZ24" s="134"/>
      <c r="IA24" s="134"/>
      <c r="IB24" s="134"/>
      <c r="IC24" s="134"/>
      <c r="IE24" s="134"/>
      <c r="IF24" s="134"/>
      <c r="IG24" s="134"/>
      <c r="IH24" s="134"/>
      <c r="II24" s="134"/>
      <c r="IJ24" s="134"/>
      <c r="IK24" s="134"/>
      <c r="IL24" s="134"/>
      <c r="IM24" s="134"/>
      <c r="IN24" s="135"/>
      <c r="IO24" s="135"/>
      <c r="IP24" s="135"/>
      <c r="XEP24" s="7" t="str">
        <f t="shared" si="5"/>
        <v/>
      </c>
      <c r="XEQ24" s="7" t="str">
        <f t="shared" si="6"/>
        <v/>
      </c>
      <c r="XER24" s="7" t="str">
        <f t="shared" si="7"/>
        <v/>
      </c>
      <c r="XES24" s="7">
        <f t="shared" si="8"/>
        <v>20</v>
      </c>
    </row>
    <row r="25" spans="1:250 16369:16373" ht="23.25" customHeight="1" x14ac:dyDescent="0.25">
      <c r="A25" s="74" t="str">
        <f>IF($I25&gt;0,VLOOKUP(I25,'Lista de Precios'!$A$3:$L$2883,9,0),0)</f>
        <v>Kids</v>
      </c>
      <c r="B25" s="74" t="str">
        <f>IF($I25&gt;0,VLOOKUP(I25,'Lista de Precios'!$A$3:$H$2883,7,0),0)</f>
        <v>CONT</v>
      </c>
      <c r="C25" s="7" t="str">
        <f>IF($I25&gt;0,VLOOKUP(I25,'Lista de Precios'!$A$3:$H$2883,2,0),"")</f>
        <v>EVER 2.0 KIDS</v>
      </c>
      <c r="D25" s="7" t="str">
        <f>IF($I25&gt;0,VLOOKUP(I25,'Lista de Precios'!$A$3:$H$2883,3,0),"")</f>
        <v>ROSA SALT / ROSA NOPSIS / GRIS CITY</v>
      </c>
      <c r="E25" s="76" t="str">
        <f>IF($I25&gt;0,VLOOKUP(I25,'Lista de Precios'!$A$3:$H$2883,6,0),"")</f>
        <v>FEBRERO</v>
      </c>
      <c r="F25" s="76" t="str">
        <f>IF($I25&gt;0,VLOOKUP(I25,'Lista de Precios'!$A$3:$H$2883,8,0),"")</f>
        <v>25 AL 34</v>
      </c>
      <c r="G25" s="101">
        <f t="shared" si="3"/>
        <v>64900</v>
      </c>
      <c r="H25" s="20" t="s">
        <v>3</v>
      </c>
      <c r="I25" s="18">
        <v>25877</v>
      </c>
      <c r="J25" s="28" t="str">
        <f t="shared" si="12"/>
        <v>FEBRERO</v>
      </c>
      <c r="K25" s="24"/>
      <c r="L25" s="37"/>
      <c r="M25" s="37"/>
      <c r="N25" s="37"/>
      <c r="O25" s="37"/>
      <c r="P25" s="40"/>
      <c r="Q25" s="39">
        <v>2</v>
      </c>
      <c r="R25" s="37">
        <v>2</v>
      </c>
      <c r="S25" s="37">
        <v>4</v>
      </c>
      <c r="T25" s="37">
        <v>6</v>
      </c>
      <c r="U25" s="37">
        <v>6</v>
      </c>
      <c r="V25" s="37">
        <v>4</v>
      </c>
      <c r="W25" s="37">
        <v>4</v>
      </c>
      <c r="X25" s="37">
        <v>4</v>
      </c>
      <c r="Y25" s="37">
        <v>4</v>
      </c>
      <c r="Z25" s="40">
        <v>6</v>
      </c>
      <c r="AA25" s="41"/>
      <c r="AB25" s="37"/>
      <c r="AC25" s="37"/>
      <c r="AD25" s="37"/>
      <c r="AE25" s="37"/>
      <c r="AF25" s="37"/>
      <c r="AG25" s="37"/>
      <c r="AH25" s="36"/>
      <c r="AI25" s="36"/>
      <c r="AJ25" s="36"/>
      <c r="AK25" s="42"/>
      <c r="AL25" s="42"/>
      <c r="AM25" s="73">
        <f t="shared" ref="AM25" si="13">+IF(I25&gt;0,SUM(L25:AL25),0)</f>
        <v>42</v>
      </c>
      <c r="AN25" s="71">
        <f>+IF($I25&gt;0,VLOOKUP($I25,'Lista de Precios'!$A$3:$H$2883,4,0),"")</f>
        <v>34705.882352941175</v>
      </c>
      <c r="AO25" s="68">
        <f t="shared" si="4"/>
        <v>1457647.0588235294</v>
      </c>
      <c r="AP25" s="7" t="str">
        <f>IF($I25&gt;0,VLOOKUP($I25,'Lista de Precios'!$A$3:$K$2883,10,0),"")</f>
        <v>Casual</v>
      </c>
      <c r="AQ25" s="7" t="str">
        <f>IF($I25&gt;0,VLOOKUP($I25,'Lista de Precios'!$A$3:$M$49893,13,0),"")</f>
        <v>Kids</v>
      </c>
      <c r="HQ25" s="134"/>
      <c r="HR25" s="134"/>
      <c r="HS25" s="134"/>
      <c r="HT25" s="134"/>
      <c r="HU25" s="134"/>
      <c r="HV25" s="134"/>
      <c r="HW25" s="134"/>
      <c r="HX25" s="134"/>
      <c r="HY25" s="134"/>
      <c r="HZ25" s="134"/>
      <c r="IA25" s="134"/>
      <c r="IB25" s="134"/>
      <c r="ID25" s="134"/>
      <c r="IE25" s="134"/>
      <c r="IF25" s="134"/>
      <c r="IG25" s="134"/>
      <c r="IH25" s="134"/>
      <c r="II25" s="134"/>
      <c r="IJ25" s="134"/>
      <c r="IK25" s="134"/>
      <c r="IL25" s="134"/>
      <c r="IM25" s="135"/>
      <c r="IN25" s="135"/>
      <c r="IO25" s="135"/>
      <c r="XEO25" s="7" t="str">
        <f t="shared" ref="XEO25:XEO26" si="14">+IF($AQ25=$XEO$13,$AM25,"")</f>
        <v/>
      </c>
      <c r="XEP25" s="7" t="str">
        <f t="shared" si="5"/>
        <v/>
      </c>
      <c r="XEQ25" s="7" t="str">
        <f t="shared" si="6"/>
        <v/>
      </c>
      <c r="XER25" s="7" t="str">
        <f t="shared" si="7"/>
        <v/>
      </c>
    </row>
    <row r="26" spans="1:250 16369:16373" ht="23.25" customHeight="1" x14ac:dyDescent="0.25">
      <c r="A26" s="74" t="str">
        <f>IF($I26&gt;0,VLOOKUP(I26,'Lista de Precios'!$A$3:$L$2883,9,0),0)</f>
        <v>Kids</v>
      </c>
      <c r="B26" s="74" t="str">
        <f>IF($I26&gt;0,VLOOKUP(I26,'Lista de Precios'!$A$3:$H$2883,7,0),0)</f>
        <v>CONT</v>
      </c>
      <c r="C26" s="7" t="str">
        <f>IF($I26&gt;0,VLOOKUP(I26,'Lista de Precios'!$A$3:$H$2883,2,0),"")</f>
        <v>EVER 2.0 KIDS</v>
      </c>
      <c r="D26" s="7" t="str">
        <f>IF($I26&gt;0,VLOOKUP(I26,'Lista de Precios'!$A$3:$H$2883,3,0),"")</f>
        <v>NEGRO /GRIS CITY / VERDE EMER</v>
      </c>
      <c r="E26" s="76" t="str">
        <f>IF($I26&gt;0,VLOOKUP(I26,'Lista de Precios'!$A$3:$H$2883,6,0),"")</f>
        <v>FEBRERO</v>
      </c>
      <c r="F26" s="76" t="str">
        <f>IF($I26&gt;0,VLOOKUP(I26,'Lista de Precios'!$A$3:$H$2883,8,0),"")</f>
        <v>25 AL 34</v>
      </c>
      <c r="G26" s="101">
        <f t="shared" si="3"/>
        <v>64900</v>
      </c>
      <c r="H26" s="20" t="s">
        <v>3</v>
      </c>
      <c r="I26" s="18">
        <v>25875</v>
      </c>
      <c r="J26" s="28" t="str">
        <f t="shared" si="12"/>
        <v>FEBRERO</v>
      </c>
      <c r="K26" s="24"/>
      <c r="L26" s="37"/>
      <c r="M26" s="37"/>
      <c r="N26" s="37"/>
      <c r="O26" s="37"/>
      <c r="P26" s="40"/>
      <c r="Q26" s="39">
        <v>2</v>
      </c>
      <c r="R26" s="37">
        <v>2</v>
      </c>
      <c r="S26" s="37">
        <v>2</v>
      </c>
      <c r="T26" s="37">
        <v>4</v>
      </c>
      <c r="U26" s="37">
        <v>4</v>
      </c>
      <c r="V26" s="37">
        <v>4</v>
      </c>
      <c r="W26" s="37">
        <v>4</v>
      </c>
      <c r="X26" s="37">
        <v>4</v>
      </c>
      <c r="Y26" s="37">
        <v>6</v>
      </c>
      <c r="Z26" s="40">
        <v>6</v>
      </c>
      <c r="AA26" s="41"/>
      <c r="AB26" s="37"/>
      <c r="AC26" s="37"/>
      <c r="AD26" s="37"/>
      <c r="AE26" s="37"/>
      <c r="AF26" s="37"/>
      <c r="AG26" s="37"/>
      <c r="AH26" s="36"/>
      <c r="AI26" s="36"/>
      <c r="AJ26" s="36"/>
      <c r="AK26" s="42"/>
      <c r="AL26" s="42"/>
      <c r="AM26" s="73">
        <f t="shared" ref="AM26" si="15">+IF(I26&gt;0,SUM(L26:AL26),0)</f>
        <v>38</v>
      </c>
      <c r="AN26" s="71">
        <f>+IF($I26&gt;0,VLOOKUP($I26,'Lista de Precios'!$A$3:$H$2883,4,0),"")</f>
        <v>34705.882352941175</v>
      </c>
      <c r="AO26" s="68">
        <f t="shared" si="4"/>
        <v>1318823.5294117646</v>
      </c>
      <c r="AP26" s="7" t="str">
        <f>IF($I26&gt;0,VLOOKUP($I26,'Lista de Precios'!$A$3:$K$2883,10,0),"")</f>
        <v>Casual</v>
      </c>
      <c r="AQ26" s="7" t="str">
        <f>IF($I26&gt;0,VLOOKUP($I26,'Lista de Precios'!$A$3:$M$49893,13,0),"")</f>
        <v>Kids</v>
      </c>
      <c r="HQ26" s="134"/>
      <c r="HR26" s="134"/>
      <c r="HS26" s="134"/>
      <c r="HT26" s="134"/>
      <c r="HU26" s="134"/>
      <c r="HV26" s="134"/>
      <c r="HW26" s="134"/>
      <c r="HX26" s="134"/>
      <c r="HY26" s="134"/>
      <c r="HZ26" s="134"/>
      <c r="IA26" s="134"/>
      <c r="IB26" s="134"/>
      <c r="ID26" s="134"/>
      <c r="IE26" s="134"/>
      <c r="IF26" s="134"/>
      <c r="IG26" s="134"/>
      <c r="IH26" s="134"/>
      <c r="II26" s="134"/>
      <c r="IJ26" s="134"/>
      <c r="IK26" s="134"/>
      <c r="IL26" s="134"/>
      <c r="IM26" s="135"/>
      <c r="IN26" s="135"/>
      <c r="IO26" s="135"/>
      <c r="XEO26" s="7" t="str">
        <f t="shared" si="14"/>
        <v/>
      </c>
      <c r="XEP26" s="7" t="str">
        <f t="shared" si="5"/>
        <v/>
      </c>
      <c r="XEQ26" s="7" t="str">
        <f t="shared" si="6"/>
        <v/>
      </c>
      <c r="XER26" s="7" t="str">
        <f t="shared" si="7"/>
        <v/>
      </c>
    </row>
    <row r="27" spans="1:250 16369:16373" ht="23.25" customHeight="1" x14ac:dyDescent="0.25">
      <c r="A27" s="74">
        <f>IF($I27&gt;0,VLOOKUP(I27,'Lista de Precios'!$A$3:$L$2883,9,0),0)</f>
        <v>0</v>
      </c>
      <c r="B27" s="74">
        <f>IF($I27&gt;0,VLOOKUP(I27,'Lista de Precios'!$A$3:$H$2883,7,0),0)</f>
        <v>0</v>
      </c>
      <c r="C27" s="7" t="str">
        <f>IF($I27&gt;0,VLOOKUP(I27,'Lista de Precios'!$A$3:$H$2883,2,0),"")</f>
        <v/>
      </c>
      <c r="D27" s="7" t="str">
        <f>IF($I27&gt;0,VLOOKUP(I27,'Lista de Precios'!$A$3:$H$2883,3,0),"")</f>
        <v/>
      </c>
      <c r="E27" s="76" t="str">
        <f>IF($I27&gt;0,VLOOKUP(I27,'Lista de Precios'!$A$3:$H$2883,6,0),"")</f>
        <v/>
      </c>
      <c r="F27" s="76" t="str">
        <f>IF($I27&gt;0,VLOOKUP(I27,'Lista de Precios'!$A$3:$H$2883,8,0),"")</f>
        <v/>
      </c>
      <c r="G27" s="101" t="str">
        <f t="shared" si="3"/>
        <v/>
      </c>
      <c r="H27" s="20" t="s">
        <v>3</v>
      </c>
      <c r="I27" s="18"/>
      <c r="J27" s="28" t="str">
        <f t="shared" si="12"/>
        <v/>
      </c>
      <c r="K27" s="24">
        <f>+IF($I27&gt;0,VLOOKUP($I27,'Lista de Precios'!$A$3:$H$2883,5,0),0)</f>
        <v>0</v>
      </c>
      <c r="L27" s="36"/>
      <c r="M27" s="36"/>
      <c r="N27" s="36"/>
      <c r="O27" s="37"/>
      <c r="P27" s="38"/>
      <c r="Q27" s="39"/>
      <c r="R27" s="37"/>
      <c r="S27" s="37"/>
      <c r="T27" s="37"/>
      <c r="U27" s="37"/>
      <c r="V27" s="37"/>
      <c r="W27" s="37"/>
      <c r="X27" s="37"/>
      <c r="Y27" s="37"/>
      <c r="Z27" s="40"/>
      <c r="AA27" s="41"/>
      <c r="AB27" s="37"/>
      <c r="AC27" s="37"/>
      <c r="AD27" s="37"/>
      <c r="AE27" s="37"/>
      <c r="AF27" s="37"/>
      <c r="AG27" s="37"/>
      <c r="AH27" s="42"/>
      <c r="AI27" s="42"/>
      <c r="AJ27" s="43"/>
      <c r="AK27" s="43"/>
      <c r="AL27" s="43"/>
      <c r="AM27" s="73">
        <f t="shared" si="2"/>
        <v>0</v>
      </c>
      <c r="AN27" s="71" t="str">
        <f>+IF($I27&gt;0,VLOOKUP($I27,'Lista de Precios'!$A$3:$H$2883,4,0),"")</f>
        <v/>
      </c>
      <c r="AO27" s="68" t="str">
        <f t="shared" si="4"/>
        <v/>
      </c>
      <c r="AP27" s="7" t="str">
        <f>IF($I27&gt;0,VLOOKUP($I27,'Lista de Precios'!$A$3:$K$2883,10,0),"")</f>
        <v/>
      </c>
      <c r="AQ27" s="7" t="str">
        <f>IF($I27&gt;0,VLOOKUP($I27,'Lista de Precios'!$A$3:$M$4893,13,0),"")</f>
        <v/>
      </c>
      <c r="AR27" s="7" t="str">
        <f>IF($I27&gt;0,VLOOKUP(I27,'Lista de Precios'!$A$3:$M$2883,13,0),"")</f>
        <v/>
      </c>
      <c r="HR27" s="134"/>
      <c r="HS27" s="134"/>
      <c r="HT27" s="134"/>
      <c r="HU27" s="134"/>
      <c r="HV27" s="134"/>
      <c r="HW27" s="134"/>
      <c r="HX27" s="134"/>
      <c r="HY27" s="134"/>
      <c r="HZ27" s="134"/>
      <c r="IA27" s="134"/>
      <c r="IB27" s="134"/>
      <c r="IC27" s="134"/>
      <c r="IE27" s="134"/>
      <c r="IF27" s="134"/>
      <c r="IG27" s="134"/>
      <c r="IH27" s="134"/>
      <c r="II27" s="134"/>
      <c r="IJ27" s="134"/>
      <c r="IK27" s="134"/>
      <c r="IL27" s="134"/>
      <c r="IM27" s="134"/>
      <c r="IN27" s="135"/>
      <c r="IO27" s="135"/>
      <c r="IP27" s="135"/>
      <c r="XEP27" s="7" t="str">
        <f t="shared" si="5"/>
        <v/>
      </c>
      <c r="XEQ27" s="7" t="str">
        <f t="shared" si="6"/>
        <v/>
      </c>
      <c r="XER27" s="7" t="str">
        <f t="shared" si="7"/>
        <v/>
      </c>
      <c r="XES27" s="7" t="str">
        <f t="shared" si="8"/>
        <v/>
      </c>
    </row>
    <row r="28" spans="1:250 16369:16373" ht="23.25" customHeight="1" x14ac:dyDescent="0.25">
      <c r="A28" s="74" t="str">
        <f>IF($I28&gt;0,VLOOKUP(I28,'Lista de Precios'!$A$3:$L$2883,9,0),0)</f>
        <v>Unisex</v>
      </c>
      <c r="B28" s="74" t="str">
        <f>IF($I28&gt;0,VLOOKUP(I28,'Lista de Precios'!$A$3:$H$2883,7,0),0)</f>
        <v>CONT</v>
      </c>
      <c r="C28" s="7" t="str">
        <f>IF($I28&gt;0,VLOOKUP(I28,'Lista de Precios'!$A$3:$H$2883,2,0),"")</f>
        <v>BANGLE</v>
      </c>
      <c r="D28" s="7" t="str">
        <f>IF($I28&gt;0,VLOOKUP(I28,'Lista de Precios'!$A$3:$H$2883,3,0),"")</f>
        <v>NEGRO/VIOLETA IMPERIAL</v>
      </c>
      <c r="E28" s="76" t="str">
        <f>IF($I28&gt;0,VLOOKUP(I28,'Lista de Precios'!$A$3:$H$2883,6,0),"")</f>
        <v>ENERO</v>
      </c>
      <c r="F28" s="76" t="str">
        <f>IF($I28&gt;0,VLOOKUP(I28,'Lista de Precios'!$A$3:$H$2883,8,0),"")</f>
        <v>35 AL 46</v>
      </c>
      <c r="G28" s="101">
        <f t="shared" si="3"/>
        <v>94500</v>
      </c>
      <c r="H28" s="20" t="s">
        <v>3</v>
      </c>
      <c r="I28" s="18">
        <v>25882</v>
      </c>
      <c r="J28" s="28" t="str">
        <f t="shared" si="12"/>
        <v>ENERO</v>
      </c>
      <c r="K28" s="24">
        <f>+IF($I28&gt;0,VLOOKUP($I28,'Lista de Precios'!$A$3:$H$2883,5,0),0)</f>
        <v>1</v>
      </c>
      <c r="L28" s="36"/>
      <c r="M28" s="36"/>
      <c r="N28" s="36"/>
      <c r="O28" s="37"/>
      <c r="P28" s="38"/>
      <c r="Q28" s="39"/>
      <c r="R28" s="37"/>
      <c r="S28" s="37"/>
      <c r="T28" s="37"/>
      <c r="U28" s="37"/>
      <c r="V28" s="37"/>
      <c r="W28" s="37"/>
      <c r="X28" s="37"/>
      <c r="Y28" s="37"/>
      <c r="Z28" s="40"/>
      <c r="AA28" s="41"/>
      <c r="AB28" s="37">
        <v>2</v>
      </c>
      <c r="AC28" s="37">
        <v>4</v>
      </c>
      <c r="AD28" s="37">
        <v>8</v>
      </c>
      <c r="AE28" s="37">
        <v>8</v>
      </c>
      <c r="AF28" s="37">
        <v>12</v>
      </c>
      <c r="AG28" s="37">
        <v>6</v>
      </c>
      <c r="AH28" s="42">
        <v>6</v>
      </c>
      <c r="AI28" s="42">
        <v>2</v>
      </c>
      <c r="AJ28" s="43">
        <v>2</v>
      </c>
      <c r="AK28" s="43"/>
      <c r="AL28" s="43"/>
      <c r="AM28" s="73">
        <f t="shared" si="2"/>
        <v>50</v>
      </c>
      <c r="AN28" s="71">
        <f>+IF($I28&gt;0,VLOOKUP($I28,'Lista de Precios'!$A$3:$H$2883,4,0),"")</f>
        <v>50534.759358288764</v>
      </c>
      <c r="AO28" s="68">
        <f t="shared" si="4"/>
        <v>2526737.9679144383</v>
      </c>
      <c r="AP28" s="7" t="str">
        <f>IF($I28&gt;0,VLOOKUP($I28,'Lista de Precios'!$A$3:$K$2883,10,0),"")</f>
        <v>Casual</v>
      </c>
      <c r="AQ28" s="7" t="str">
        <f>IF($I28&gt;0,VLOOKUP($I28,'Lista de Precios'!$A$3:$M$4893,13,0),"")</f>
        <v>Casual</v>
      </c>
      <c r="AR28" s="7" t="str">
        <f>IF($I28&gt;0,VLOOKUP(I28,'Lista de Precios'!$A$3:$M$2883,13,0),"")</f>
        <v>Casual</v>
      </c>
      <c r="HR28" s="134"/>
      <c r="HS28" s="134"/>
      <c r="HT28" s="134"/>
      <c r="HU28" s="134"/>
      <c r="HV28" s="134"/>
      <c r="HW28" s="134"/>
      <c r="HX28" s="134"/>
      <c r="HY28" s="134"/>
      <c r="HZ28" s="134"/>
      <c r="IA28" s="134"/>
      <c r="IB28" s="134"/>
      <c r="IC28" s="134"/>
      <c r="IE28" s="134"/>
      <c r="IF28" s="134"/>
      <c r="IG28" s="134"/>
      <c r="IH28" s="134"/>
      <c r="II28" s="134"/>
      <c r="IJ28" s="134"/>
      <c r="IK28" s="134"/>
      <c r="IL28" s="134"/>
      <c r="IM28" s="134"/>
      <c r="IN28" s="135"/>
      <c r="IO28" s="135"/>
      <c r="IP28" s="135"/>
      <c r="XEP28" s="7">
        <f t="shared" si="5"/>
        <v>50</v>
      </c>
      <c r="XEQ28" s="7" t="str">
        <f t="shared" si="6"/>
        <v/>
      </c>
      <c r="XER28" s="7" t="str">
        <f t="shared" si="7"/>
        <v/>
      </c>
      <c r="XES28" s="7" t="str">
        <f t="shared" si="8"/>
        <v/>
      </c>
    </row>
    <row r="29" spans="1:250 16369:16373" ht="23.25" customHeight="1" x14ac:dyDescent="0.25">
      <c r="A29" s="74" t="str">
        <f>IF($I29&gt;0,VLOOKUP(I29,'Lista de Precios'!$A$3:$L$2883,9,0),0)</f>
        <v>Mujer</v>
      </c>
      <c r="B29" s="74" t="str">
        <f>IF($I29&gt;0,VLOOKUP(I29,'Lista de Precios'!$A$3:$H$2883,7,0),0)</f>
        <v>CONT</v>
      </c>
      <c r="C29" s="7" t="str">
        <f>IF($I29&gt;0,VLOOKUP(I29,'Lista de Precios'!$A$3:$H$2883,2,0),"")</f>
        <v>BANGLE</v>
      </c>
      <c r="D29" s="7" t="str">
        <f>IF($I29&gt;0,VLOOKUP(I29,'Lista de Precios'!$A$3:$H$2883,3,0),"")</f>
        <v>BEIGE TOFU/ROJO EARTH</v>
      </c>
      <c r="E29" s="76" t="str">
        <f>IF($I29&gt;0,VLOOKUP(I29,'Lista de Precios'!$A$3:$H$2883,6,0),"")</f>
        <v>ENERO</v>
      </c>
      <c r="F29" s="76" t="str">
        <f>IF($I29&gt;0,VLOOKUP(I29,'Lista de Precios'!$A$3:$H$2883,8,0),"")</f>
        <v>35 AL 40</v>
      </c>
      <c r="G29" s="101">
        <f t="shared" si="3"/>
        <v>94500</v>
      </c>
      <c r="H29" s="20" t="s">
        <v>3</v>
      </c>
      <c r="I29" s="18">
        <v>25883</v>
      </c>
      <c r="J29" s="28" t="str">
        <f t="shared" si="12"/>
        <v>ENERO</v>
      </c>
      <c r="K29" s="24">
        <f>+IF($I29&gt;0,VLOOKUP($I29,'Lista de Precios'!$A$3:$H$2883,5,0),0)</f>
        <v>1</v>
      </c>
      <c r="L29" s="37"/>
      <c r="M29" s="37"/>
      <c r="N29" s="37"/>
      <c r="O29" s="37"/>
      <c r="P29" s="40"/>
      <c r="Q29" s="39"/>
      <c r="R29" s="37"/>
      <c r="S29" s="37"/>
      <c r="T29" s="37"/>
      <c r="U29" s="37"/>
      <c r="V29" s="37"/>
      <c r="W29" s="37"/>
      <c r="X29" s="37"/>
      <c r="Y29" s="37"/>
      <c r="Z29" s="40"/>
      <c r="AA29" s="41"/>
      <c r="AB29" s="37">
        <v>2</v>
      </c>
      <c r="AC29" s="37">
        <v>2</v>
      </c>
      <c r="AD29" s="37">
        <v>4</v>
      </c>
      <c r="AE29" s="37">
        <v>4</v>
      </c>
      <c r="AF29" s="43">
        <v>4</v>
      </c>
      <c r="AG29" s="43"/>
      <c r="AH29" s="42"/>
      <c r="AI29" s="42"/>
      <c r="AJ29" s="42"/>
      <c r="AK29" s="42"/>
      <c r="AL29" s="43"/>
      <c r="AM29" s="73">
        <f t="shared" si="2"/>
        <v>16</v>
      </c>
      <c r="AN29" s="71">
        <f>+IF($I29&gt;0,VLOOKUP($I29,'Lista de Precios'!$A$3:$H$2883,4,0),"")</f>
        <v>50534.759358288764</v>
      </c>
      <c r="AO29" s="68">
        <f t="shared" si="4"/>
        <v>808556.14973262022</v>
      </c>
      <c r="AP29" s="7" t="str">
        <f>IF($I29&gt;0,VLOOKUP($I29,'Lista de Precios'!$A$3:$K$2883,10,0),"")</f>
        <v>Casual</v>
      </c>
      <c r="AQ29" s="7" t="str">
        <f>IF($I29&gt;0,VLOOKUP($I29,'Lista de Precios'!$A$3:$M$4893,13,0),"")</f>
        <v>Casual</v>
      </c>
      <c r="AR29" s="7" t="str">
        <f>IF($I29&gt;0,VLOOKUP(I29,'Lista de Precios'!$A$3:$M$2883,13,0),"")</f>
        <v>Casual</v>
      </c>
      <c r="HR29" s="134"/>
      <c r="HS29" s="134"/>
      <c r="HT29" s="134"/>
      <c r="HU29" s="134"/>
      <c r="HV29" s="134"/>
      <c r="HW29" s="134"/>
      <c r="HX29" s="134"/>
      <c r="HY29" s="134"/>
      <c r="HZ29" s="134"/>
      <c r="IA29" s="134"/>
      <c r="IB29" s="134"/>
      <c r="IC29" s="134"/>
      <c r="IE29" s="134"/>
      <c r="IF29" s="134"/>
      <c r="IG29" s="134"/>
      <c r="IH29" s="134"/>
      <c r="II29" s="134"/>
      <c r="IJ29" s="134"/>
      <c r="IK29" s="134"/>
      <c r="IL29" s="134"/>
      <c r="IM29" s="134"/>
      <c r="IN29" s="135"/>
      <c r="IO29" s="135"/>
      <c r="IP29" s="135"/>
      <c r="XEP29" s="7">
        <f t="shared" si="5"/>
        <v>16</v>
      </c>
      <c r="XEQ29" s="7" t="str">
        <f t="shared" si="6"/>
        <v/>
      </c>
      <c r="XER29" s="7" t="str">
        <f t="shared" si="7"/>
        <v/>
      </c>
      <c r="XES29" s="7" t="str">
        <f t="shared" si="8"/>
        <v/>
      </c>
    </row>
    <row r="30" spans="1:250 16369:16373" ht="23.25" customHeight="1" x14ac:dyDescent="0.25">
      <c r="A30" s="74" t="str">
        <f>IF($I30&gt;0,VLOOKUP(I30,'Lista de Precios'!$A$3:$L$2883,9,0),0)</f>
        <v>Kids</v>
      </c>
      <c r="B30" s="74" t="str">
        <f>IF($I30&gt;0,VLOOKUP(I30,'Lista de Precios'!$A$3:$H$2883,7,0),0)</f>
        <v>LANZ</v>
      </c>
      <c r="C30" s="7" t="str">
        <f>IF($I30&gt;0,VLOOKUP(I30,'Lista de Precios'!$A$3:$H$2883,2,0),"")</f>
        <v>T450 CS KIDS</v>
      </c>
      <c r="D30" s="7" t="str">
        <f>IF($I30&gt;0,VLOOKUP(I30,'Lista de Precios'!$A$3:$H$2883,3,0),"")</f>
        <v>NEGRO / GRIS CITY</v>
      </c>
      <c r="E30" s="76" t="str">
        <f>IF($I30&gt;0,VLOOKUP(I30,'Lista de Precios'!$A$3:$H$2883,6,0),"")</f>
        <v>MARZO</v>
      </c>
      <c r="F30" s="76" t="str">
        <f>IF($I30&gt;0,VLOOKUP(I30,'Lista de Precios'!$A$3:$H$2883,8,0),"")</f>
        <v>25 AL 34</v>
      </c>
      <c r="G30" s="101">
        <f t="shared" si="3"/>
        <v>55900</v>
      </c>
      <c r="H30" s="20" t="s">
        <v>3</v>
      </c>
      <c r="I30" s="18">
        <v>52522</v>
      </c>
      <c r="J30" s="28" t="str">
        <f t="shared" si="12"/>
        <v>MARZO</v>
      </c>
      <c r="K30" s="24">
        <f>+IF($I30&gt;0,VLOOKUP($I30,'Lista de Precios'!$A$3:$H$2883,5,0),0)</f>
        <v>1</v>
      </c>
      <c r="L30" s="36"/>
      <c r="M30" s="36"/>
      <c r="N30" s="36"/>
      <c r="O30" s="37"/>
      <c r="P30" s="38"/>
      <c r="Q30" s="45"/>
      <c r="R30" s="43"/>
      <c r="S30" s="43">
        <v>2</v>
      </c>
      <c r="T30" s="43">
        <v>4</v>
      </c>
      <c r="U30" s="43">
        <v>4</v>
      </c>
      <c r="V30" s="43">
        <v>2</v>
      </c>
      <c r="W30" s="43">
        <v>2</v>
      </c>
      <c r="X30" s="43">
        <v>6</v>
      </c>
      <c r="Y30" s="37">
        <v>4</v>
      </c>
      <c r="Z30" s="40">
        <v>2</v>
      </c>
      <c r="AA30" s="41"/>
      <c r="AB30" s="37"/>
      <c r="AC30" s="37"/>
      <c r="AD30" s="37"/>
      <c r="AE30" s="37"/>
      <c r="AF30" s="43"/>
      <c r="AG30" s="43"/>
      <c r="AH30" s="42"/>
      <c r="AI30" s="42"/>
      <c r="AJ30" s="42"/>
      <c r="AK30" s="42"/>
      <c r="AL30" s="43"/>
      <c r="AM30" s="73">
        <f t="shared" si="2"/>
        <v>26</v>
      </c>
      <c r="AN30" s="71">
        <f>+IF($I30&gt;0,VLOOKUP($I30,'Lista de Precios'!$A$3:$H$2883,4,0),"")</f>
        <v>29893.048128342245</v>
      </c>
      <c r="AO30" s="68">
        <f t="shared" si="4"/>
        <v>777219.25133689842</v>
      </c>
      <c r="AP30" s="7" t="str">
        <f>IF($I30&gt;0,VLOOKUP($I30,'Lista de Precios'!$A$3:$K$2883,10,0),"")</f>
        <v>Casual</v>
      </c>
      <c r="AQ30" s="7" t="str">
        <f>IF($I30&gt;0,VLOOKUP($I30,'Lista de Precios'!$A$3:$M$4893,13,0),"")</f>
        <v>Kids</v>
      </c>
      <c r="AR30" s="7" t="str">
        <f>IF($I30&gt;0,VLOOKUP(I30,'Lista de Precios'!$A$3:$M$2883,13,0),"")</f>
        <v>Kids</v>
      </c>
      <c r="HR30" s="134"/>
      <c r="HS30" s="134"/>
      <c r="HT30" s="134"/>
      <c r="HU30" s="134"/>
      <c r="HV30" s="134"/>
      <c r="HW30" s="134"/>
      <c r="HX30" s="134"/>
      <c r="HY30" s="134"/>
      <c r="HZ30" s="134"/>
      <c r="IA30" s="134"/>
      <c r="IB30" s="134"/>
      <c r="IC30" s="134"/>
      <c r="IE30" s="134"/>
      <c r="IF30" s="134"/>
      <c r="IG30" s="134"/>
      <c r="IH30" s="134"/>
      <c r="II30" s="134"/>
      <c r="IJ30" s="134"/>
      <c r="IK30" s="134"/>
      <c r="IL30" s="134"/>
      <c r="IM30" s="134"/>
      <c r="IN30" s="135"/>
      <c r="IO30" s="135"/>
      <c r="IP30" s="135"/>
      <c r="XEP30" s="7" t="str">
        <f t="shared" si="5"/>
        <v/>
      </c>
      <c r="XEQ30" s="7" t="str">
        <f t="shared" si="6"/>
        <v/>
      </c>
      <c r="XER30" s="7" t="str">
        <f t="shared" si="7"/>
        <v/>
      </c>
      <c r="XES30" s="7">
        <f t="shared" si="8"/>
        <v>26</v>
      </c>
    </row>
    <row r="31" spans="1:250 16369:16373" ht="23.25" customHeight="1" x14ac:dyDescent="0.25">
      <c r="A31" s="74" t="str">
        <f>IF($I31&gt;0,VLOOKUP(I31,'Lista de Precios'!$A$3:$L$2883,9,0),0)</f>
        <v>Hombre</v>
      </c>
      <c r="B31" s="74" t="str">
        <f>IF($I31&gt;0,VLOOKUP(I31,'Lista de Precios'!$A$3:$H$2883,7,0),0)</f>
        <v>CONT</v>
      </c>
      <c r="C31" s="7" t="str">
        <f>IF($I31&gt;0,VLOOKUP(I31,'Lista de Precios'!$A$3:$H$2883,2,0),"")</f>
        <v>KAISER 4 TF</v>
      </c>
      <c r="D31" s="7" t="str">
        <f>IF($I31&gt;0,VLOOKUP(I31,'Lista de Precios'!$A$3:$H$2883,3,0),"")</f>
        <v>AMARILLO TONIC/NEGRO</v>
      </c>
      <c r="E31" s="76" t="str">
        <f>IF($I31&gt;0,VLOOKUP(I31,'Lista de Precios'!$A$3:$H$2883,6,0),"")</f>
        <v>MARZO</v>
      </c>
      <c r="F31" s="76" t="str">
        <f>IF($I31&gt;0,VLOOKUP(I31,'Lista de Precios'!$A$3:$H$2883,8,0),"")</f>
        <v>35 AL 45</v>
      </c>
      <c r="G31" s="101">
        <f t="shared" si="3"/>
        <v>56900</v>
      </c>
      <c r="H31" s="20" t="s">
        <v>3</v>
      </c>
      <c r="I31" s="18">
        <v>52533</v>
      </c>
      <c r="J31" s="28" t="str">
        <f t="shared" si="12"/>
        <v>MARZO</v>
      </c>
      <c r="K31" s="24">
        <f>+IF($I31&gt;0,VLOOKUP($I31,'Lista de Precios'!$A$3:$H$2883,5,0),0)</f>
        <v>1</v>
      </c>
      <c r="L31" s="42"/>
      <c r="M31" s="42"/>
      <c r="N31" s="42"/>
      <c r="O31" s="43"/>
      <c r="P31" s="46"/>
      <c r="Q31" s="45"/>
      <c r="R31" s="43"/>
      <c r="S31" s="43">
        <v>2</v>
      </c>
      <c r="T31" s="43">
        <v>2</v>
      </c>
      <c r="U31" s="43">
        <v>2</v>
      </c>
      <c r="V31" s="43">
        <v>2</v>
      </c>
      <c r="W31" s="43">
        <v>2</v>
      </c>
      <c r="X31" s="43">
        <v>4</v>
      </c>
      <c r="Y31" s="37">
        <v>2</v>
      </c>
      <c r="Z31" s="40">
        <v>2</v>
      </c>
      <c r="AA31" s="41"/>
      <c r="AB31" s="37"/>
      <c r="AC31" s="37"/>
      <c r="AD31" s="37"/>
      <c r="AE31" s="37"/>
      <c r="AF31" s="43"/>
      <c r="AG31" s="43"/>
      <c r="AH31" s="42"/>
      <c r="AI31" s="42"/>
      <c r="AJ31" s="42"/>
      <c r="AK31" s="42"/>
      <c r="AL31" s="43"/>
      <c r="AM31" s="73">
        <f t="shared" si="2"/>
        <v>18</v>
      </c>
      <c r="AN31" s="71">
        <f>+IF($I31&gt;0,VLOOKUP($I31,'Lista de Precios'!$A$3:$H$2883,4,0),"")</f>
        <v>30427.807486631013</v>
      </c>
      <c r="AO31" s="68">
        <f t="shared" si="4"/>
        <v>547700.53475935827</v>
      </c>
      <c r="AP31" s="7" t="str">
        <f>IF($I31&gt;0,VLOOKUP($I31,'Lista de Precios'!$A$3:$K$2883,10,0),"")</f>
        <v>Futbol</v>
      </c>
      <c r="AQ31" s="7" t="str">
        <f>IF($I31&gt;0,VLOOKUP($I31,'Lista de Precios'!$A$3:$M$4893,13,0),"")</f>
        <v>Multideporte</v>
      </c>
      <c r="AR31" s="7" t="str">
        <f>IF($I31&gt;0,VLOOKUP(I31,'Lista de Precios'!$A$3:$M$2883,13,0),"")</f>
        <v>Multideporte</v>
      </c>
      <c r="HR31" s="134"/>
      <c r="HS31" s="134"/>
      <c r="HT31" s="134"/>
      <c r="HU31" s="134"/>
      <c r="HV31" s="134"/>
      <c r="HW31" s="134"/>
      <c r="HX31" s="134"/>
      <c r="HY31" s="134"/>
      <c r="HZ31" s="134"/>
      <c r="IA31" s="134"/>
      <c r="IB31" s="134"/>
      <c r="IC31" s="134"/>
      <c r="IE31" s="134"/>
      <c r="IF31" s="134"/>
      <c r="IG31" s="134"/>
      <c r="IH31" s="134"/>
      <c r="II31" s="134"/>
      <c r="IJ31" s="134"/>
      <c r="IK31" s="134"/>
      <c r="IL31" s="134"/>
      <c r="IM31" s="134"/>
      <c r="IN31" s="135"/>
      <c r="IO31" s="135"/>
      <c r="IP31" s="135"/>
      <c r="XEP31" s="7" t="str">
        <f t="shared" si="5"/>
        <v/>
      </c>
      <c r="XEQ31" s="7" t="str">
        <f t="shared" si="6"/>
        <v/>
      </c>
      <c r="XER31" s="7" t="str">
        <f t="shared" si="7"/>
        <v/>
      </c>
      <c r="XES31" s="7" t="str">
        <f t="shared" si="8"/>
        <v/>
      </c>
    </row>
    <row r="32" spans="1:250 16369:16373" ht="23.25" customHeight="1" x14ac:dyDescent="0.25">
      <c r="A32" s="74">
        <f>IF($I32&gt;0,VLOOKUP(I32,'Lista de Precios'!$A$3:$L$2883,9,0),0)</f>
        <v>0</v>
      </c>
      <c r="B32" s="74">
        <f>IF($I32&gt;0,VLOOKUP(I32,'Lista de Precios'!$A$3:$H$2883,7,0),0)</f>
        <v>0</v>
      </c>
      <c r="C32" s="7" t="str">
        <f>IF($I32&gt;0,VLOOKUP(I32,'Lista de Precios'!$A$3:$H$2883,2,0),"")</f>
        <v/>
      </c>
      <c r="D32" s="7" t="str">
        <f>IF($I32&gt;0,VLOOKUP(I32,'Lista de Precios'!$A$3:$H$2883,3,0),"")</f>
        <v/>
      </c>
      <c r="E32" s="76" t="str">
        <f>IF($I32&gt;0,VLOOKUP(I32,'Lista de Precios'!$A$3:$H$2883,6,0),"")</f>
        <v/>
      </c>
      <c r="F32" s="76" t="str">
        <f>IF($I32&gt;0,VLOOKUP(I32,'Lista de Precios'!$A$3:$H$2883,8,0),"")</f>
        <v/>
      </c>
      <c r="G32" s="101" t="str">
        <f t="shared" si="3"/>
        <v/>
      </c>
      <c r="H32" s="20" t="s">
        <v>3</v>
      </c>
      <c r="I32" s="18"/>
      <c r="J32" s="28" t="str">
        <f t="shared" si="12"/>
        <v/>
      </c>
      <c r="K32" s="24">
        <f>+IF($I32&gt;0,VLOOKUP($I32,'Lista de Precios'!$A$3:$H$2883,5,0),0)</f>
        <v>0</v>
      </c>
      <c r="L32" s="43"/>
      <c r="M32" s="43"/>
      <c r="N32" s="43"/>
      <c r="O32" s="43"/>
      <c r="P32" s="44"/>
      <c r="Q32" s="45"/>
      <c r="R32" s="43"/>
      <c r="S32" s="43"/>
      <c r="T32" s="43"/>
      <c r="U32" s="43"/>
      <c r="V32" s="43"/>
      <c r="W32" s="43"/>
      <c r="X32" s="43"/>
      <c r="Y32" s="37"/>
      <c r="Z32" s="40"/>
      <c r="AA32" s="41"/>
      <c r="AB32" s="37"/>
      <c r="AC32" s="37"/>
      <c r="AD32" s="37"/>
      <c r="AE32" s="37"/>
      <c r="AF32" s="43"/>
      <c r="AG32" s="43"/>
      <c r="AH32" s="42"/>
      <c r="AI32" s="42"/>
      <c r="AJ32" s="42"/>
      <c r="AK32" s="42"/>
      <c r="AL32" s="43"/>
      <c r="AM32" s="73">
        <f t="shared" si="2"/>
        <v>0</v>
      </c>
      <c r="AN32" s="71" t="str">
        <f>+IF($I32&gt;0,VLOOKUP($I32,'Lista de Precios'!$A$3:$H$2883,4,0),"")</f>
        <v/>
      </c>
      <c r="AO32" s="68" t="str">
        <f t="shared" si="4"/>
        <v/>
      </c>
      <c r="AP32" s="7" t="str">
        <f>IF($I32&gt;0,VLOOKUP($I32,'Lista de Precios'!$A$3:$K$2883,10,0),"")</f>
        <v/>
      </c>
      <c r="AQ32" s="7" t="str">
        <f>IF($I32&gt;0,VLOOKUP($I32,'Lista de Precios'!$A$3:$M$4893,13,0),"")</f>
        <v/>
      </c>
      <c r="AR32" s="7" t="str">
        <f>IF($I32&gt;0,VLOOKUP(I32,'Lista de Precios'!$A$3:$M$2883,13,0),"")</f>
        <v/>
      </c>
      <c r="HR32" s="134"/>
      <c r="HS32" s="134"/>
      <c r="HT32" s="134"/>
      <c r="HU32" s="134"/>
      <c r="HV32" s="134"/>
      <c r="HW32" s="134"/>
      <c r="HX32" s="134"/>
      <c r="HY32" s="134"/>
      <c r="HZ32" s="134"/>
      <c r="IA32" s="134"/>
      <c r="IB32" s="134"/>
      <c r="IC32" s="134"/>
      <c r="IE32" s="134"/>
      <c r="IF32" s="134"/>
      <c r="IG32" s="134"/>
      <c r="IH32" s="134"/>
      <c r="II32" s="134"/>
      <c r="IJ32" s="134"/>
      <c r="IK32" s="134"/>
      <c r="IL32" s="134"/>
      <c r="IM32" s="134"/>
      <c r="IN32" s="135"/>
      <c r="IO32" s="135"/>
      <c r="IP32" s="135"/>
      <c r="XEP32" s="7" t="str">
        <f t="shared" si="5"/>
        <v/>
      </c>
      <c r="XEQ32" s="7" t="str">
        <f t="shared" si="6"/>
        <v/>
      </c>
      <c r="XER32" s="7" t="str">
        <f t="shared" si="7"/>
        <v/>
      </c>
      <c r="XES32" s="7" t="str">
        <f t="shared" si="8"/>
        <v/>
      </c>
    </row>
    <row r="33" spans="1:250 16370:16373" ht="23.25" customHeight="1" x14ac:dyDescent="0.25">
      <c r="A33" s="74">
        <f>IF($I33&gt;0,VLOOKUP(I33,'Lista de Precios'!$A$3:$L$2883,9,0),0)</f>
        <v>0</v>
      </c>
      <c r="B33" s="74">
        <f>IF($I33&gt;0,VLOOKUP(I33,'Lista de Precios'!$A$3:$H$2883,7,0),0)</f>
        <v>0</v>
      </c>
      <c r="C33" s="7" t="str">
        <f>IF($I33&gt;0,VLOOKUP(I33,'Lista de Precios'!$A$3:$H$2883,2,0),"")</f>
        <v/>
      </c>
      <c r="D33" s="7" t="str">
        <f>IF($I33&gt;0,VLOOKUP(I33,'Lista de Precios'!$A$3:$H$2883,3,0),"")</f>
        <v/>
      </c>
      <c r="E33" s="76" t="str">
        <f>IF($I33&gt;0,VLOOKUP(I33,'Lista de Precios'!$A$3:$H$2883,6,0),"")</f>
        <v/>
      </c>
      <c r="F33" s="76" t="str">
        <f>IF($I33&gt;0,VLOOKUP(I33,'Lista de Precios'!$A$3:$H$2883,8,0),"")</f>
        <v/>
      </c>
      <c r="G33" s="101" t="str">
        <f t="shared" si="3"/>
        <v/>
      </c>
      <c r="H33" s="20" t="s">
        <v>3</v>
      </c>
      <c r="I33" s="18"/>
      <c r="J33" s="28" t="str">
        <f t="shared" si="12"/>
        <v/>
      </c>
      <c r="K33" s="24">
        <f>+IF($I33&gt;0,VLOOKUP($I33,'Lista de Precios'!$A$3:$H$2883,5,0),0)</f>
        <v>0</v>
      </c>
      <c r="L33" s="43"/>
      <c r="M33" s="43"/>
      <c r="N33" s="43"/>
      <c r="O33" s="37"/>
      <c r="P33" s="44"/>
      <c r="Q33" s="39"/>
      <c r="R33" s="37"/>
      <c r="S33" s="37"/>
      <c r="T33" s="37"/>
      <c r="U33" s="37"/>
      <c r="V33" s="37"/>
      <c r="W33" s="37"/>
      <c r="X33" s="37"/>
      <c r="Y33" s="37"/>
      <c r="Z33" s="40"/>
      <c r="AA33" s="41"/>
      <c r="AB33" s="37"/>
      <c r="AC33" s="37"/>
      <c r="AD33" s="37"/>
      <c r="AE33" s="37"/>
      <c r="AF33" s="43"/>
      <c r="AG33" s="43"/>
      <c r="AH33" s="42"/>
      <c r="AI33" s="42"/>
      <c r="AJ33" s="42"/>
      <c r="AK33" s="42"/>
      <c r="AL33" s="43"/>
      <c r="AM33" s="73">
        <f t="shared" si="2"/>
        <v>0</v>
      </c>
      <c r="AN33" s="71" t="str">
        <f>+IF($I33&gt;0,VLOOKUP($I33,'Lista de Precios'!$A$3:$H$2883,4,0),"")</f>
        <v/>
      </c>
      <c r="AO33" s="68" t="str">
        <f t="shared" si="4"/>
        <v/>
      </c>
      <c r="AP33" s="7" t="str">
        <f>IF($I33&gt;0,VLOOKUP($I33,'Lista de Precios'!$A$3:$K$2883,10,0),"")</f>
        <v/>
      </c>
      <c r="AQ33" s="7" t="str">
        <f>IF($I33&gt;0,VLOOKUP($I33,'Lista de Precios'!$A$3:$M$4893,13,0),"")</f>
        <v/>
      </c>
      <c r="AR33" s="7" t="str">
        <f>IF($I33&gt;0,VLOOKUP(I33,'Lista de Precios'!$A$3:$M$2883,13,0),"")</f>
        <v/>
      </c>
      <c r="HR33" s="134"/>
      <c r="HS33" s="134"/>
      <c r="HT33" s="134"/>
      <c r="HU33" s="134"/>
      <c r="HV33" s="134"/>
      <c r="HW33" s="134"/>
      <c r="HX33" s="134"/>
      <c r="HY33" s="134"/>
      <c r="HZ33" s="134"/>
      <c r="IA33" s="134"/>
      <c r="IB33" s="134"/>
      <c r="IC33" s="134"/>
      <c r="IE33" s="134"/>
      <c r="IF33" s="134"/>
      <c r="IG33" s="134"/>
      <c r="IH33" s="134"/>
      <c r="II33" s="134"/>
      <c r="IJ33" s="134"/>
      <c r="IK33" s="134"/>
      <c r="IL33" s="134"/>
      <c r="IM33" s="134"/>
      <c r="IN33" s="135"/>
      <c r="IO33" s="135"/>
      <c r="IP33" s="135"/>
      <c r="XEP33" s="7" t="str">
        <f t="shared" si="5"/>
        <v/>
      </c>
      <c r="XEQ33" s="7" t="str">
        <f t="shared" si="6"/>
        <v/>
      </c>
      <c r="XER33" s="7" t="str">
        <f t="shared" si="7"/>
        <v/>
      </c>
      <c r="XES33" s="7" t="str">
        <f t="shared" si="8"/>
        <v/>
      </c>
    </row>
    <row r="34" spans="1:250 16370:16373" ht="23.25" customHeight="1" x14ac:dyDescent="0.25">
      <c r="A34" s="74">
        <f>IF($I34&gt;0,VLOOKUP(I34,'Lista de Precios'!$A$3:$L$2883,9,0),0)</f>
        <v>0</v>
      </c>
      <c r="B34" s="74">
        <f>IF($I34&gt;0,VLOOKUP(I34,'Lista de Precios'!$A$3:$H$2883,7,0),0)</f>
        <v>0</v>
      </c>
      <c r="C34" s="7" t="str">
        <f>IF($I34&gt;0,VLOOKUP(I34,'Lista de Precios'!$A$3:$H$2883,2,0),"")</f>
        <v/>
      </c>
      <c r="D34" s="7" t="str">
        <f>IF($I34&gt;0,VLOOKUP(I34,'Lista de Precios'!$A$3:$H$2883,3,0),"")</f>
        <v/>
      </c>
      <c r="E34" s="76" t="str">
        <f>IF($I34&gt;0,VLOOKUP(I34,'Lista de Precios'!$A$3:$H$2883,6,0),"")</f>
        <v/>
      </c>
      <c r="F34" s="76" t="str">
        <f>IF($I34&gt;0,VLOOKUP(I34,'Lista de Precios'!$A$3:$H$2883,8,0),"")</f>
        <v/>
      </c>
      <c r="G34" s="101" t="str">
        <f t="shared" si="3"/>
        <v/>
      </c>
      <c r="H34" s="20" t="s">
        <v>3</v>
      </c>
      <c r="I34" s="18"/>
      <c r="J34" s="28" t="str">
        <f t="shared" si="12"/>
        <v/>
      </c>
      <c r="K34" s="24">
        <f>+IF($I34&gt;0,VLOOKUP($I34,'Lista de Precios'!$A$3:$H$2883,5,0),0)</f>
        <v>0</v>
      </c>
      <c r="L34" s="43"/>
      <c r="M34" s="43"/>
      <c r="N34" s="43"/>
      <c r="O34" s="43"/>
      <c r="P34" s="44"/>
      <c r="Q34" s="45"/>
      <c r="R34" s="43"/>
      <c r="S34" s="43"/>
      <c r="T34" s="43"/>
      <c r="U34" s="43"/>
      <c r="V34" s="43"/>
      <c r="W34" s="43"/>
      <c r="X34" s="43"/>
      <c r="Y34" s="37"/>
      <c r="Z34" s="40"/>
      <c r="AA34" s="41"/>
      <c r="AB34" s="37"/>
      <c r="AC34" s="37"/>
      <c r="AD34" s="37"/>
      <c r="AE34" s="37"/>
      <c r="AF34" s="37"/>
      <c r="AG34" s="43"/>
      <c r="AH34" s="42"/>
      <c r="AI34" s="42"/>
      <c r="AJ34" s="49"/>
      <c r="AK34" s="49"/>
      <c r="AL34" s="49"/>
      <c r="AM34" s="73">
        <f t="shared" si="2"/>
        <v>0</v>
      </c>
      <c r="AN34" s="71" t="str">
        <f>+IF($I34&gt;0,VLOOKUP($I34,'Lista de Precios'!$A$3:$H$2883,4,0),"")</f>
        <v/>
      </c>
      <c r="AO34" s="68" t="str">
        <f t="shared" si="4"/>
        <v/>
      </c>
      <c r="AP34" s="7" t="str">
        <f>IF($I34&gt;0,VLOOKUP($I34,'Lista de Precios'!$A$3:$K$2883,10,0),"")</f>
        <v/>
      </c>
      <c r="AQ34" s="7" t="str">
        <f>IF($I34&gt;0,VLOOKUP($I34,'Lista de Precios'!$A$3:$M$4893,13,0),"")</f>
        <v/>
      </c>
      <c r="AR34" s="7" t="str">
        <f>IF($I34&gt;0,VLOOKUP(I34,'Lista de Precios'!$A$3:$M$2883,13,0),"")</f>
        <v/>
      </c>
      <c r="HR34" s="134"/>
      <c r="HS34" s="134"/>
      <c r="HT34" s="134"/>
      <c r="HU34" s="134"/>
      <c r="HV34" s="134"/>
      <c r="HW34" s="134"/>
      <c r="HX34" s="134"/>
      <c r="HY34" s="134"/>
      <c r="HZ34" s="134"/>
      <c r="IA34" s="134"/>
      <c r="IB34" s="134"/>
      <c r="IC34" s="134"/>
      <c r="IE34" s="134"/>
      <c r="IF34" s="134"/>
      <c r="IG34" s="134"/>
      <c r="IH34" s="134"/>
      <c r="II34" s="134"/>
      <c r="IJ34" s="134"/>
      <c r="IK34" s="134"/>
      <c r="IL34" s="134"/>
      <c r="IM34" s="134"/>
      <c r="IN34" s="135"/>
      <c r="IO34" s="135"/>
      <c r="IP34" s="135"/>
      <c r="XEP34" s="7" t="str">
        <f t="shared" si="5"/>
        <v/>
      </c>
      <c r="XEQ34" s="7" t="str">
        <f t="shared" si="6"/>
        <v/>
      </c>
      <c r="XER34" s="7" t="str">
        <f t="shared" si="7"/>
        <v/>
      </c>
      <c r="XES34" s="7" t="str">
        <f t="shared" si="8"/>
        <v/>
      </c>
    </row>
    <row r="35" spans="1:250 16370:16373" ht="23.25" customHeight="1" x14ac:dyDescent="0.25">
      <c r="A35" s="74">
        <f>IF($I35&gt;0,VLOOKUP(I35,'Lista de Precios'!$A$3:$L$2883,9,0),0)</f>
        <v>0</v>
      </c>
      <c r="B35" s="74">
        <f>IF($I35&gt;0,VLOOKUP(I35,'Lista de Precios'!$A$3:$H$2883,7,0),0)</f>
        <v>0</v>
      </c>
      <c r="C35" s="7" t="str">
        <f>IF($I35&gt;0,VLOOKUP(I35,'Lista de Precios'!$A$3:$H$2883,2,0),"")</f>
        <v/>
      </c>
      <c r="D35" s="7" t="str">
        <f>IF($I35&gt;0,VLOOKUP(I35,'Lista de Precios'!$A$3:$H$2883,3,0),"")</f>
        <v/>
      </c>
      <c r="E35" s="76" t="str">
        <f>IF($I35&gt;0,VLOOKUP(I35,'Lista de Precios'!$A$3:$H$2883,6,0),"")</f>
        <v/>
      </c>
      <c r="F35" s="76" t="str">
        <f>IF($I35&gt;0,VLOOKUP(I35,'Lista de Precios'!$A$3:$H$2883,8,0),"")</f>
        <v/>
      </c>
      <c r="G35" s="101" t="str">
        <f t="shared" si="3"/>
        <v/>
      </c>
      <c r="H35" s="20" t="s">
        <v>3</v>
      </c>
      <c r="I35" s="18"/>
      <c r="J35" s="28" t="str">
        <f t="shared" si="12"/>
        <v/>
      </c>
      <c r="K35" s="24">
        <f>+IF($I35&gt;0,VLOOKUP($I35,'Lista de Precios'!$A$3:$H$2883,5,0),0)</f>
        <v>0</v>
      </c>
      <c r="L35" s="48"/>
      <c r="M35" s="48"/>
      <c r="N35" s="48"/>
      <c r="O35" s="48"/>
      <c r="P35" s="47"/>
      <c r="Q35" s="50"/>
      <c r="R35" s="43"/>
      <c r="S35" s="43"/>
      <c r="T35" s="43"/>
      <c r="U35" s="43"/>
      <c r="V35" s="43"/>
      <c r="W35" s="43"/>
      <c r="X35" s="43"/>
      <c r="Y35" s="37"/>
      <c r="Z35" s="40"/>
      <c r="AA35" s="41"/>
      <c r="AB35" s="37"/>
      <c r="AC35" s="37"/>
      <c r="AD35" s="37"/>
      <c r="AE35" s="37"/>
      <c r="AF35" s="37"/>
      <c r="AG35" s="43"/>
      <c r="AH35" s="42"/>
      <c r="AI35" s="42"/>
      <c r="AJ35" s="49"/>
      <c r="AK35" s="49"/>
      <c r="AL35" s="48"/>
      <c r="AM35" s="73">
        <f t="shared" si="2"/>
        <v>0</v>
      </c>
      <c r="AN35" s="71" t="str">
        <f>+IF($I35&gt;0,VLOOKUP($I35,'Lista de Precios'!$A$3:$H$2883,4,0),"")</f>
        <v/>
      </c>
      <c r="AO35" s="68" t="str">
        <f t="shared" si="4"/>
        <v/>
      </c>
      <c r="AP35" s="7" t="str">
        <f>IF($I35&gt;0,VLOOKUP($I35,'Lista de Precios'!$A$3:$K$2883,10,0),"")</f>
        <v/>
      </c>
      <c r="AQ35" s="7" t="str">
        <f>IF($I35&gt;0,VLOOKUP($I35,'Lista de Precios'!$A$3:$M$4893,13,0),"")</f>
        <v/>
      </c>
      <c r="AR35" s="7" t="str">
        <f>IF($I35&gt;0,VLOOKUP(I35,'Lista de Precios'!$A$3:$M$2883,13,0),"")</f>
        <v/>
      </c>
      <c r="HR35" s="134"/>
      <c r="HS35" s="134"/>
      <c r="HT35" s="134"/>
      <c r="HU35" s="134"/>
      <c r="HV35" s="134"/>
      <c r="HW35" s="134"/>
      <c r="HX35" s="134"/>
      <c r="HY35" s="134"/>
      <c r="HZ35" s="134"/>
      <c r="IA35" s="134"/>
      <c r="IB35" s="134"/>
      <c r="IC35" s="134"/>
      <c r="IE35" s="134"/>
      <c r="IF35" s="134"/>
      <c r="IG35" s="134"/>
      <c r="IH35" s="134"/>
      <c r="II35" s="134"/>
      <c r="IJ35" s="134"/>
      <c r="IK35" s="134"/>
      <c r="IL35" s="134"/>
      <c r="IM35" s="134"/>
      <c r="IN35" s="135"/>
      <c r="IO35" s="135"/>
      <c r="IP35" s="135"/>
      <c r="XEP35" s="7" t="str">
        <f t="shared" si="5"/>
        <v/>
      </c>
      <c r="XEQ35" s="7" t="str">
        <f t="shared" si="6"/>
        <v/>
      </c>
      <c r="XER35" s="7" t="str">
        <f t="shared" si="7"/>
        <v/>
      </c>
      <c r="XES35" s="7" t="str">
        <f t="shared" si="8"/>
        <v/>
      </c>
    </row>
    <row r="36" spans="1:250 16370:16373" ht="23.25" customHeight="1" x14ac:dyDescent="0.25">
      <c r="A36" s="74">
        <f>IF($I36&gt;0,VLOOKUP(I36,'Lista de Precios'!$A$3:$L$2883,9,0),0)</f>
        <v>0</v>
      </c>
      <c r="B36" s="74">
        <f>IF($I36&gt;0,VLOOKUP(I36,'Lista de Precios'!$A$3:$H$2883,7,0),0)</f>
        <v>0</v>
      </c>
      <c r="C36" s="7" t="str">
        <f>IF($I36&gt;0,VLOOKUP(I36,'Lista de Precios'!$A$3:$H$2883,2,0),"")</f>
        <v/>
      </c>
      <c r="D36" s="7" t="str">
        <f>IF($I36&gt;0,VLOOKUP(I36,'Lista de Precios'!$A$3:$H$2883,3,0),"")</f>
        <v/>
      </c>
      <c r="E36" s="76" t="str">
        <f>IF($I36&gt;0,VLOOKUP(I36,'Lista de Precios'!$A$3:$H$2883,6,0),"")</f>
        <v/>
      </c>
      <c r="F36" s="76" t="str">
        <f>IF($I36&gt;0,VLOOKUP(I36,'Lista de Precios'!$A$3:$H$2883,8,0),"")</f>
        <v/>
      </c>
      <c r="G36" s="101" t="str">
        <f t="shared" si="3"/>
        <v/>
      </c>
      <c r="H36" s="20" t="s">
        <v>3</v>
      </c>
      <c r="I36" s="18"/>
      <c r="J36" s="28" t="str">
        <f t="shared" si="12"/>
        <v/>
      </c>
      <c r="K36" s="24">
        <f>+IF($I36&gt;0,VLOOKUP($I36,'Lista de Precios'!$A$3:$H$2883,5,0),0)</f>
        <v>0</v>
      </c>
      <c r="L36" s="51"/>
      <c r="M36" s="51"/>
      <c r="N36" s="51"/>
      <c r="O36" s="48"/>
      <c r="P36" s="52"/>
      <c r="Q36" s="50"/>
      <c r="R36" s="43"/>
      <c r="S36" s="43"/>
      <c r="T36" s="43"/>
      <c r="U36" s="43"/>
      <c r="V36" s="43"/>
      <c r="W36" s="43"/>
      <c r="X36" s="43"/>
      <c r="Y36" s="43"/>
      <c r="Z36" s="44"/>
      <c r="AA36" s="41"/>
      <c r="AB36" s="37"/>
      <c r="AC36" s="37"/>
      <c r="AD36" s="37"/>
      <c r="AE36" s="37"/>
      <c r="AF36" s="48"/>
      <c r="AG36" s="54"/>
      <c r="AH36" s="54"/>
      <c r="AI36" s="54"/>
      <c r="AJ36" s="54"/>
      <c r="AK36" s="54"/>
      <c r="AL36" s="54"/>
      <c r="AM36" s="73">
        <f t="shared" si="2"/>
        <v>0</v>
      </c>
      <c r="AN36" s="71" t="str">
        <f>+IF($I36&gt;0,VLOOKUP($I36,'Lista de Precios'!$A$3:$H$2883,4,0),"")</f>
        <v/>
      </c>
      <c r="AO36" s="68" t="str">
        <f t="shared" si="4"/>
        <v/>
      </c>
      <c r="AP36" s="7" t="str">
        <f>IF($I36&gt;0,VLOOKUP($I36,'Lista de Precios'!$A$3:$K$2883,10,0),"")</f>
        <v/>
      </c>
      <c r="AQ36" s="7" t="str">
        <f>IF($I36&gt;0,VLOOKUP($I36,'Lista de Precios'!$A$3:$M$4893,13,0),"")</f>
        <v/>
      </c>
      <c r="AR36" s="7" t="str">
        <f>IF($I36&gt;0,VLOOKUP(I36,'Lista de Precios'!$A$3:$M$2883,13,0),"")</f>
        <v/>
      </c>
      <c r="HR36" s="134"/>
      <c r="HS36" s="134"/>
      <c r="HT36" s="134"/>
      <c r="HU36" s="134"/>
      <c r="HV36" s="134"/>
      <c r="HW36" s="134"/>
      <c r="HX36" s="134"/>
      <c r="HY36" s="134"/>
      <c r="HZ36" s="134"/>
      <c r="IA36" s="134"/>
      <c r="IB36" s="134"/>
      <c r="IC36" s="134"/>
      <c r="IE36" s="134"/>
      <c r="IF36" s="134"/>
      <c r="IG36" s="134"/>
      <c r="IH36" s="134"/>
      <c r="II36" s="134"/>
      <c r="IJ36" s="134"/>
      <c r="IK36" s="134"/>
      <c r="IL36" s="134"/>
      <c r="IM36" s="134"/>
      <c r="IN36" s="135"/>
      <c r="IO36" s="135"/>
      <c r="IP36" s="135"/>
      <c r="XEP36" s="7" t="str">
        <f t="shared" si="5"/>
        <v/>
      </c>
      <c r="XEQ36" s="7" t="str">
        <f t="shared" si="6"/>
        <v/>
      </c>
      <c r="XER36" s="7" t="str">
        <f t="shared" si="7"/>
        <v/>
      </c>
      <c r="XES36" s="7" t="str">
        <f t="shared" si="8"/>
        <v/>
      </c>
    </row>
    <row r="37" spans="1:250 16370:16373" ht="23.25" customHeight="1" x14ac:dyDescent="0.25">
      <c r="A37" s="74">
        <f>IF($I37&gt;0,VLOOKUP(I37,'Lista de Precios'!$A$3:$L$2883,9,0),0)</f>
        <v>0</v>
      </c>
      <c r="B37" s="74">
        <f>IF($I37&gt;0,VLOOKUP(I37,'Lista de Precios'!$A$3:$H$2883,7,0),0)</f>
        <v>0</v>
      </c>
      <c r="C37" s="7" t="str">
        <f>IF($I37&gt;0,VLOOKUP(I37,'Lista de Precios'!$A$3:$H$2883,2,0),"")</f>
        <v/>
      </c>
      <c r="D37" s="7" t="str">
        <f>IF($I37&gt;0,VLOOKUP(I37,'Lista de Precios'!$A$3:$H$2883,3,0),"")</f>
        <v/>
      </c>
      <c r="E37" s="76" t="str">
        <f>IF($I37&gt;0,VLOOKUP(I37,'Lista de Precios'!$A$3:$H$2883,6,0),"")</f>
        <v/>
      </c>
      <c r="F37" s="76" t="str">
        <f>IF($I37&gt;0,VLOOKUP(I37,'Lista de Precios'!$A$3:$H$2883,8,0),"")</f>
        <v/>
      </c>
      <c r="G37" s="101" t="str">
        <f t="shared" si="3"/>
        <v/>
      </c>
      <c r="H37" s="20" t="s">
        <v>3</v>
      </c>
      <c r="I37" s="18"/>
      <c r="J37" s="28" t="str">
        <f t="shared" si="12"/>
        <v/>
      </c>
      <c r="K37" s="24">
        <f>+IF($I37&gt;0,VLOOKUP($I37,'Lista de Precios'!$A$3:$H$2883,5,0),0)</f>
        <v>0</v>
      </c>
      <c r="L37" s="54"/>
      <c r="M37" s="54"/>
      <c r="N37" s="54"/>
      <c r="O37" s="48"/>
      <c r="P37" s="55"/>
      <c r="Q37" s="50"/>
      <c r="R37" s="43"/>
      <c r="S37" s="43"/>
      <c r="T37" s="43"/>
      <c r="U37" s="43"/>
      <c r="V37" s="43"/>
      <c r="W37" s="43"/>
      <c r="X37" s="43"/>
      <c r="Y37" s="43"/>
      <c r="Z37" s="44"/>
      <c r="AA37" s="41"/>
      <c r="AB37" s="37"/>
      <c r="AC37" s="37"/>
      <c r="AD37" s="37"/>
      <c r="AE37" s="37"/>
      <c r="AF37" s="48"/>
      <c r="AG37" s="54"/>
      <c r="AH37" s="54"/>
      <c r="AI37" s="54"/>
      <c r="AJ37" s="54"/>
      <c r="AK37" s="54"/>
      <c r="AL37" s="54"/>
      <c r="AM37" s="73">
        <f t="shared" si="2"/>
        <v>0</v>
      </c>
      <c r="AN37" s="71" t="str">
        <f>+IF($I37&gt;0,VLOOKUP($I37,'Lista de Precios'!$A$3:$H$2883,4,0),"")</f>
        <v/>
      </c>
      <c r="AO37" s="68" t="str">
        <f t="shared" si="4"/>
        <v/>
      </c>
      <c r="AP37" s="7" t="str">
        <f>IF($I37&gt;0,VLOOKUP($I37,'Lista de Precios'!$A$3:$K$2883,10,0),"")</f>
        <v/>
      </c>
      <c r="AQ37" s="7" t="str">
        <f>IF($I37&gt;0,VLOOKUP($I37,'Lista de Precios'!$A$3:$M$4893,13,0),"")</f>
        <v/>
      </c>
      <c r="AR37" s="7" t="str">
        <f>IF($I37&gt;0,VLOOKUP(I37,'Lista de Precios'!$A$3:$M$2883,13,0),"")</f>
        <v/>
      </c>
      <c r="HR37" s="134"/>
      <c r="HS37" s="134"/>
      <c r="HT37" s="134"/>
      <c r="HU37" s="134"/>
      <c r="HV37" s="134"/>
      <c r="HW37" s="134"/>
      <c r="HX37" s="134"/>
      <c r="HY37" s="134"/>
      <c r="HZ37" s="134"/>
      <c r="IA37" s="134"/>
      <c r="IB37" s="134"/>
      <c r="IC37" s="134"/>
      <c r="IE37" s="134"/>
      <c r="IF37" s="134"/>
      <c r="IG37" s="134"/>
      <c r="IH37" s="134"/>
      <c r="II37" s="134"/>
      <c r="IJ37" s="134"/>
      <c r="IK37" s="134"/>
      <c r="IL37" s="134"/>
      <c r="IM37" s="134"/>
      <c r="IN37" s="135"/>
      <c r="IO37" s="135"/>
      <c r="IP37" s="135"/>
      <c r="XEP37" s="7" t="str">
        <f t="shared" si="5"/>
        <v/>
      </c>
      <c r="XEQ37" s="7" t="str">
        <f t="shared" si="6"/>
        <v/>
      </c>
      <c r="XER37" s="7" t="str">
        <f t="shared" si="7"/>
        <v/>
      </c>
      <c r="XES37" s="7" t="str">
        <f t="shared" si="8"/>
        <v/>
      </c>
    </row>
    <row r="38" spans="1:250 16370:16373" ht="23.25" customHeight="1" x14ac:dyDescent="0.25">
      <c r="A38" s="74">
        <f>IF($I38&gt;0,VLOOKUP(I38,'Lista de Precios'!$A$3:$L$2883,9,0),0)</f>
        <v>0</v>
      </c>
      <c r="B38" s="74">
        <f>IF($I38&gt;0,VLOOKUP(I38,'Lista de Precios'!$A$3:$H$2883,7,0),0)</f>
        <v>0</v>
      </c>
      <c r="C38" s="7" t="str">
        <f>IF($I38&gt;0,VLOOKUP(I38,'Lista de Precios'!$A$3:$H$2883,2,0),"")</f>
        <v/>
      </c>
      <c r="D38" s="7" t="str">
        <f>IF($I38&gt;0,VLOOKUP(I38,'Lista de Precios'!$A$3:$H$2883,3,0),"")</f>
        <v/>
      </c>
      <c r="E38" s="76" t="str">
        <f>IF($I38&gt;0,VLOOKUP(I38,'Lista de Precios'!$A$3:$H$2883,6,0),"")</f>
        <v/>
      </c>
      <c r="F38" s="76" t="str">
        <f>IF($I38&gt;0,VLOOKUP(I38,'Lista de Precios'!$A$3:$H$2883,8,0),"")</f>
        <v/>
      </c>
      <c r="G38" s="101" t="str">
        <f t="shared" si="3"/>
        <v/>
      </c>
      <c r="H38" s="20" t="s">
        <v>3</v>
      </c>
      <c r="I38" s="18"/>
      <c r="J38" s="28" t="str">
        <f t="shared" si="12"/>
        <v/>
      </c>
      <c r="K38" s="24">
        <f>+IF($I38&gt;0,VLOOKUP($I38,'Lista de Precios'!$A$3:$H$2883,5,0),0)</f>
        <v>0</v>
      </c>
      <c r="L38" s="43"/>
      <c r="M38" s="43"/>
      <c r="N38" s="43"/>
      <c r="O38" s="48"/>
      <c r="P38" s="44"/>
      <c r="Q38" s="50"/>
      <c r="R38" s="43"/>
      <c r="S38" s="43"/>
      <c r="T38" s="43"/>
      <c r="U38" s="43"/>
      <c r="V38" s="43"/>
      <c r="W38" s="43"/>
      <c r="X38" s="43"/>
      <c r="Y38" s="43"/>
      <c r="Z38" s="44"/>
      <c r="AA38" s="41"/>
      <c r="AB38" s="37"/>
      <c r="AC38" s="37"/>
      <c r="AD38" s="37"/>
      <c r="AE38" s="37"/>
      <c r="AF38" s="48"/>
      <c r="AG38" s="43"/>
      <c r="AH38" s="42"/>
      <c r="AI38" s="42"/>
      <c r="AJ38" s="42"/>
      <c r="AK38" s="42"/>
      <c r="AL38" s="42"/>
      <c r="AM38" s="73">
        <f t="shared" si="2"/>
        <v>0</v>
      </c>
      <c r="AN38" s="71" t="str">
        <f>+IF($I38&gt;0,VLOOKUP($I38,'Lista de Precios'!$A$3:$H$2883,4,0),"")</f>
        <v/>
      </c>
      <c r="AO38" s="68" t="str">
        <f t="shared" si="4"/>
        <v/>
      </c>
      <c r="AP38" s="7" t="str">
        <f>IF($I38&gt;0,VLOOKUP($I38,'Lista de Precios'!$A$3:$K$2883,10,0),"")</f>
        <v/>
      </c>
      <c r="AQ38" s="7" t="str">
        <f>IF($I38&gt;0,VLOOKUP($I38,'Lista de Precios'!$A$3:$M$4893,13,0),"")</f>
        <v/>
      </c>
      <c r="AR38" s="7" t="str">
        <f>IF($I38&gt;0,VLOOKUP(I38,'Lista de Precios'!$A$3:$M$2883,13,0),"")</f>
        <v/>
      </c>
      <c r="HR38" s="134"/>
      <c r="HS38" s="134"/>
      <c r="HT38" s="134"/>
      <c r="HU38" s="134"/>
      <c r="HV38" s="134"/>
      <c r="HW38" s="134"/>
      <c r="HX38" s="134"/>
      <c r="HY38" s="134"/>
      <c r="HZ38" s="134"/>
      <c r="IA38" s="134"/>
      <c r="IB38" s="134"/>
      <c r="IC38" s="134"/>
      <c r="IE38" s="134"/>
      <c r="IF38" s="134"/>
      <c r="IG38" s="134"/>
      <c r="IH38" s="134"/>
      <c r="II38" s="134"/>
      <c r="IJ38" s="134"/>
      <c r="IK38" s="134"/>
      <c r="IL38" s="134"/>
      <c r="IM38" s="134"/>
      <c r="IN38" s="135"/>
      <c r="IO38" s="135"/>
      <c r="IP38" s="135"/>
      <c r="XEP38" s="7" t="str">
        <f t="shared" si="5"/>
        <v/>
      </c>
      <c r="XEQ38" s="7" t="str">
        <f t="shared" si="6"/>
        <v/>
      </c>
      <c r="XER38" s="7" t="str">
        <f t="shared" si="7"/>
        <v/>
      </c>
      <c r="XES38" s="7" t="str">
        <f t="shared" si="8"/>
        <v/>
      </c>
    </row>
    <row r="39" spans="1:250 16370:16373" ht="23.25" customHeight="1" x14ac:dyDescent="0.25">
      <c r="A39" s="74">
        <f>IF($I39&gt;0,VLOOKUP(I39,'Lista de Precios'!$A$3:$L$2883,9,0),0)</f>
        <v>0</v>
      </c>
      <c r="B39" s="74">
        <f>IF($I39&gt;0,VLOOKUP(I39,'Lista de Precios'!$A$3:$H$2883,7,0),0)</f>
        <v>0</v>
      </c>
      <c r="C39" s="7" t="str">
        <f>IF($I39&gt;0,VLOOKUP(I39,'Lista de Precios'!$A$3:$H$2883,2,0),"")</f>
        <v/>
      </c>
      <c r="D39" s="7" t="str">
        <f>IF($I39&gt;0,VLOOKUP(I39,'Lista de Precios'!$A$3:$H$2883,3,0),"")</f>
        <v/>
      </c>
      <c r="E39" s="76" t="str">
        <f>IF($I39&gt;0,VLOOKUP(I39,'Lista de Precios'!$A$3:$H$2883,6,0),"")</f>
        <v/>
      </c>
      <c r="F39" s="76" t="str">
        <f>IF($I39&gt;0,VLOOKUP(I39,'Lista de Precios'!$A$3:$H$2883,8,0),"")</f>
        <v/>
      </c>
      <c r="G39" s="101" t="str">
        <f t="shared" si="3"/>
        <v/>
      </c>
      <c r="H39" s="20" t="s">
        <v>3</v>
      </c>
      <c r="I39" s="18"/>
      <c r="J39" s="28" t="str">
        <f t="shared" si="12"/>
        <v/>
      </c>
      <c r="K39" s="24">
        <f>+IF($I39&gt;0,VLOOKUP($I39,'Lista de Precios'!$A$3:$H$2883,5,0),0)</f>
        <v>0</v>
      </c>
      <c r="L39" s="54"/>
      <c r="M39" s="54"/>
      <c r="N39" s="54"/>
      <c r="O39" s="43"/>
      <c r="P39" s="55"/>
      <c r="Q39" s="45"/>
      <c r="R39" s="43"/>
      <c r="S39" s="43"/>
      <c r="T39" s="43"/>
      <c r="U39" s="43"/>
      <c r="V39" s="43"/>
      <c r="W39" s="43"/>
      <c r="X39" s="43"/>
      <c r="Y39" s="43"/>
      <c r="Z39" s="44"/>
      <c r="AA39" s="41"/>
      <c r="AB39" s="37"/>
      <c r="AC39" s="37"/>
      <c r="AD39" s="37"/>
      <c r="AE39" s="37"/>
      <c r="AF39" s="43"/>
      <c r="AG39" s="54"/>
      <c r="AH39" s="54"/>
      <c r="AI39" s="54"/>
      <c r="AJ39" s="54"/>
      <c r="AK39" s="54"/>
      <c r="AL39" s="54"/>
      <c r="AM39" s="73">
        <f t="shared" si="2"/>
        <v>0</v>
      </c>
      <c r="AN39" s="71" t="str">
        <f>+IF($I39&gt;0,VLOOKUP($I39,'Lista de Precios'!$A$3:$H$2883,4,0),"")</f>
        <v/>
      </c>
      <c r="AO39" s="68" t="str">
        <f t="shared" si="4"/>
        <v/>
      </c>
      <c r="AP39" s="7" t="str">
        <f>IF($I39&gt;0,VLOOKUP($I39,'Lista de Precios'!$A$3:$K$2883,10,0),"")</f>
        <v/>
      </c>
      <c r="AQ39" s="7" t="str">
        <f>IF($I39&gt;0,VLOOKUP($I39,'Lista de Precios'!$A$3:$M$4893,13,0),"")</f>
        <v/>
      </c>
      <c r="AR39" s="7" t="str">
        <f>IF($I39&gt;0,VLOOKUP(I39,'Lista de Precios'!$A$3:$M$2883,13,0),"")</f>
        <v/>
      </c>
      <c r="HR39" s="134"/>
      <c r="HS39" s="134"/>
      <c r="HT39" s="134"/>
      <c r="HU39" s="134"/>
      <c r="HV39" s="134"/>
      <c r="HW39" s="134"/>
      <c r="HX39" s="134"/>
      <c r="HY39" s="134"/>
      <c r="HZ39" s="134"/>
      <c r="IA39" s="134"/>
      <c r="IB39" s="134"/>
      <c r="IC39" s="134"/>
      <c r="IE39" s="134"/>
      <c r="IF39" s="134"/>
      <c r="IG39" s="134"/>
      <c r="IH39" s="134"/>
      <c r="II39" s="134"/>
      <c r="IJ39" s="134"/>
      <c r="IK39" s="134"/>
      <c r="IL39" s="134"/>
      <c r="IM39" s="134"/>
      <c r="IN39" s="135"/>
      <c r="IO39" s="135"/>
      <c r="IP39" s="135"/>
      <c r="XEP39" s="7" t="str">
        <f t="shared" si="5"/>
        <v/>
      </c>
      <c r="XEQ39" s="7" t="str">
        <f t="shared" si="6"/>
        <v/>
      </c>
      <c r="XER39" s="7" t="str">
        <f t="shared" si="7"/>
        <v/>
      </c>
      <c r="XES39" s="7" t="str">
        <f t="shared" si="8"/>
        <v/>
      </c>
    </row>
    <row r="40" spans="1:250 16370:16373" ht="23.25" customHeight="1" x14ac:dyDescent="0.25">
      <c r="A40" s="74">
        <f>IF($I40&gt;0,VLOOKUP(I40,'Lista de Precios'!$A$3:$L$2883,9,0),0)</f>
        <v>0</v>
      </c>
      <c r="B40" s="74">
        <f>IF($I40&gt;0,VLOOKUP(I40,'Lista de Precios'!$A$3:$H$2883,7,0),0)</f>
        <v>0</v>
      </c>
      <c r="C40" s="7" t="str">
        <f>IF($I40&gt;0,VLOOKUP(I40,'Lista de Precios'!$A$3:$H$2883,2,0),"")</f>
        <v/>
      </c>
      <c r="D40" s="7" t="str">
        <f>IF($I40&gt;0,VLOOKUP(I40,'Lista de Precios'!$A$3:$H$2883,3,0),"")</f>
        <v/>
      </c>
      <c r="E40" s="76" t="str">
        <f>IF($I40&gt;0,VLOOKUP(I40,'Lista de Precios'!$A$3:$H$2883,6,0),"")</f>
        <v/>
      </c>
      <c r="F40" s="76" t="str">
        <f>IF($I40&gt;0,VLOOKUP(I40,'Lista de Precios'!$A$3:$H$2883,8,0),"")</f>
        <v/>
      </c>
      <c r="G40" s="101" t="str">
        <f t="shared" si="3"/>
        <v/>
      </c>
      <c r="H40" s="20" t="s">
        <v>3</v>
      </c>
      <c r="I40" s="18"/>
      <c r="J40" s="28" t="str">
        <f t="shared" si="12"/>
        <v/>
      </c>
      <c r="K40" s="24">
        <f>+IF($I40&gt;0,VLOOKUP($I40,'Lista de Precios'!$A$3:$H$2883,5,0),0)</f>
        <v>0</v>
      </c>
      <c r="L40" s="37"/>
      <c r="M40" s="37"/>
      <c r="N40" s="37"/>
      <c r="O40" s="37"/>
      <c r="P40" s="40"/>
      <c r="Q40" s="39"/>
      <c r="R40" s="37"/>
      <c r="S40" s="37"/>
      <c r="T40" s="37"/>
      <c r="U40" s="37"/>
      <c r="V40" s="37"/>
      <c r="W40" s="37"/>
      <c r="X40" s="37"/>
      <c r="Y40" s="37"/>
      <c r="Z40" s="40"/>
      <c r="AA40" s="41"/>
      <c r="AB40" s="37"/>
      <c r="AC40" s="37"/>
      <c r="AD40" s="37"/>
      <c r="AE40" s="37"/>
      <c r="AF40" s="37"/>
      <c r="AG40" s="37"/>
      <c r="AH40" s="36"/>
      <c r="AI40" s="36"/>
      <c r="AJ40" s="36"/>
      <c r="AK40" s="42"/>
      <c r="AL40" s="36"/>
      <c r="AM40" s="73">
        <f t="shared" si="2"/>
        <v>0</v>
      </c>
      <c r="AN40" s="71" t="str">
        <f>+IF($I40&gt;0,VLOOKUP($I40,'Lista de Precios'!$A$3:$H$2883,4,0),"")</f>
        <v/>
      </c>
      <c r="AO40" s="68" t="str">
        <f t="shared" si="4"/>
        <v/>
      </c>
      <c r="AP40" s="7" t="str">
        <f>IF($I40&gt;0,VLOOKUP($I40,'Lista de Precios'!$A$3:$K$2883,10,0),"")</f>
        <v/>
      </c>
      <c r="AQ40" s="7" t="str">
        <f>IF($I40&gt;0,VLOOKUP($I40,'Lista de Precios'!$A$3:$M$4893,13,0),"")</f>
        <v/>
      </c>
      <c r="AR40" s="7" t="str">
        <f>IF($I40&gt;0,VLOOKUP(I40,'Lista de Precios'!$A$3:$M$2883,13,0),"")</f>
        <v/>
      </c>
      <c r="HR40" s="134"/>
      <c r="HS40" s="134"/>
      <c r="HT40" s="134"/>
      <c r="HU40" s="134"/>
      <c r="HV40" s="134"/>
      <c r="HW40" s="134"/>
      <c r="HX40" s="134"/>
      <c r="HY40" s="134"/>
      <c r="HZ40" s="134"/>
      <c r="IA40" s="134"/>
      <c r="IB40" s="134"/>
      <c r="IC40" s="134"/>
      <c r="IE40" s="134"/>
      <c r="IF40" s="134"/>
      <c r="IG40" s="134"/>
      <c r="IH40" s="134"/>
      <c r="II40" s="134"/>
      <c r="IJ40" s="134"/>
      <c r="IK40" s="134"/>
      <c r="IL40" s="134"/>
      <c r="IM40" s="134"/>
      <c r="IN40" s="135"/>
      <c r="IO40" s="135"/>
      <c r="IP40" s="135"/>
      <c r="XEP40" s="7" t="str">
        <f t="shared" si="5"/>
        <v/>
      </c>
      <c r="XEQ40" s="7" t="str">
        <f t="shared" si="6"/>
        <v/>
      </c>
      <c r="XER40" s="7" t="str">
        <f t="shared" si="7"/>
        <v/>
      </c>
      <c r="XES40" s="7" t="str">
        <f t="shared" si="8"/>
        <v/>
      </c>
    </row>
    <row r="41" spans="1:250 16370:16373" ht="23.25" customHeight="1" x14ac:dyDescent="0.25">
      <c r="A41" s="74">
        <f>IF($I41&gt;0,VLOOKUP(I41,'Lista de Precios'!$A$3:$L$2883,9,0),0)</f>
        <v>0</v>
      </c>
      <c r="B41" s="74">
        <f>IF($I41&gt;0,VLOOKUP(I41,'Lista de Precios'!$A$3:$H$2883,7,0),0)</f>
        <v>0</v>
      </c>
      <c r="C41" s="7" t="str">
        <f>IF($I41&gt;0,VLOOKUP(I41,'Lista de Precios'!$A$3:$H$2883,2,0),"")</f>
        <v/>
      </c>
      <c r="D41" s="7" t="str">
        <f>IF($I41&gt;0,VLOOKUP(I41,'Lista de Precios'!$A$3:$H$2883,3,0),"")</f>
        <v/>
      </c>
      <c r="E41" s="76" t="str">
        <f>IF($I41&gt;0,VLOOKUP(I41,'Lista de Precios'!$A$3:$H$2883,6,0),"")</f>
        <v/>
      </c>
      <c r="F41" s="76" t="str">
        <f>IF($I41&gt;0,VLOOKUP(I41,'Lista de Precios'!$A$3:$H$2883,8,0),"")</f>
        <v/>
      </c>
      <c r="G41" s="101" t="str">
        <f t="shared" si="3"/>
        <v/>
      </c>
      <c r="H41" s="20" t="s">
        <v>3</v>
      </c>
      <c r="I41" s="18"/>
      <c r="J41" s="28" t="str">
        <f t="shared" si="12"/>
        <v/>
      </c>
      <c r="K41" s="24">
        <f>+IF($I41&gt;0,VLOOKUP($I41,'Lista de Precios'!$A$3:$H$2883,5,0),0)</f>
        <v>0</v>
      </c>
      <c r="L41" s="37"/>
      <c r="M41" s="37"/>
      <c r="N41" s="37"/>
      <c r="O41" s="37"/>
      <c r="P41" s="40"/>
      <c r="Q41" s="39"/>
      <c r="R41" s="37"/>
      <c r="S41" s="37"/>
      <c r="T41" s="37"/>
      <c r="U41" s="37"/>
      <c r="V41" s="37"/>
      <c r="W41" s="37"/>
      <c r="X41" s="37"/>
      <c r="Y41" s="37"/>
      <c r="Z41" s="40"/>
      <c r="AA41" s="41"/>
      <c r="AB41" s="37"/>
      <c r="AC41" s="37"/>
      <c r="AD41" s="37"/>
      <c r="AE41" s="37"/>
      <c r="AF41" s="37"/>
      <c r="AG41" s="37"/>
      <c r="AH41" s="36"/>
      <c r="AI41" s="36"/>
      <c r="AJ41" s="36"/>
      <c r="AK41" s="42"/>
      <c r="AL41" s="36"/>
      <c r="AM41" s="73">
        <f t="shared" si="2"/>
        <v>0</v>
      </c>
      <c r="AN41" s="71" t="str">
        <f>+IF($I41&gt;0,VLOOKUP($I41,'Lista de Precios'!$A$3:$H$2883,4,0),"")</f>
        <v/>
      </c>
      <c r="AO41" s="68" t="str">
        <f t="shared" si="4"/>
        <v/>
      </c>
      <c r="AP41" s="7" t="str">
        <f>IF($I41&gt;0,VLOOKUP($I41,'Lista de Precios'!$A$3:$K$2883,10,0),"")</f>
        <v/>
      </c>
      <c r="AQ41" s="7" t="str">
        <f>IF($I41&gt;0,VLOOKUP($I41,'Lista de Precios'!$A$3:$M$4893,13,0),"")</f>
        <v/>
      </c>
      <c r="AR41" s="7" t="str">
        <f>IF($I41&gt;0,VLOOKUP(I41,'Lista de Precios'!$A$3:$M$2883,13,0),"")</f>
        <v/>
      </c>
      <c r="HR41" s="134"/>
      <c r="HS41" s="134"/>
      <c r="HT41" s="134"/>
      <c r="HU41" s="134"/>
      <c r="HV41" s="134"/>
      <c r="HW41" s="134"/>
      <c r="HX41" s="134"/>
      <c r="HY41" s="134"/>
      <c r="HZ41" s="134"/>
      <c r="IA41" s="134"/>
      <c r="IB41" s="134"/>
      <c r="IC41" s="134"/>
      <c r="IE41" s="134"/>
      <c r="IF41" s="134"/>
      <c r="IG41" s="134"/>
      <c r="IH41" s="134"/>
      <c r="II41" s="134"/>
      <c r="IJ41" s="134"/>
      <c r="IK41" s="134"/>
      <c r="IL41" s="134"/>
      <c r="IM41" s="134"/>
      <c r="IN41" s="135"/>
      <c r="IO41" s="135"/>
      <c r="IP41" s="135"/>
      <c r="XEP41" s="7" t="str">
        <f t="shared" si="5"/>
        <v/>
      </c>
      <c r="XEQ41" s="7" t="str">
        <f t="shared" si="6"/>
        <v/>
      </c>
      <c r="XER41" s="7" t="str">
        <f t="shared" si="7"/>
        <v/>
      </c>
      <c r="XES41" s="7" t="str">
        <f t="shared" si="8"/>
        <v/>
      </c>
    </row>
    <row r="42" spans="1:250 16370:16373" ht="23.25" customHeight="1" x14ac:dyDescent="0.25">
      <c r="A42" s="74">
        <f>IF($I42&gt;0,VLOOKUP(I42,'Lista de Precios'!$A$3:$L$2883,9,0),0)</f>
        <v>0</v>
      </c>
      <c r="B42" s="74">
        <f>IF($I42&gt;0,VLOOKUP(I42,'Lista de Precios'!$A$3:$H$2883,7,0),0)</f>
        <v>0</v>
      </c>
      <c r="C42" s="7" t="str">
        <f>IF($I42&gt;0,VLOOKUP(I42,'Lista de Precios'!$A$3:$H$2883,2,0),"")</f>
        <v/>
      </c>
      <c r="D42" s="7" t="str">
        <f>IF($I42&gt;0,VLOOKUP(I42,'Lista de Precios'!$A$3:$H$2883,3,0),"")</f>
        <v/>
      </c>
      <c r="E42" s="76" t="str">
        <f>IF($I42&gt;0,VLOOKUP(I42,'Lista de Precios'!$A$3:$H$2883,6,0),"")</f>
        <v/>
      </c>
      <c r="F42" s="76" t="str">
        <f>IF($I42&gt;0,VLOOKUP(I42,'Lista de Precios'!$A$3:$H$2883,8,0),"")</f>
        <v/>
      </c>
      <c r="G42" s="101" t="str">
        <f t="shared" si="3"/>
        <v/>
      </c>
      <c r="H42" s="20" t="s">
        <v>3</v>
      </c>
      <c r="I42" s="18"/>
      <c r="J42" s="28" t="str">
        <f t="shared" si="12"/>
        <v/>
      </c>
      <c r="K42" s="24">
        <f>+IF($I42&gt;0,VLOOKUP($I42,'Lista de Precios'!$A$3:$H$2883,5,0),0)</f>
        <v>0</v>
      </c>
      <c r="L42" s="36"/>
      <c r="M42" s="36"/>
      <c r="N42" s="36"/>
      <c r="O42" s="37"/>
      <c r="P42" s="38"/>
      <c r="Q42" s="39"/>
      <c r="R42" s="37"/>
      <c r="S42" s="37"/>
      <c r="T42" s="37"/>
      <c r="U42" s="37"/>
      <c r="V42" s="37"/>
      <c r="W42" s="37"/>
      <c r="X42" s="37"/>
      <c r="Y42" s="37"/>
      <c r="Z42" s="40"/>
      <c r="AA42" s="41"/>
      <c r="AB42" s="37"/>
      <c r="AC42" s="37"/>
      <c r="AD42" s="37"/>
      <c r="AE42" s="37"/>
      <c r="AF42" s="37"/>
      <c r="AG42" s="37"/>
      <c r="AH42" s="36"/>
      <c r="AI42" s="36"/>
      <c r="AJ42" s="36"/>
      <c r="AK42" s="42"/>
      <c r="AL42" s="42"/>
      <c r="AM42" s="73">
        <f t="shared" si="2"/>
        <v>0</v>
      </c>
      <c r="AN42" s="71" t="str">
        <f>+IF($I42&gt;0,VLOOKUP($I42,'Lista de Precios'!$A$3:$H$2883,4,0),"")</f>
        <v/>
      </c>
      <c r="AO42" s="68" t="str">
        <f t="shared" si="4"/>
        <v/>
      </c>
      <c r="AP42" s="7" t="str">
        <f>IF($I42&gt;0,VLOOKUP($I42,'Lista de Precios'!$A$3:$K$2883,10,0),"")</f>
        <v/>
      </c>
      <c r="AQ42" s="7" t="str">
        <f>IF($I42&gt;0,VLOOKUP($I42,'Lista de Precios'!$A$3:$M$4893,13,0),"")</f>
        <v/>
      </c>
      <c r="AR42" s="7" t="str">
        <f>IF($I42&gt;0,VLOOKUP(I42,'Lista de Precios'!$A$3:$M$2883,13,0),"")</f>
        <v/>
      </c>
      <c r="HR42" s="134"/>
      <c r="HS42" s="134"/>
      <c r="HT42" s="134"/>
      <c r="HU42" s="134"/>
      <c r="HV42" s="134"/>
      <c r="HW42" s="134"/>
      <c r="HX42" s="134"/>
      <c r="HY42" s="134"/>
      <c r="HZ42" s="134"/>
      <c r="IA42" s="134"/>
      <c r="IB42" s="134"/>
      <c r="IC42" s="134"/>
      <c r="IE42" s="134"/>
      <c r="IF42" s="134"/>
      <c r="IG42" s="134"/>
      <c r="IH42" s="134"/>
      <c r="II42" s="134"/>
      <c r="IJ42" s="134"/>
      <c r="IK42" s="134"/>
      <c r="IL42" s="134"/>
      <c r="IM42" s="134"/>
      <c r="IN42" s="135"/>
      <c r="IO42" s="135"/>
      <c r="IP42" s="135"/>
      <c r="XEP42" s="7" t="str">
        <f t="shared" si="5"/>
        <v/>
      </c>
      <c r="XEQ42" s="7" t="str">
        <f t="shared" si="6"/>
        <v/>
      </c>
      <c r="XER42" s="7" t="str">
        <f t="shared" si="7"/>
        <v/>
      </c>
      <c r="XES42" s="7" t="str">
        <f t="shared" si="8"/>
        <v/>
      </c>
    </row>
    <row r="43" spans="1:250 16370:16373" ht="23.25" customHeight="1" x14ac:dyDescent="0.25">
      <c r="A43" s="74">
        <f>IF($I43&gt;0,VLOOKUP(I43,'Lista de Precios'!$A$3:$L$2883,9,0),0)</f>
        <v>0</v>
      </c>
      <c r="B43" s="74">
        <f>IF($I43&gt;0,VLOOKUP(I43,'Lista de Precios'!$A$3:$H$2883,7,0),0)</f>
        <v>0</v>
      </c>
      <c r="C43" s="7" t="str">
        <f>IF($I43&gt;0,VLOOKUP(I43,'Lista de Precios'!$A$3:$H$2883,2,0),"")</f>
        <v/>
      </c>
      <c r="D43" s="7" t="str">
        <f>IF($I43&gt;0,VLOOKUP(I43,'Lista de Precios'!$A$3:$H$2883,3,0),"")</f>
        <v/>
      </c>
      <c r="E43" s="76" t="str">
        <f>IF($I43&gt;0,VLOOKUP(I43,'Lista de Precios'!$A$3:$H$2883,6,0),"")</f>
        <v/>
      </c>
      <c r="F43" s="76" t="str">
        <f>IF($I43&gt;0,VLOOKUP(I43,'Lista de Precios'!$A$3:$H$2883,8,0),"")</f>
        <v/>
      </c>
      <c r="G43" s="101" t="str">
        <f t="shared" si="3"/>
        <v/>
      </c>
      <c r="H43" s="20" t="s">
        <v>3</v>
      </c>
      <c r="I43" s="18"/>
      <c r="J43" s="28" t="str">
        <f t="shared" si="12"/>
        <v/>
      </c>
      <c r="K43" s="24">
        <f>+IF($I43&gt;0,VLOOKUP($I43,'Lista de Precios'!$A$3:$H$2883,5,0),0)</f>
        <v>0</v>
      </c>
      <c r="L43" s="37"/>
      <c r="M43" s="37"/>
      <c r="N43" s="37"/>
      <c r="O43" s="37"/>
      <c r="P43" s="40"/>
      <c r="Q43" s="39"/>
      <c r="R43" s="37"/>
      <c r="S43" s="37"/>
      <c r="T43" s="37"/>
      <c r="U43" s="37"/>
      <c r="V43" s="37"/>
      <c r="W43" s="37"/>
      <c r="X43" s="37"/>
      <c r="Y43" s="37"/>
      <c r="Z43" s="40"/>
      <c r="AA43" s="41"/>
      <c r="AB43" s="37"/>
      <c r="AC43" s="37"/>
      <c r="AD43" s="37"/>
      <c r="AE43" s="37"/>
      <c r="AF43" s="37"/>
      <c r="AG43" s="37"/>
      <c r="AH43" s="36"/>
      <c r="AI43" s="36"/>
      <c r="AJ43" s="36"/>
      <c r="AK43" s="42"/>
      <c r="AL43" s="42"/>
      <c r="AM43" s="73">
        <f t="shared" si="2"/>
        <v>0</v>
      </c>
      <c r="AN43" s="71" t="str">
        <f>+IF($I43&gt;0,VLOOKUP($I43,'Lista de Precios'!$A$3:$H$2883,4,0),"")</f>
        <v/>
      </c>
      <c r="AO43" s="68" t="str">
        <f t="shared" si="4"/>
        <v/>
      </c>
      <c r="AP43" s="7" t="str">
        <f>IF($I43&gt;0,VLOOKUP($I43,'Lista de Precios'!$A$3:$K$2883,10,0),"")</f>
        <v/>
      </c>
      <c r="AQ43" s="7" t="str">
        <f>IF($I43&gt;0,VLOOKUP($I43,'Lista de Precios'!$A$3:$M$4893,13,0),"")</f>
        <v/>
      </c>
      <c r="AR43" s="7" t="str">
        <f>IF($I43&gt;0,VLOOKUP(I43,'Lista de Precios'!$A$3:$M$2883,13,0),"")</f>
        <v/>
      </c>
      <c r="HR43" s="134"/>
      <c r="HS43" s="134"/>
      <c r="HT43" s="134"/>
      <c r="HU43" s="134"/>
      <c r="HV43" s="134"/>
      <c r="HW43" s="134"/>
      <c r="HX43" s="134"/>
      <c r="HY43" s="134"/>
      <c r="HZ43" s="134"/>
      <c r="IA43" s="134"/>
      <c r="IB43" s="134"/>
      <c r="IC43" s="134"/>
      <c r="IE43" s="134"/>
      <c r="IF43" s="134"/>
      <c r="IG43" s="134"/>
      <c r="IH43" s="134"/>
      <c r="II43" s="134"/>
      <c r="IJ43" s="134"/>
      <c r="IK43" s="134"/>
      <c r="IL43" s="134"/>
      <c r="IM43" s="134"/>
      <c r="IN43" s="135"/>
      <c r="IO43" s="135"/>
      <c r="IP43" s="135"/>
      <c r="XEP43" s="7" t="str">
        <f t="shared" si="5"/>
        <v/>
      </c>
      <c r="XEQ43" s="7" t="str">
        <f t="shared" si="6"/>
        <v/>
      </c>
      <c r="XER43" s="7" t="str">
        <f t="shared" si="7"/>
        <v/>
      </c>
      <c r="XES43" s="7" t="str">
        <f t="shared" si="8"/>
        <v/>
      </c>
    </row>
    <row r="44" spans="1:250 16370:16373" ht="23.25" customHeight="1" x14ac:dyDescent="0.25">
      <c r="A44" s="74">
        <f>IF($I44&gt;0,VLOOKUP(I44,'Lista de Precios'!$A$3:$L$2883,9,0),0)</f>
        <v>0</v>
      </c>
      <c r="B44" s="74">
        <f>IF($I44&gt;0,VLOOKUP(I44,'Lista de Precios'!$A$3:$H$2883,7,0),0)</f>
        <v>0</v>
      </c>
      <c r="C44" s="7" t="str">
        <f>IF($I44&gt;0,VLOOKUP(I44,'Lista de Precios'!$A$3:$H$2883,2,0),"")</f>
        <v/>
      </c>
      <c r="D44" s="7" t="str">
        <f>IF($I44&gt;0,VLOOKUP(I44,'Lista de Precios'!$A$3:$H$2883,3,0),"")</f>
        <v/>
      </c>
      <c r="E44" s="76" t="str">
        <f>IF($I44&gt;0,VLOOKUP(I44,'Lista de Precios'!$A$3:$H$2883,6,0),"")</f>
        <v/>
      </c>
      <c r="F44" s="76" t="str">
        <f>IF($I44&gt;0,VLOOKUP(I44,'Lista de Precios'!$A$3:$H$2883,8,0),"")</f>
        <v/>
      </c>
      <c r="G44" s="101" t="str">
        <f t="shared" si="3"/>
        <v/>
      </c>
      <c r="H44" s="20" t="s">
        <v>3</v>
      </c>
      <c r="I44" s="18"/>
      <c r="J44" s="28" t="str">
        <f t="shared" si="12"/>
        <v/>
      </c>
      <c r="K44" s="24">
        <f>+IF($I44&gt;0,VLOOKUP($I44,'Lista de Precios'!$A$3:$H$2883,5,0),0)</f>
        <v>0</v>
      </c>
      <c r="L44" s="37"/>
      <c r="M44" s="37"/>
      <c r="N44" s="37"/>
      <c r="O44" s="37"/>
      <c r="P44" s="40"/>
      <c r="Q44" s="39"/>
      <c r="R44" s="37"/>
      <c r="S44" s="37"/>
      <c r="T44" s="37"/>
      <c r="U44" s="37"/>
      <c r="V44" s="37"/>
      <c r="W44" s="37"/>
      <c r="X44" s="37"/>
      <c r="Y44" s="37"/>
      <c r="Z44" s="40"/>
      <c r="AA44" s="41"/>
      <c r="AB44" s="37"/>
      <c r="AC44" s="37"/>
      <c r="AD44" s="37"/>
      <c r="AE44" s="37"/>
      <c r="AF44" s="37"/>
      <c r="AG44" s="37"/>
      <c r="AH44" s="36"/>
      <c r="AI44" s="36"/>
      <c r="AJ44" s="42"/>
      <c r="AK44" s="42"/>
      <c r="AL44" s="43"/>
      <c r="AM44" s="73">
        <f t="shared" si="2"/>
        <v>0</v>
      </c>
      <c r="AN44" s="71" t="str">
        <f>+IF($I44&gt;0,VLOOKUP($I44,'Lista de Precios'!$A$3:$H$2883,4,0),"")</f>
        <v/>
      </c>
      <c r="AO44" s="68" t="str">
        <f t="shared" si="4"/>
        <v/>
      </c>
      <c r="AP44" s="7" t="str">
        <f>IF($I44&gt;0,VLOOKUP($I44,'Lista de Precios'!$A$3:$K$2883,10,0),"")</f>
        <v/>
      </c>
      <c r="AQ44" s="7" t="str">
        <f>IF($I44&gt;0,VLOOKUP($I44,'Lista de Precios'!$A$3:$M$4893,13,0),"")</f>
        <v/>
      </c>
      <c r="AR44" s="7" t="str">
        <f>IF($I44&gt;0,VLOOKUP(I44,'Lista de Precios'!$A$3:$M$2883,13,0),"")</f>
        <v/>
      </c>
      <c r="HR44" s="134"/>
      <c r="HS44" s="134"/>
      <c r="HT44" s="134"/>
      <c r="HU44" s="134"/>
      <c r="HV44" s="134"/>
      <c r="HW44" s="134"/>
      <c r="HX44" s="134"/>
      <c r="HY44" s="134"/>
      <c r="HZ44" s="134"/>
      <c r="IA44" s="134"/>
      <c r="IB44" s="134"/>
      <c r="IC44" s="134"/>
      <c r="IE44" s="134"/>
      <c r="IF44" s="134"/>
      <c r="IG44" s="134"/>
      <c r="IH44" s="134"/>
      <c r="II44" s="134"/>
      <c r="IJ44" s="134"/>
      <c r="IK44" s="134"/>
      <c r="IL44" s="134"/>
      <c r="IM44" s="134"/>
      <c r="IN44" s="135"/>
      <c r="IO44" s="135"/>
      <c r="IP44" s="135"/>
      <c r="XEP44" s="7" t="str">
        <f t="shared" si="5"/>
        <v/>
      </c>
      <c r="XEQ44" s="7" t="str">
        <f t="shared" si="6"/>
        <v/>
      </c>
      <c r="XER44" s="7" t="str">
        <f t="shared" si="7"/>
        <v/>
      </c>
      <c r="XES44" s="7" t="str">
        <f t="shared" si="8"/>
        <v/>
      </c>
    </row>
    <row r="45" spans="1:250 16370:16373" ht="23.25" customHeight="1" x14ac:dyDescent="0.25">
      <c r="A45" s="74">
        <f>IF($I45&gt;0,VLOOKUP(I45,'Lista de Precios'!$A$3:$L$2883,9,0),0)</f>
        <v>0</v>
      </c>
      <c r="B45" s="74">
        <f>IF($I45&gt;0,VLOOKUP(I45,'Lista de Precios'!$A$3:$H$2883,7,0),0)</f>
        <v>0</v>
      </c>
      <c r="C45" s="7" t="str">
        <f>IF($I45&gt;0,VLOOKUP(I45,'Lista de Precios'!$A$3:$H$2883,2,0),"")</f>
        <v/>
      </c>
      <c r="D45" s="7" t="str">
        <f>IF($I45&gt;0,VLOOKUP(I45,'Lista de Precios'!$A$3:$H$2883,3,0),"")</f>
        <v/>
      </c>
      <c r="E45" s="76" t="str">
        <f>IF($I45&gt;0,VLOOKUP(I45,'Lista de Precios'!$A$3:$H$2883,6,0),"")</f>
        <v/>
      </c>
      <c r="F45" s="76" t="str">
        <f>IF($I45&gt;0,VLOOKUP(I45,'Lista de Precios'!$A$3:$H$2883,8,0),"")</f>
        <v/>
      </c>
      <c r="G45" s="101" t="str">
        <f t="shared" si="3"/>
        <v/>
      </c>
      <c r="H45" s="20" t="s">
        <v>3</v>
      </c>
      <c r="I45" s="18"/>
      <c r="J45" s="28" t="str">
        <f t="shared" si="12"/>
        <v/>
      </c>
      <c r="K45" s="24">
        <f>+IF($I45&gt;0,VLOOKUP($I45,'Lista de Precios'!$A$3:$H$2883,5,0),0)</f>
        <v>0</v>
      </c>
      <c r="L45" s="37"/>
      <c r="M45" s="37"/>
      <c r="N45" s="37"/>
      <c r="O45" s="37"/>
      <c r="P45" s="40"/>
      <c r="Q45" s="39"/>
      <c r="R45" s="37"/>
      <c r="S45" s="37"/>
      <c r="T45" s="37"/>
      <c r="U45" s="37"/>
      <c r="V45" s="37"/>
      <c r="W45" s="37"/>
      <c r="X45" s="37"/>
      <c r="Y45" s="37"/>
      <c r="Z45" s="37"/>
      <c r="AA45" s="41"/>
      <c r="AB45" s="37"/>
      <c r="AC45" s="37"/>
      <c r="AD45" s="37"/>
      <c r="AE45" s="37"/>
      <c r="AF45" s="37"/>
      <c r="AG45" s="37"/>
      <c r="AH45" s="36"/>
      <c r="AI45" s="36"/>
      <c r="AJ45" s="42"/>
      <c r="AK45" s="42"/>
      <c r="AL45" s="42"/>
      <c r="AM45" s="73">
        <f t="shared" si="2"/>
        <v>0</v>
      </c>
      <c r="AN45" s="71" t="str">
        <f>+IF($I45&gt;0,VLOOKUP($I45,'Lista de Precios'!$A$3:$H$2883,4,0),"")</f>
        <v/>
      </c>
      <c r="AO45" s="68" t="str">
        <f t="shared" si="4"/>
        <v/>
      </c>
      <c r="AP45" s="7" t="str">
        <f>IF($I45&gt;0,VLOOKUP($I45,'Lista de Precios'!$A$3:$K$2883,10,0),"")</f>
        <v/>
      </c>
      <c r="AQ45" s="7" t="str">
        <f>IF($I45&gt;0,VLOOKUP($I45,'Lista de Precios'!$A$3:$M$4893,13,0),"")</f>
        <v/>
      </c>
      <c r="AR45" s="7" t="str">
        <f>IF($I45&gt;0,VLOOKUP(I45,'Lista de Precios'!$A$3:$M$2883,13,0),"")</f>
        <v/>
      </c>
      <c r="HR45" s="134"/>
      <c r="HS45" s="134"/>
      <c r="HT45" s="134"/>
      <c r="HU45" s="134"/>
      <c r="HV45" s="134"/>
      <c r="HW45" s="134"/>
      <c r="HX45" s="134"/>
      <c r="HY45" s="134"/>
      <c r="HZ45" s="134"/>
      <c r="IA45" s="134"/>
      <c r="IB45" s="134"/>
      <c r="IC45" s="134"/>
      <c r="IE45" s="134"/>
      <c r="IF45" s="134"/>
      <c r="IG45" s="134"/>
      <c r="IH45" s="134"/>
      <c r="II45" s="134"/>
      <c r="IJ45" s="134"/>
      <c r="IK45" s="134"/>
      <c r="IL45" s="134"/>
      <c r="IM45" s="134"/>
      <c r="IN45" s="135"/>
      <c r="IO45" s="135"/>
      <c r="IP45" s="135"/>
      <c r="XEP45" s="7" t="str">
        <f t="shared" si="5"/>
        <v/>
      </c>
      <c r="XEQ45" s="7" t="str">
        <f t="shared" si="6"/>
        <v/>
      </c>
      <c r="XER45" s="7" t="str">
        <f t="shared" si="7"/>
        <v/>
      </c>
      <c r="XES45" s="7" t="str">
        <f t="shared" si="8"/>
        <v/>
      </c>
    </row>
    <row r="46" spans="1:250 16370:16373" ht="23.25" customHeight="1" x14ac:dyDescent="0.25">
      <c r="A46" s="74">
        <f>IF($I46&gt;0,VLOOKUP(I46,'Lista de Precios'!$A$3:$L$2883,9,0),0)</f>
        <v>0</v>
      </c>
      <c r="B46" s="74">
        <f>IF($I46&gt;0,VLOOKUP(I46,'Lista de Precios'!$A$3:$H$2883,7,0),0)</f>
        <v>0</v>
      </c>
      <c r="C46" s="7" t="str">
        <f>IF($I46&gt;0,VLOOKUP(I46,'Lista de Precios'!$A$3:$H$2883,2,0),"")</f>
        <v/>
      </c>
      <c r="D46" s="7" t="str">
        <f>IF($I46&gt;0,VLOOKUP(I46,'Lista de Precios'!$A$3:$H$2883,3,0),"")</f>
        <v/>
      </c>
      <c r="E46" s="76" t="str">
        <f>IF($I46&gt;0,VLOOKUP(I46,'Lista de Precios'!$A$3:$H$2883,6,0),"")</f>
        <v/>
      </c>
      <c r="F46" s="76" t="str">
        <f>IF($I46&gt;0,VLOOKUP(I46,'Lista de Precios'!$A$3:$H$2883,8,0),"")</f>
        <v/>
      </c>
      <c r="G46" s="101" t="str">
        <f t="shared" si="3"/>
        <v/>
      </c>
      <c r="H46" s="20" t="s">
        <v>3</v>
      </c>
      <c r="I46" s="18"/>
      <c r="J46" s="28" t="str">
        <f t="shared" si="12"/>
        <v/>
      </c>
      <c r="K46" s="24">
        <f>+IF($I46&gt;0,VLOOKUP($I46,'Lista de Precios'!$A$3:$H$2883,5,0),0)</f>
        <v>0</v>
      </c>
      <c r="L46" s="37"/>
      <c r="M46" s="37"/>
      <c r="N46" s="37"/>
      <c r="O46" s="37"/>
      <c r="P46" s="40"/>
      <c r="Q46" s="39"/>
      <c r="R46" s="37"/>
      <c r="S46" s="37"/>
      <c r="T46" s="37"/>
      <c r="U46" s="37"/>
      <c r="V46" s="37"/>
      <c r="W46" s="37"/>
      <c r="X46" s="37"/>
      <c r="Y46" s="37"/>
      <c r="Z46" s="40"/>
      <c r="AA46" s="41"/>
      <c r="AB46" s="37"/>
      <c r="AC46" s="37"/>
      <c r="AD46" s="37"/>
      <c r="AE46" s="37"/>
      <c r="AF46" s="37"/>
      <c r="AG46" s="37"/>
      <c r="AH46" s="36"/>
      <c r="AI46" s="36"/>
      <c r="AJ46" s="42"/>
      <c r="AK46" s="42"/>
      <c r="AL46" s="42"/>
      <c r="AM46" s="73">
        <f t="shared" ref="AM46:AM77" si="16">+IF(I46&gt;0,SUM(L46:AL46),0)</f>
        <v>0</v>
      </c>
      <c r="AN46" s="71" t="str">
        <f>+IF($I46&gt;0,VLOOKUP($I46,'Lista de Precios'!$A$3:$H$2883,4,0),"")</f>
        <v/>
      </c>
      <c r="AO46" s="68" t="str">
        <f t="shared" si="4"/>
        <v/>
      </c>
      <c r="AP46" s="7" t="str">
        <f>IF($I46&gt;0,VLOOKUP($I46,'Lista de Precios'!$A$3:$K$2883,10,0),"")</f>
        <v/>
      </c>
      <c r="AQ46" s="7" t="str">
        <f>IF($I46&gt;0,VLOOKUP($I46,'Lista de Precios'!$A$3:$M$4893,13,0),"")</f>
        <v/>
      </c>
      <c r="AR46" s="7" t="str">
        <f>IF($I46&gt;0,VLOOKUP(I46,'Lista de Precios'!$A$3:$M$2883,13,0),"")</f>
        <v/>
      </c>
      <c r="HR46" s="134"/>
      <c r="HS46" s="134"/>
      <c r="HT46" s="134"/>
      <c r="HU46" s="134"/>
      <c r="HV46" s="134"/>
      <c r="HW46" s="134"/>
      <c r="HX46" s="134"/>
      <c r="HY46" s="134"/>
      <c r="HZ46" s="134"/>
      <c r="IA46" s="134"/>
      <c r="IB46" s="134"/>
      <c r="IC46" s="134"/>
      <c r="IE46" s="134"/>
      <c r="IF46" s="134"/>
      <c r="IG46" s="134"/>
      <c r="IH46" s="134"/>
      <c r="II46" s="134"/>
      <c r="IJ46" s="134"/>
      <c r="IK46" s="134"/>
      <c r="IL46" s="134"/>
      <c r="IM46" s="134"/>
      <c r="IN46" s="135"/>
      <c r="IO46" s="135"/>
      <c r="IP46" s="135"/>
      <c r="XEP46" s="7" t="str">
        <f t="shared" si="5"/>
        <v/>
      </c>
      <c r="XEQ46" s="7" t="str">
        <f t="shared" si="6"/>
        <v/>
      </c>
      <c r="XER46" s="7" t="str">
        <f t="shared" si="7"/>
        <v/>
      </c>
      <c r="XES46" s="7" t="str">
        <f t="shared" si="8"/>
        <v/>
      </c>
    </row>
    <row r="47" spans="1:250 16370:16373" ht="23.25" customHeight="1" x14ac:dyDescent="0.25">
      <c r="A47" s="74">
        <f>IF($I47&gt;0,VLOOKUP(I47,'Lista de Precios'!$A$3:$L$2883,9,0),0)</f>
        <v>0</v>
      </c>
      <c r="B47" s="74">
        <f>IF($I47&gt;0,VLOOKUP(I47,'Lista de Precios'!$A$3:$H$2883,7,0),0)</f>
        <v>0</v>
      </c>
      <c r="C47" s="7" t="str">
        <f>IF($I47&gt;0,VLOOKUP(I47,'Lista de Precios'!$A$3:$H$2883,2,0),"")</f>
        <v/>
      </c>
      <c r="D47" s="7" t="str">
        <f>IF($I47&gt;0,VLOOKUP(I47,'Lista de Precios'!$A$3:$H$2883,3,0),"")</f>
        <v/>
      </c>
      <c r="E47" s="76" t="str">
        <f>IF($I47&gt;0,VLOOKUP(I47,'Lista de Precios'!$A$3:$H$2883,6,0),"")</f>
        <v/>
      </c>
      <c r="F47" s="76" t="str">
        <f>IF($I47&gt;0,VLOOKUP(I47,'Lista de Precios'!$A$3:$H$2883,8,0),"")</f>
        <v/>
      </c>
      <c r="G47" s="101" t="str">
        <f t="shared" si="3"/>
        <v/>
      </c>
      <c r="H47" s="20" t="s">
        <v>3</v>
      </c>
      <c r="I47" s="18"/>
      <c r="J47" s="28" t="str">
        <f t="shared" si="12"/>
        <v/>
      </c>
      <c r="K47" s="24">
        <f>+IF($I47&gt;0,VLOOKUP($I47,'Lista de Precios'!$A$3:$H$2883,5,0),0)</f>
        <v>0</v>
      </c>
      <c r="L47" s="37"/>
      <c r="M47" s="37"/>
      <c r="N47" s="37"/>
      <c r="O47" s="37"/>
      <c r="P47" s="40"/>
      <c r="Q47" s="39"/>
      <c r="R47" s="37"/>
      <c r="S47" s="37"/>
      <c r="T47" s="37"/>
      <c r="U47" s="37"/>
      <c r="V47" s="37"/>
      <c r="W47" s="37"/>
      <c r="X47" s="37"/>
      <c r="Y47" s="37"/>
      <c r="Z47" s="40"/>
      <c r="AA47" s="41"/>
      <c r="AB47" s="37"/>
      <c r="AC47" s="37"/>
      <c r="AD47" s="37"/>
      <c r="AE47" s="36"/>
      <c r="AF47" s="37"/>
      <c r="AG47" s="37"/>
      <c r="AH47" s="36"/>
      <c r="AI47" s="36"/>
      <c r="AJ47" s="42"/>
      <c r="AK47" s="42"/>
      <c r="AL47" s="42"/>
      <c r="AM47" s="73">
        <f t="shared" si="16"/>
        <v>0</v>
      </c>
      <c r="AN47" s="71" t="str">
        <f>+IF($I47&gt;0,VLOOKUP($I47,'Lista de Precios'!$A$3:$H$2883,4,0),"")</f>
        <v/>
      </c>
      <c r="AO47" s="68" t="str">
        <f t="shared" si="4"/>
        <v/>
      </c>
      <c r="AP47" s="7" t="str">
        <f>IF($I47&gt;0,VLOOKUP($I47,'Lista de Precios'!$A$3:$K$2883,10,0),"")</f>
        <v/>
      </c>
      <c r="AQ47" s="7" t="str">
        <f>IF($I47&gt;0,VLOOKUP($I47,'Lista de Precios'!$A$3:$M$4893,13,0),"")</f>
        <v/>
      </c>
      <c r="AR47" s="7" t="str">
        <f>IF($I47&gt;0,VLOOKUP(I47,'Lista de Precios'!$A$3:$M$2883,13,0),"")</f>
        <v/>
      </c>
      <c r="HR47" s="134"/>
      <c r="HS47" s="134"/>
      <c r="HT47" s="134"/>
      <c r="HU47" s="134"/>
      <c r="HV47" s="134"/>
      <c r="HW47" s="134"/>
      <c r="HX47" s="134"/>
      <c r="HY47" s="134"/>
      <c r="HZ47" s="134"/>
      <c r="IA47" s="134"/>
      <c r="IB47" s="134"/>
      <c r="IC47" s="134"/>
      <c r="IE47" s="134"/>
      <c r="IF47" s="134"/>
      <c r="IG47" s="134"/>
      <c r="IH47" s="134"/>
      <c r="II47" s="134"/>
      <c r="IJ47" s="134"/>
      <c r="IK47" s="134"/>
      <c r="IL47" s="134"/>
      <c r="IM47" s="134"/>
      <c r="IN47" s="135"/>
      <c r="IO47" s="135"/>
      <c r="IP47" s="135"/>
      <c r="XEP47" s="7" t="str">
        <f t="shared" si="5"/>
        <v/>
      </c>
      <c r="XEQ47" s="7" t="str">
        <f t="shared" si="6"/>
        <v/>
      </c>
      <c r="XER47" s="7" t="str">
        <f t="shared" si="7"/>
        <v/>
      </c>
      <c r="XES47" s="7" t="str">
        <f t="shared" si="8"/>
        <v/>
      </c>
    </row>
    <row r="48" spans="1:250 16370:16373" ht="23.25" customHeight="1" x14ac:dyDescent="0.25">
      <c r="A48" s="74">
        <f>IF($I48&gt;0,VLOOKUP(I48,'Lista de Precios'!$A$3:$L$2883,9,0),0)</f>
        <v>0</v>
      </c>
      <c r="B48" s="74">
        <f>IF($I48&gt;0,VLOOKUP(I48,'Lista de Precios'!$A$3:$H$2883,7,0),0)</f>
        <v>0</v>
      </c>
      <c r="C48" s="7" t="str">
        <f>IF($I48&gt;0,VLOOKUP(I48,'Lista de Precios'!$A$3:$H$2883,2,0),"")</f>
        <v/>
      </c>
      <c r="D48" s="7" t="str">
        <f>IF($I48&gt;0,VLOOKUP(I48,'Lista de Precios'!$A$3:$H$2883,3,0),"")</f>
        <v/>
      </c>
      <c r="E48" s="76" t="str">
        <f>IF($I48&gt;0,VLOOKUP(I48,'Lista de Precios'!$A$3:$H$2883,6,0),"")</f>
        <v/>
      </c>
      <c r="F48" s="76" t="str">
        <f>IF($I48&gt;0,VLOOKUP(I48,'Lista de Precios'!$A$3:$H$2883,8,0),"")</f>
        <v/>
      </c>
      <c r="G48" s="101" t="str">
        <f t="shared" si="3"/>
        <v/>
      </c>
      <c r="H48" s="20" t="s">
        <v>3</v>
      </c>
      <c r="I48" s="18"/>
      <c r="J48" s="28" t="str">
        <f t="shared" si="12"/>
        <v/>
      </c>
      <c r="K48" s="24">
        <f>+IF($I48&gt;0,VLOOKUP($I48,'Lista de Precios'!$A$3:$H$2883,5,0),0)</f>
        <v>0</v>
      </c>
      <c r="L48" s="37"/>
      <c r="M48" s="37"/>
      <c r="N48" s="37"/>
      <c r="O48" s="37"/>
      <c r="P48" s="40"/>
      <c r="Q48" s="39"/>
      <c r="R48" s="37"/>
      <c r="S48" s="37"/>
      <c r="T48" s="37"/>
      <c r="U48" s="37"/>
      <c r="V48" s="37"/>
      <c r="W48" s="37"/>
      <c r="X48" s="37"/>
      <c r="Y48" s="37"/>
      <c r="Z48" s="40"/>
      <c r="AA48" s="41"/>
      <c r="AB48" s="37"/>
      <c r="AC48" s="37"/>
      <c r="AD48" s="37"/>
      <c r="AE48" s="37"/>
      <c r="AF48" s="37"/>
      <c r="AG48" s="57"/>
      <c r="AH48" s="54"/>
      <c r="AI48" s="54"/>
      <c r="AJ48" s="54"/>
      <c r="AK48" s="54"/>
      <c r="AL48" s="54"/>
      <c r="AM48" s="73">
        <f t="shared" si="16"/>
        <v>0</v>
      </c>
      <c r="AN48" s="71" t="str">
        <f>+IF($I48&gt;0,VLOOKUP($I48,'Lista de Precios'!$A$3:$H$2883,4,0),"")</f>
        <v/>
      </c>
      <c r="AO48" s="68" t="str">
        <f t="shared" si="4"/>
        <v/>
      </c>
      <c r="AP48" s="7" t="str">
        <f>IF($I48&gt;0,VLOOKUP($I48,'Lista de Precios'!$A$3:$K$2883,10,0),"")</f>
        <v/>
      </c>
      <c r="AQ48" s="7" t="str">
        <f>IF($I48&gt;0,VLOOKUP($I48,'Lista de Precios'!$A$3:$M$4893,13,0),"")</f>
        <v/>
      </c>
      <c r="AR48" s="7" t="str">
        <f>IF($I48&gt;0,VLOOKUP(I48,'Lista de Precios'!$A$3:$M$2883,13,0),"")</f>
        <v/>
      </c>
      <c r="HR48" s="134"/>
      <c r="HS48" s="134"/>
      <c r="HT48" s="134"/>
      <c r="HU48" s="134"/>
      <c r="HV48" s="134"/>
      <c r="HW48" s="134"/>
      <c r="HX48" s="134"/>
      <c r="HY48" s="134"/>
      <c r="HZ48" s="134"/>
      <c r="IA48" s="134"/>
      <c r="IB48" s="134"/>
      <c r="IC48" s="134"/>
      <c r="IE48" s="134"/>
      <c r="IF48" s="134"/>
      <c r="IG48" s="134"/>
      <c r="IH48" s="134"/>
      <c r="II48" s="134"/>
      <c r="IJ48" s="134"/>
      <c r="IK48" s="134"/>
      <c r="IL48" s="134"/>
      <c r="IM48" s="134"/>
      <c r="IN48" s="135"/>
      <c r="IO48" s="135"/>
      <c r="IP48" s="135"/>
      <c r="XEP48" s="7" t="str">
        <f t="shared" si="5"/>
        <v/>
      </c>
      <c r="XEQ48" s="7" t="str">
        <f t="shared" si="6"/>
        <v/>
      </c>
      <c r="XER48" s="7" t="str">
        <f t="shared" si="7"/>
        <v/>
      </c>
      <c r="XES48" s="7" t="str">
        <f t="shared" si="8"/>
        <v/>
      </c>
    </row>
    <row r="49" spans="1:250 16370:16373" ht="23.25" customHeight="1" x14ac:dyDescent="0.25">
      <c r="A49" s="74">
        <f>IF($I49&gt;0,VLOOKUP(I49,'Lista de Precios'!$A$3:$L$2883,9,0),0)</f>
        <v>0</v>
      </c>
      <c r="B49" s="74">
        <f>IF($I49&gt;0,VLOOKUP(I49,'Lista de Precios'!$A$3:$H$2883,7,0),0)</f>
        <v>0</v>
      </c>
      <c r="C49" s="7" t="str">
        <f>IF($I49&gt;0,VLOOKUP(I49,'Lista de Precios'!$A$3:$H$2883,2,0),"")</f>
        <v/>
      </c>
      <c r="D49" s="7" t="str">
        <f>IF($I49&gt;0,VLOOKUP(I49,'Lista de Precios'!$A$3:$H$2883,3,0),"")</f>
        <v/>
      </c>
      <c r="E49" s="76" t="str">
        <f>IF($I49&gt;0,VLOOKUP(I49,'Lista de Precios'!$A$3:$H$2883,6,0),"")</f>
        <v/>
      </c>
      <c r="F49" s="76" t="str">
        <f>IF($I49&gt;0,VLOOKUP(I49,'Lista de Precios'!$A$3:$H$2883,8,0),"")</f>
        <v/>
      </c>
      <c r="G49" s="101" t="str">
        <f t="shared" si="3"/>
        <v/>
      </c>
      <c r="H49" s="20" t="s">
        <v>3</v>
      </c>
      <c r="I49" s="18"/>
      <c r="J49" s="28" t="str">
        <f t="shared" si="12"/>
        <v/>
      </c>
      <c r="K49" s="24">
        <f>+IF($I49&gt;0,VLOOKUP($I49,'Lista de Precios'!$A$3:$H$2883,5,0),0)</f>
        <v>0</v>
      </c>
      <c r="L49" s="37"/>
      <c r="M49" s="37"/>
      <c r="N49" s="37"/>
      <c r="O49" s="37"/>
      <c r="P49" s="40"/>
      <c r="Q49" s="39"/>
      <c r="R49" s="37"/>
      <c r="S49" s="37"/>
      <c r="T49" s="37"/>
      <c r="U49" s="37"/>
      <c r="V49" s="37"/>
      <c r="W49" s="37"/>
      <c r="X49" s="37"/>
      <c r="Y49" s="37"/>
      <c r="Z49" s="40"/>
      <c r="AA49" s="41"/>
      <c r="AB49" s="37"/>
      <c r="AC49" s="37"/>
      <c r="AD49" s="37"/>
      <c r="AE49" s="37"/>
      <c r="AF49" s="37"/>
      <c r="AG49" s="57"/>
      <c r="AH49" s="54"/>
      <c r="AI49" s="54"/>
      <c r="AJ49" s="42"/>
      <c r="AK49" s="42"/>
      <c r="AL49" s="42"/>
      <c r="AM49" s="73">
        <f t="shared" si="16"/>
        <v>0</v>
      </c>
      <c r="AN49" s="71" t="str">
        <f>+IF($I49&gt;0,VLOOKUP($I49,'Lista de Precios'!$A$3:$H$2883,4,0),"")</f>
        <v/>
      </c>
      <c r="AO49" s="68" t="str">
        <f t="shared" si="4"/>
        <v/>
      </c>
      <c r="AP49" s="7" t="str">
        <f>IF($I49&gt;0,VLOOKUP($I49,'Lista de Precios'!$A$3:$K$2883,10,0),"")</f>
        <v/>
      </c>
      <c r="AQ49" s="7" t="str">
        <f>IF($I49&gt;0,VLOOKUP($I49,'Lista de Precios'!$A$3:$M$4893,13,0),"")</f>
        <v/>
      </c>
      <c r="AR49" s="7" t="str">
        <f>IF($I49&gt;0,VLOOKUP(I49,'Lista de Precios'!$A$3:$M$2883,13,0),"")</f>
        <v/>
      </c>
      <c r="HR49" s="134"/>
      <c r="HS49" s="134"/>
      <c r="HT49" s="134"/>
      <c r="HU49" s="134"/>
      <c r="HV49" s="134"/>
      <c r="HW49" s="134"/>
      <c r="HX49" s="134"/>
      <c r="HY49" s="134"/>
      <c r="HZ49" s="134"/>
      <c r="IA49" s="134"/>
      <c r="IB49" s="134"/>
      <c r="IC49" s="134"/>
      <c r="IE49" s="134"/>
      <c r="IF49" s="134"/>
      <c r="IG49" s="134"/>
      <c r="IH49" s="134"/>
      <c r="II49" s="134"/>
      <c r="IJ49" s="134"/>
      <c r="IK49" s="134"/>
      <c r="IL49" s="134"/>
      <c r="IM49" s="134"/>
      <c r="IN49" s="135"/>
      <c r="IO49" s="135"/>
      <c r="IP49" s="135"/>
      <c r="XEP49" s="7" t="str">
        <f t="shared" si="5"/>
        <v/>
      </c>
      <c r="XEQ49" s="7" t="str">
        <f t="shared" si="6"/>
        <v/>
      </c>
      <c r="XER49" s="7" t="str">
        <f t="shared" si="7"/>
        <v/>
      </c>
      <c r="XES49" s="7" t="str">
        <f t="shared" si="8"/>
        <v/>
      </c>
    </row>
    <row r="50" spans="1:250 16370:16373" ht="23.25" customHeight="1" x14ac:dyDescent="0.25">
      <c r="A50" s="74">
        <f>IF($I50&gt;0,VLOOKUP(I50,'Lista de Precios'!$A$3:$L$2883,9,0),0)</f>
        <v>0</v>
      </c>
      <c r="B50" s="74">
        <f>IF($I50&gt;0,VLOOKUP(I50,'Lista de Precios'!$A$3:$H$2883,7,0),0)</f>
        <v>0</v>
      </c>
      <c r="C50" s="7" t="str">
        <f>IF($I50&gt;0,VLOOKUP(I50,'Lista de Precios'!$A$3:$H$2883,2,0),"")</f>
        <v/>
      </c>
      <c r="D50" s="7" t="str">
        <f>IF($I50&gt;0,VLOOKUP(I50,'Lista de Precios'!$A$3:$H$2883,3,0),"")</f>
        <v/>
      </c>
      <c r="E50" s="76" t="str">
        <f>IF($I50&gt;0,VLOOKUP(I50,'Lista de Precios'!$A$3:$H$2883,6,0),"")</f>
        <v/>
      </c>
      <c r="F50" s="76" t="str">
        <f>IF($I50&gt;0,VLOOKUP(I50,'Lista de Precios'!$A$3:$H$2883,8,0),"")</f>
        <v/>
      </c>
      <c r="G50" s="101" t="str">
        <f t="shared" si="3"/>
        <v/>
      </c>
      <c r="H50" s="20" t="s">
        <v>3</v>
      </c>
      <c r="I50" s="18"/>
      <c r="J50" s="28" t="str">
        <f t="shared" si="12"/>
        <v/>
      </c>
      <c r="K50" s="24">
        <f>+IF($I50&gt;0,VLOOKUP($I50,'Lista de Precios'!$A$3:$H$2883,5,0),0)</f>
        <v>0</v>
      </c>
      <c r="L50" s="37"/>
      <c r="M50" s="37"/>
      <c r="N50" s="37"/>
      <c r="O50" s="37"/>
      <c r="P50" s="40"/>
      <c r="Q50" s="39"/>
      <c r="R50" s="37"/>
      <c r="S50" s="37"/>
      <c r="T50" s="37"/>
      <c r="U50" s="37"/>
      <c r="V50" s="37"/>
      <c r="W50" s="37"/>
      <c r="X50" s="37"/>
      <c r="Y50" s="37"/>
      <c r="Z50" s="40"/>
      <c r="AA50" s="41"/>
      <c r="AB50" s="37"/>
      <c r="AC50" s="37"/>
      <c r="AD50" s="37"/>
      <c r="AE50" s="37"/>
      <c r="AF50" s="37"/>
      <c r="AG50" s="37"/>
      <c r="AH50" s="42"/>
      <c r="AI50" s="42"/>
      <c r="AJ50" s="43"/>
      <c r="AK50" s="43"/>
      <c r="AL50" s="43"/>
      <c r="AM50" s="73">
        <f t="shared" si="16"/>
        <v>0</v>
      </c>
      <c r="AN50" s="71" t="str">
        <f>+IF($I50&gt;0,VLOOKUP($I50,'Lista de Precios'!$A$3:$H$2883,4,0),"")</f>
        <v/>
      </c>
      <c r="AO50" s="68" t="str">
        <f t="shared" si="4"/>
        <v/>
      </c>
      <c r="AP50" s="7" t="str">
        <f>IF($I50&gt;0,VLOOKUP($I50,'Lista de Precios'!$A$3:$K$2883,10,0),"")</f>
        <v/>
      </c>
      <c r="AQ50" s="7" t="str">
        <f>IF($I50&gt;0,VLOOKUP($I50,'Lista de Precios'!$A$3:$M$4893,13,0),"")</f>
        <v/>
      </c>
      <c r="AR50" s="7" t="str">
        <f>IF($I50&gt;0,VLOOKUP(I50,'Lista de Precios'!$A$3:$M$2883,13,0),"")</f>
        <v/>
      </c>
      <c r="HR50" s="134"/>
      <c r="HS50" s="134"/>
      <c r="HT50" s="134"/>
      <c r="HU50" s="134"/>
      <c r="HV50" s="134"/>
      <c r="HW50" s="134"/>
      <c r="HX50" s="134"/>
      <c r="HY50" s="134"/>
      <c r="HZ50" s="134"/>
      <c r="IA50" s="134"/>
      <c r="IB50" s="134"/>
      <c r="IC50" s="134"/>
      <c r="IE50" s="134"/>
      <c r="IF50" s="134"/>
      <c r="IG50" s="134"/>
      <c r="IH50" s="134"/>
      <c r="II50" s="134"/>
      <c r="IJ50" s="134"/>
      <c r="IK50" s="134"/>
      <c r="IL50" s="134"/>
      <c r="IM50" s="134"/>
      <c r="IN50" s="135"/>
      <c r="IO50" s="135"/>
      <c r="IP50" s="135"/>
      <c r="XEP50" s="7" t="str">
        <f t="shared" si="5"/>
        <v/>
      </c>
      <c r="XEQ50" s="7" t="str">
        <f t="shared" si="6"/>
        <v/>
      </c>
      <c r="XER50" s="7" t="str">
        <f t="shared" si="7"/>
        <v/>
      </c>
      <c r="XES50" s="7" t="str">
        <f t="shared" si="8"/>
        <v/>
      </c>
    </row>
    <row r="51" spans="1:250 16370:16373" ht="23.25" customHeight="1" x14ac:dyDescent="0.25">
      <c r="A51" s="74">
        <f>IF($I51&gt;0,VLOOKUP(I51,'Lista de Precios'!$A$3:$L$2883,9,0),0)</f>
        <v>0</v>
      </c>
      <c r="B51" s="74">
        <f>IF($I51&gt;0,VLOOKUP(I51,'Lista de Precios'!$A$3:$H$2883,7,0),0)</f>
        <v>0</v>
      </c>
      <c r="C51" s="7" t="str">
        <f>IF($I51&gt;0,VLOOKUP(I51,'Lista de Precios'!$A$3:$H$2883,2,0),"")</f>
        <v/>
      </c>
      <c r="D51" s="7" t="str">
        <f>IF($I51&gt;0,VLOOKUP(I51,'Lista de Precios'!$A$3:$H$2883,3,0),"")</f>
        <v/>
      </c>
      <c r="E51" s="76" t="str">
        <f>IF($I51&gt;0,VLOOKUP(I51,'Lista de Precios'!$A$3:$H$2883,6,0),"")</f>
        <v/>
      </c>
      <c r="F51" s="76" t="str">
        <f>IF($I51&gt;0,VLOOKUP(I51,'Lista de Precios'!$A$3:$H$2883,8,0),"")</f>
        <v/>
      </c>
      <c r="G51" s="101" t="str">
        <f t="shared" si="3"/>
        <v/>
      </c>
      <c r="H51" s="20" t="s">
        <v>3</v>
      </c>
      <c r="I51" s="18"/>
      <c r="J51" s="28" t="str">
        <f t="shared" si="12"/>
        <v/>
      </c>
      <c r="K51" s="24">
        <f>+IF($I51&gt;0,VLOOKUP($I51,'Lista de Precios'!$A$3:$H$2883,5,0),0)</f>
        <v>0</v>
      </c>
      <c r="L51" s="36"/>
      <c r="M51" s="36"/>
      <c r="N51" s="36"/>
      <c r="O51" s="37"/>
      <c r="P51" s="38"/>
      <c r="Q51" s="39"/>
      <c r="R51" s="37"/>
      <c r="S51" s="37"/>
      <c r="T51" s="37"/>
      <c r="U51" s="37"/>
      <c r="V51" s="37"/>
      <c r="W51" s="37"/>
      <c r="X51" s="37"/>
      <c r="Y51" s="37"/>
      <c r="Z51" s="40"/>
      <c r="AA51" s="41"/>
      <c r="AB51" s="37"/>
      <c r="AC51" s="37"/>
      <c r="AD51" s="37"/>
      <c r="AE51" s="37"/>
      <c r="AF51" s="37"/>
      <c r="AG51" s="37"/>
      <c r="AH51" s="42"/>
      <c r="AI51" s="42"/>
      <c r="AJ51" s="43"/>
      <c r="AK51" s="43"/>
      <c r="AL51" s="43"/>
      <c r="AM51" s="73">
        <f t="shared" si="16"/>
        <v>0</v>
      </c>
      <c r="AN51" s="71" t="str">
        <f>+IF($I51&gt;0,VLOOKUP($I51,'Lista de Precios'!$A$3:$H$2883,4,0),"")</f>
        <v/>
      </c>
      <c r="AO51" s="68" t="str">
        <f t="shared" si="4"/>
        <v/>
      </c>
      <c r="AP51" s="7" t="str">
        <f>IF($I51&gt;0,VLOOKUP($I51,'Lista de Precios'!$A$3:$K$2883,10,0),"")</f>
        <v/>
      </c>
      <c r="AQ51" s="7" t="str">
        <f>IF($I51&gt;0,VLOOKUP($I51,'Lista de Precios'!$A$3:$M$4893,13,0),"")</f>
        <v/>
      </c>
      <c r="AR51" s="7" t="str">
        <f>IF($I51&gt;0,VLOOKUP(I51,'Lista de Precios'!$A$3:$M$2883,13,0),"")</f>
        <v/>
      </c>
      <c r="HR51" s="134"/>
      <c r="HS51" s="134"/>
      <c r="HT51" s="134"/>
      <c r="HU51" s="134"/>
      <c r="HV51" s="134"/>
      <c r="HW51" s="134"/>
      <c r="HX51" s="134"/>
      <c r="HY51" s="134"/>
      <c r="HZ51" s="134"/>
      <c r="IA51" s="134"/>
      <c r="IB51" s="134"/>
      <c r="IC51" s="134"/>
      <c r="IE51" s="134"/>
      <c r="IF51" s="134"/>
      <c r="IG51" s="134"/>
      <c r="IH51" s="134"/>
      <c r="II51" s="134"/>
      <c r="IJ51" s="134"/>
      <c r="IK51" s="134"/>
      <c r="IL51" s="134"/>
      <c r="IM51" s="134"/>
      <c r="IN51" s="135"/>
      <c r="IO51" s="135"/>
      <c r="IP51" s="135"/>
      <c r="XEP51" s="7" t="str">
        <f t="shared" si="5"/>
        <v/>
      </c>
      <c r="XEQ51" s="7" t="str">
        <f t="shared" si="6"/>
        <v/>
      </c>
      <c r="XER51" s="7" t="str">
        <f t="shared" si="7"/>
        <v/>
      </c>
      <c r="XES51" s="7" t="str">
        <f t="shared" si="8"/>
        <v/>
      </c>
    </row>
    <row r="52" spans="1:250 16370:16373" ht="23.25" customHeight="1" x14ac:dyDescent="0.25">
      <c r="A52" s="74">
        <f>IF($I52&gt;0,VLOOKUP(I52,'Lista de Precios'!$A$3:$L$2883,9,0),0)</f>
        <v>0</v>
      </c>
      <c r="B52" s="74">
        <f>IF($I52&gt;0,VLOOKUP(I52,'Lista de Precios'!$A$3:$H$2883,7,0),0)</f>
        <v>0</v>
      </c>
      <c r="C52" s="7" t="str">
        <f>IF($I52&gt;0,VLOOKUP(I52,'Lista de Precios'!$A$3:$H$2883,2,0),"")</f>
        <v/>
      </c>
      <c r="D52" s="7" t="str">
        <f>IF($I52&gt;0,VLOOKUP(I52,'Lista de Precios'!$A$3:$H$2883,3,0),"")</f>
        <v/>
      </c>
      <c r="E52" s="76" t="str">
        <f>IF($I52&gt;0,VLOOKUP(I52,'Lista de Precios'!$A$3:$H$2883,6,0),"")</f>
        <v/>
      </c>
      <c r="F52" s="76" t="str">
        <f>IF($I52&gt;0,VLOOKUP(I52,'Lista de Precios'!$A$3:$H$2883,8,0),"")</f>
        <v/>
      </c>
      <c r="G52" s="101" t="str">
        <f t="shared" si="3"/>
        <v/>
      </c>
      <c r="H52" s="20" t="s">
        <v>3</v>
      </c>
      <c r="I52" s="18"/>
      <c r="J52" s="28" t="str">
        <f t="shared" si="12"/>
        <v/>
      </c>
      <c r="K52" s="24">
        <f>+IF($I52&gt;0,VLOOKUP($I52,'Lista de Precios'!$A$3:$H$2883,5,0),0)</f>
        <v>0</v>
      </c>
      <c r="L52" s="37"/>
      <c r="M52" s="37"/>
      <c r="N52" s="37"/>
      <c r="O52" s="37"/>
      <c r="P52" s="40"/>
      <c r="Q52" s="39"/>
      <c r="R52" s="37"/>
      <c r="S52" s="37"/>
      <c r="T52" s="37"/>
      <c r="U52" s="37"/>
      <c r="V52" s="37"/>
      <c r="W52" s="37"/>
      <c r="X52" s="37"/>
      <c r="Y52" s="37"/>
      <c r="Z52" s="40"/>
      <c r="AA52" s="41"/>
      <c r="AB52" s="37"/>
      <c r="AC52" s="43"/>
      <c r="AD52" s="43"/>
      <c r="AE52" s="43"/>
      <c r="AF52" s="43"/>
      <c r="AG52" s="43"/>
      <c r="AH52" s="42"/>
      <c r="AI52" s="42"/>
      <c r="AJ52" s="42"/>
      <c r="AK52" s="42"/>
      <c r="AL52" s="43"/>
      <c r="AM52" s="73">
        <f t="shared" si="16"/>
        <v>0</v>
      </c>
      <c r="AN52" s="71" t="str">
        <f>+IF($I52&gt;0,VLOOKUP($I52,'Lista de Precios'!$A$3:$H$2883,4,0),"")</f>
        <v/>
      </c>
      <c r="AO52" s="68" t="str">
        <f t="shared" si="4"/>
        <v/>
      </c>
      <c r="AP52" s="7" t="str">
        <f>IF($I52&gt;0,VLOOKUP($I52,'Lista de Precios'!$A$3:$K$2883,10,0),"")</f>
        <v/>
      </c>
      <c r="AQ52" s="7" t="str">
        <f>IF($I52&gt;0,VLOOKUP($I52,'Lista de Precios'!$A$3:$M$4893,13,0),"")</f>
        <v/>
      </c>
      <c r="AR52" s="7" t="str">
        <f>IF($I52&gt;0,VLOOKUP(I52,'Lista de Precios'!$A$3:$M$2883,13,0),"")</f>
        <v/>
      </c>
      <c r="HR52" s="134"/>
      <c r="HS52" s="134"/>
      <c r="HT52" s="134"/>
      <c r="HU52" s="134"/>
      <c r="HV52" s="134"/>
      <c r="HW52" s="134"/>
      <c r="HX52" s="134"/>
      <c r="HY52" s="134"/>
      <c r="HZ52" s="134"/>
      <c r="IA52" s="134"/>
      <c r="IB52" s="134"/>
      <c r="IC52" s="134"/>
      <c r="IE52" s="134"/>
      <c r="IF52" s="134"/>
      <c r="IG52" s="134"/>
      <c r="IH52" s="134"/>
      <c r="II52" s="134"/>
      <c r="IJ52" s="134"/>
      <c r="IK52" s="134"/>
      <c r="IL52" s="134"/>
      <c r="IM52" s="134"/>
      <c r="IN52" s="135"/>
      <c r="IO52" s="135"/>
      <c r="IP52" s="135"/>
      <c r="XEP52" s="7" t="str">
        <f t="shared" si="5"/>
        <v/>
      </c>
      <c r="XEQ52" s="7" t="str">
        <f t="shared" si="6"/>
        <v/>
      </c>
      <c r="XER52" s="7" t="str">
        <f t="shared" si="7"/>
        <v/>
      </c>
      <c r="XES52" s="7" t="str">
        <f t="shared" si="8"/>
        <v/>
      </c>
    </row>
    <row r="53" spans="1:250 16370:16373" ht="23.25" customHeight="1" x14ac:dyDescent="0.25">
      <c r="A53" s="74">
        <f>IF($I53&gt;0,VLOOKUP(I53,'Lista de Precios'!$A$3:$L$2883,9,0),0)</f>
        <v>0</v>
      </c>
      <c r="B53" s="74">
        <f>IF($I53&gt;0,VLOOKUP(I53,'Lista de Precios'!$A$3:$H$2883,7,0),0)</f>
        <v>0</v>
      </c>
      <c r="C53" s="7" t="str">
        <f>IF($I53&gt;0,VLOOKUP(I53,'Lista de Precios'!$A$3:$H$2883,2,0),"")</f>
        <v/>
      </c>
      <c r="D53" s="7" t="str">
        <f>IF($I53&gt;0,VLOOKUP(I53,'Lista de Precios'!$A$3:$H$2883,3,0),"")</f>
        <v/>
      </c>
      <c r="E53" s="76" t="str">
        <f>IF($I53&gt;0,VLOOKUP(I53,'Lista de Precios'!$A$3:$H$2883,6,0),"")</f>
        <v/>
      </c>
      <c r="F53" s="76" t="str">
        <f>IF($I53&gt;0,VLOOKUP(I53,'Lista de Precios'!$A$3:$H$2883,8,0),"")</f>
        <v/>
      </c>
      <c r="G53" s="101" t="str">
        <f t="shared" si="3"/>
        <v/>
      </c>
      <c r="H53" s="20" t="s">
        <v>3</v>
      </c>
      <c r="I53" s="18"/>
      <c r="J53" s="28" t="str">
        <f t="shared" si="12"/>
        <v/>
      </c>
      <c r="K53" s="24">
        <f>+IF($I53&gt;0,VLOOKUP($I53,'Lista de Precios'!$A$3:$H$2883,5,0),0)</f>
        <v>0</v>
      </c>
      <c r="L53" s="36"/>
      <c r="M53" s="36"/>
      <c r="N53" s="36"/>
      <c r="O53" s="37"/>
      <c r="P53" s="38"/>
      <c r="Q53" s="45"/>
      <c r="R53" s="43"/>
      <c r="S53" s="43"/>
      <c r="T53" s="43"/>
      <c r="U53" s="43"/>
      <c r="V53" s="43"/>
      <c r="W53" s="43"/>
      <c r="X53" s="43"/>
      <c r="Y53" s="37"/>
      <c r="Z53" s="40"/>
      <c r="AA53" s="41"/>
      <c r="AB53" s="37"/>
      <c r="AC53" s="43"/>
      <c r="AD53" s="43"/>
      <c r="AE53" s="43"/>
      <c r="AF53" s="43"/>
      <c r="AG53" s="43"/>
      <c r="AH53" s="42"/>
      <c r="AI53" s="42"/>
      <c r="AJ53" s="42"/>
      <c r="AK53" s="42"/>
      <c r="AL53" s="43"/>
      <c r="AM53" s="73">
        <f t="shared" si="16"/>
        <v>0</v>
      </c>
      <c r="AN53" s="71" t="str">
        <f>+IF($I53&gt;0,VLOOKUP($I53,'Lista de Precios'!$A$3:$H$2883,4,0),"")</f>
        <v/>
      </c>
      <c r="AO53" s="68" t="str">
        <f t="shared" si="4"/>
        <v/>
      </c>
      <c r="AP53" s="7" t="str">
        <f>IF($I53&gt;0,VLOOKUP($I53,'Lista de Precios'!$A$3:$K$2883,10,0),"")</f>
        <v/>
      </c>
      <c r="AQ53" s="7" t="str">
        <f>IF($I53&gt;0,VLOOKUP($I53,'Lista de Precios'!$A$3:$M$4893,13,0),"")</f>
        <v/>
      </c>
      <c r="AR53" s="7" t="str">
        <f>IF($I53&gt;0,VLOOKUP(I53,'Lista de Precios'!$A$3:$M$2883,13,0),"")</f>
        <v/>
      </c>
      <c r="HR53" s="134"/>
      <c r="HS53" s="134"/>
      <c r="HT53" s="134"/>
      <c r="HU53" s="134"/>
      <c r="HV53" s="134"/>
      <c r="HW53" s="134"/>
      <c r="HX53" s="134"/>
      <c r="HY53" s="134"/>
      <c r="HZ53" s="134"/>
      <c r="IA53" s="134"/>
      <c r="IB53" s="134"/>
      <c r="IC53" s="134"/>
      <c r="IE53" s="134"/>
      <c r="IF53" s="134"/>
      <c r="IG53" s="134"/>
      <c r="IH53" s="134"/>
      <c r="II53" s="134"/>
      <c r="IJ53" s="134"/>
      <c r="IK53" s="134"/>
      <c r="IL53" s="134"/>
      <c r="IM53" s="134"/>
      <c r="IN53" s="135"/>
      <c r="IO53" s="135"/>
      <c r="IP53" s="135"/>
      <c r="XEP53" s="7" t="str">
        <f t="shared" si="5"/>
        <v/>
      </c>
      <c r="XEQ53" s="7" t="str">
        <f t="shared" si="6"/>
        <v/>
      </c>
      <c r="XER53" s="7" t="str">
        <f t="shared" si="7"/>
        <v/>
      </c>
      <c r="XES53" s="7" t="str">
        <f t="shared" si="8"/>
        <v/>
      </c>
    </row>
    <row r="54" spans="1:250 16370:16373" ht="23.25" customHeight="1" x14ac:dyDescent="0.25">
      <c r="A54" s="74">
        <f>IF($I54&gt;0,VLOOKUP(I54,'Lista de Precios'!$A$3:$L$2883,9,0),0)</f>
        <v>0</v>
      </c>
      <c r="B54" s="74">
        <f>IF($I54&gt;0,VLOOKUP(I54,'Lista de Precios'!$A$3:$H$2883,7,0),0)</f>
        <v>0</v>
      </c>
      <c r="C54" s="7" t="str">
        <f>IF($I54&gt;0,VLOOKUP(I54,'Lista de Precios'!$A$3:$H$2883,2,0),"")</f>
        <v/>
      </c>
      <c r="D54" s="7" t="str">
        <f>IF($I54&gt;0,VLOOKUP(I54,'Lista de Precios'!$A$3:$H$2883,3,0),"")</f>
        <v/>
      </c>
      <c r="E54" s="76" t="str">
        <f>IF($I54&gt;0,VLOOKUP(I54,'Lista de Precios'!$A$3:$H$2883,6,0),"")</f>
        <v/>
      </c>
      <c r="F54" s="76" t="str">
        <f>IF($I54&gt;0,VLOOKUP(I54,'Lista de Precios'!$A$3:$H$2883,8,0),"")</f>
        <v/>
      </c>
      <c r="G54" s="101" t="str">
        <f t="shared" si="3"/>
        <v/>
      </c>
      <c r="H54" s="20" t="s">
        <v>3</v>
      </c>
      <c r="I54" s="18"/>
      <c r="J54" s="28" t="str">
        <f t="shared" si="12"/>
        <v/>
      </c>
      <c r="K54" s="24">
        <f>+IF($I54&gt;0,VLOOKUP($I54,'Lista de Precios'!$A$3:$H$2883,5,0),0)</f>
        <v>0</v>
      </c>
      <c r="L54" s="42"/>
      <c r="M54" s="42"/>
      <c r="N54" s="42"/>
      <c r="O54" s="43"/>
      <c r="P54" s="46"/>
      <c r="Q54" s="45"/>
      <c r="R54" s="43"/>
      <c r="S54" s="43"/>
      <c r="T54" s="43"/>
      <c r="U54" s="43"/>
      <c r="V54" s="43"/>
      <c r="W54" s="43"/>
      <c r="X54" s="43"/>
      <c r="Y54" s="37"/>
      <c r="Z54" s="40"/>
      <c r="AA54" s="41"/>
      <c r="AB54" s="37"/>
      <c r="AC54" s="43"/>
      <c r="AD54" s="43"/>
      <c r="AE54" s="43"/>
      <c r="AF54" s="43"/>
      <c r="AG54" s="43"/>
      <c r="AH54" s="42"/>
      <c r="AI54" s="42"/>
      <c r="AJ54" s="42"/>
      <c r="AK54" s="42"/>
      <c r="AL54" s="43"/>
      <c r="AM54" s="73">
        <f t="shared" si="16"/>
        <v>0</v>
      </c>
      <c r="AN54" s="71" t="str">
        <f>+IF($I54&gt;0,VLOOKUP($I54,'Lista de Precios'!$A$3:$H$2883,4,0),"")</f>
        <v/>
      </c>
      <c r="AO54" s="68" t="str">
        <f t="shared" si="4"/>
        <v/>
      </c>
      <c r="AP54" s="7" t="str">
        <f>IF($I54&gt;0,VLOOKUP($I54,'Lista de Precios'!$A$3:$K$2883,10,0),"")</f>
        <v/>
      </c>
      <c r="AQ54" s="7" t="str">
        <f>IF($I54&gt;0,VLOOKUP($I54,'Lista de Precios'!$A$3:$M$4893,13,0),"")</f>
        <v/>
      </c>
      <c r="AR54" s="7" t="str">
        <f>IF($I54&gt;0,VLOOKUP(I54,'Lista de Precios'!$A$3:$M$2883,13,0),"")</f>
        <v/>
      </c>
      <c r="HR54" s="134"/>
      <c r="HS54" s="134"/>
      <c r="HT54" s="134"/>
      <c r="HU54" s="134"/>
      <c r="HV54" s="134"/>
      <c r="HW54" s="134"/>
      <c r="HX54" s="134"/>
      <c r="HY54" s="134"/>
      <c r="HZ54" s="134"/>
      <c r="IA54" s="134"/>
      <c r="IB54" s="134"/>
      <c r="IC54" s="134"/>
      <c r="IE54" s="134"/>
      <c r="IF54" s="134"/>
      <c r="IG54" s="134"/>
      <c r="IH54" s="134"/>
      <c r="II54" s="134"/>
      <c r="IJ54" s="134"/>
      <c r="IK54" s="134"/>
      <c r="IL54" s="134"/>
      <c r="IM54" s="134"/>
      <c r="IN54" s="135"/>
      <c r="IO54" s="135"/>
      <c r="IP54" s="135"/>
      <c r="XEP54" s="7" t="str">
        <f t="shared" si="5"/>
        <v/>
      </c>
      <c r="XEQ54" s="7" t="str">
        <f t="shared" si="6"/>
        <v/>
      </c>
      <c r="XER54" s="7" t="str">
        <f t="shared" si="7"/>
        <v/>
      </c>
      <c r="XES54" s="7" t="str">
        <f t="shared" si="8"/>
        <v/>
      </c>
    </row>
    <row r="55" spans="1:250 16370:16373" ht="23.25" customHeight="1" x14ac:dyDescent="0.25">
      <c r="A55" s="74">
        <f>IF($I55&gt;0,VLOOKUP(I55,'Lista de Precios'!$A$3:$L$2883,9,0),0)</f>
        <v>0</v>
      </c>
      <c r="B55" s="74">
        <f>IF($I55&gt;0,VLOOKUP(I55,'Lista de Precios'!$A$3:$H$2883,7,0),0)</f>
        <v>0</v>
      </c>
      <c r="C55" s="7" t="str">
        <f>IF($I55&gt;0,VLOOKUP(I55,'Lista de Precios'!$A$3:$H$2883,2,0),"")</f>
        <v/>
      </c>
      <c r="D55" s="7" t="str">
        <f>IF($I55&gt;0,VLOOKUP(I55,'Lista de Precios'!$A$3:$H$2883,3,0),"")</f>
        <v/>
      </c>
      <c r="E55" s="76" t="str">
        <f>IF($I55&gt;0,VLOOKUP(I55,'Lista de Precios'!$A$3:$H$2883,6,0),"")</f>
        <v/>
      </c>
      <c r="F55" s="76" t="str">
        <f>IF($I55&gt;0,VLOOKUP(I55,'Lista de Precios'!$A$3:$H$2883,8,0),"")</f>
        <v/>
      </c>
      <c r="G55" s="101" t="str">
        <f t="shared" si="3"/>
        <v/>
      </c>
      <c r="H55" s="20" t="s">
        <v>3</v>
      </c>
      <c r="I55" s="18"/>
      <c r="J55" s="28" t="str">
        <f t="shared" si="12"/>
        <v/>
      </c>
      <c r="K55" s="24">
        <f>+IF($I55&gt;0,VLOOKUP($I55,'Lista de Precios'!$A$3:$H$2883,5,0),0)</f>
        <v>0</v>
      </c>
      <c r="L55" s="43"/>
      <c r="M55" s="43"/>
      <c r="N55" s="43"/>
      <c r="O55" s="43"/>
      <c r="P55" s="44"/>
      <c r="Q55" s="45"/>
      <c r="R55" s="43"/>
      <c r="S55" s="43"/>
      <c r="T55" s="43"/>
      <c r="U55" s="43"/>
      <c r="V55" s="43"/>
      <c r="W55" s="43"/>
      <c r="X55" s="43"/>
      <c r="Y55" s="37"/>
      <c r="Z55" s="40"/>
      <c r="AA55" s="41"/>
      <c r="AB55" s="37"/>
      <c r="AC55" s="43"/>
      <c r="AD55" s="43"/>
      <c r="AE55" s="43"/>
      <c r="AF55" s="43"/>
      <c r="AG55" s="43"/>
      <c r="AH55" s="42"/>
      <c r="AI55" s="42"/>
      <c r="AJ55" s="42"/>
      <c r="AK55" s="42"/>
      <c r="AL55" s="43"/>
      <c r="AM55" s="73">
        <f t="shared" si="16"/>
        <v>0</v>
      </c>
      <c r="AN55" s="71" t="str">
        <f>+IF($I55&gt;0,VLOOKUP($I55,'Lista de Precios'!$A$3:$H$2883,4,0),"")</f>
        <v/>
      </c>
      <c r="AO55" s="68" t="str">
        <f t="shared" si="4"/>
        <v/>
      </c>
      <c r="AP55" s="7" t="str">
        <f>IF($I55&gt;0,VLOOKUP($I55,'Lista de Precios'!$A$3:$K$2883,10,0),"")</f>
        <v/>
      </c>
      <c r="AQ55" s="7" t="str">
        <f>IF($I55&gt;0,VLOOKUP($I55,'Lista de Precios'!$A$3:$M$4893,13,0),"")</f>
        <v/>
      </c>
      <c r="AR55" s="7" t="str">
        <f>IF($I55&gt;0,VLOOKUP(I55,'Lista de Precios'!$A$3:$M$2883,13,0),"")</f>
        <v/>
      </c>
      <c r="HR55" s="134"/>
      <c r="HS55" s="134"/>
      <c r="HT55" s="134"/>
      <c r="HU55" s="134"/>
      <c r="HV55" s="134"/>
      <c r="HW55" s="134"/>
      <c r="HX55" s="134"/>
      <c r="HY55" s="134"/>
      <c r="HZ55" s="134"/>
      <c r="IA55" s="134"/>
      <c r="IB55" s="134"/>
      <c r="IC55" s="134"/>
      <c r="IE55" s="134"/>
      <c r="IF55" s="134"/>
      <c r="IG55" s="134"/>
      <c r="IH55" s="134"/>
      <c r="II55" s="134"/>
      <c r="IJ55" s="134"/>
      <c r="IK55" s="134"/>
      <c r="IL55" s="134"/>
      <c r="IM55" s="134"/>
      <c r="IN55" s="135"/>
      <c r="IO55" s="135"/>
      <c r="IP55" s="135"/>
      <c r="XEP55" s="7" t="str">
        <f t="shared" si="5"/>
        <v/>
      </c>
      <c r="XEQ55" s="7" t="str">
        <f t="shared" si="6"/>
        <v/>
      </c>
      <c r="XER55" s="7" t="str">
        <f t="shared" si="7"/>
        <v/>
      </c>
      <c r="XES55" s="7" t="str">
        <f t="shared" si="8"/>
        <v/>
      </c>
    </row>
    <row r="56" spans="1:250 16370:16373" ht="23.25" customHeight="1" x14ac:dyDescent="0.25">
      <c r="A56" s="74">
        <f>IF($I56&gt;0,VLOOKUP(I56,'Lista de Precios'!$A$3:$L$2883,9,0),0)</f>
        <v>0</v>
      </c>
      <c r="B56" s="74">
        <f>IF($I56&gt;0,VLOOKUP(I56,'Lista de Precios'!$A$3:$H$2883,7,0),0)</f>
        <v>0</v>
      </c>
      <c r="C56" s="7" t="str">
        <f>IF($I56&gt;0,VLOOKUP(I56,'Lista de Precios'!$A$3:$H$2883,2,0),"")</f>
        <v/>
      </c>
      <c r="D56" s="7" t="str">
        <f>IF($I56&gt;0,VLOOKUP(I56,'Lista de Precios'!$A$3:$H$2883,3,0),"")</f>
        <v/>
      </c>
      <c r="E56" s="76" t="str">
        <f>IF($I56&gt;0,VLOOKUP(I56,'Lista de Precios'!$A$3:$H$2883,6,0),"")</f>
        <v/>
      </c>
      <c r="F56" s="76" t="str">
        <f>IF($I56&gt;0,VLOOKUP(I56,'Lista de Precios'!$A$3:$H$2883,8,0),"")</f>
        <v/>
      </c>
      <c r="G56" s="101" t="str">
        <f t="shared" si="3"/>
        <v/>
      </c>
      <c r="H56" s="20" t="s">
        <v>3</v>
      </c>
      <c r="I56" s="18"/>
      <c r="J56" s="28" t="str">
        <f t="shared" si="12"/>
        <v/>
      </c>
      <c r="K56" s="24">
        <f>+IF($I56&gt;0,VLOOKUP($I56,'Lista de Precios'!$A$3:$H$2883,5,0),0)</f>
        <v>0</v>
      </c>
      <c r="L56" s="43"/>
      <c r="M56" s="43"/>
      <c r="N56" s="43"/>
      <c r="O56" s="37"/>
      <c r="P56" s="44"/>
      <c r="Q56" s="39"/>
      <c r="R56" s="37"/>
      <c r="S56" s="37"/>
      <c r="T56" s="37"/>
      <c r="U56" s="37"/>
      <c r="V56" s="37"/>
      <c r="W56" s="37"/>
      <c r="X56" s="37"/>
      <c r="Y56" s="37"/>
      <c r="Z56" s="40"/>
      <c r="AA56" s="41"/>
      <c r="AB56" s="37"/>
      <c r="AC56" s="43"/>
      <c r="AD56" s="43"/>
      <c r="AE56" s="43"/>
      <c r="AF56" s="43"/>
      <c r="AG56" s="43"/>
      <c r="AH56" s="42"/>
      <c r="AI56" s="42"/>
      <c r="AJ56" s="42"/>
      <c r="AK56" s="42"/>
      <c r="AL56" s="43"/>
      <c r="AM56" s="73">
        <f t="shared" si="16"/>
        <v>0</v>
      </c>
      <c r="AN56" s="71" t="str">
        <f>+IF($I56&gt;0,VLOOKUP($I56,'Lista de Precios'!$A$3:$H$2883,4,0),"")</f>
        <v/>
      </c>
      <c r="AO56" s="68" t="str">
        <f t="shared" si="4"/>
        <v/>
      </c>
      <c r="AP56" s="7" t="str">
        <f>IF($I56&gt;0,VLOOKUP($I56,'Lista de Precios'!$A$3:$K$2883,10,0),"")</f>
        <v/>
      </c>
      <c r="AQ56" s="7" t="str">
        <f>IF($I56&gt;0,VLOOKUP($I56,'Lista de Precios'!$A$3:$M$4893,13,0),"")</f>
        <v/>
      </c>
      <c r="AR56" s="7" t="str">
        <f>IF($I56&gt;0,VLOOKUP(I56,'Lista de Precios'!$A$3:$M$2883,13,0),"")</f>
        <v/>
      </c>
      <c r="HR56" s="134"/>
      <c r="HS56" s="134"/>
      <c r="HT56" s="134"/>
      <c r="HU56" s="134"/>
      <c r="HV56" s="134"/>
      <c r="HW56" s="134"/>
      <c r="HX56" s="134"/>
      <c r="HY56" s="134"/>
      <c r="HZ56" s="134"/>
      <c r="IA56" s="134"/>
      <c r="IB56" s="134"/>
      <c r="IC56" s="134"/>
      <c r="IE56" s="134"/>
      <c r="IF56" s="134"/>
      <c r="IG56" s="134"/>
      <c r="IH56" s="134"/>
      <c r="II56" s="134"/>
      <c r="IJ56" s="134"/>
      <c r="IK56" s="134"/>
      <c r="IL56" s="134"/>
      <c r="IM56" s="134"/>
      <c r="IN56" s="135"/>
      <c r="IO56" s="135"/>
      <c r="IP56" s="135"/>
      <c r="XEP56" s="7" t="str">
        <f t="shared" si="5"/>
        <v/>
      </c>
      <c r="XEQ56" s="7" t="str">
        <f t="shared" si="6"/>
        <v/>
      </c>
      <c r="XER56" s="7" t="str">
        <f t="shared" si="7"/>
        <v/>
      </c>
      <c r="XES56" s="7" t="str">
        <f t="shared" si="8"/>
        <v/>
      </c>
    </row>
    <row r="57" spans="1:250 16370:16373" ht="23.25" customHeight="1" x14ac:dyDescent="0.25">
      <c r="A57" s="74">
        <f>IF($I57&gt;0,VLOOKUP(I57,'Lista de Precios'!$A$3:$L$2883,9,0),0)</f>
        <v>0</v>
      </c>
      <c r="B57" s="74">
        <f>IF($I57&gt;0,VLOOKUP(I57,'Lista de Precios'!$A$3:$H$2883,7,0),0)</f>
        <v>0</v>
      </c>
      <c r="C57" s="7" t="str">
        <f>IF($I57&gt;0,VLOOKUP(I57,'Lista de Precios'!$A$3:$H$2883,2,0),"")</f>
        <v/>
      </c>
      <c r="D57" s="7" t="str">
        <f>IF($I57&gt;0,VLOOKUP(I57,'Lista de Precios'!$A$3:$H$2883,3,0),"")</f>
        <v/>
      </c>
      <c r="E57" s="76" t="str">
        <f>IF($I57&gt;0,VLOOKUP(I57,'Lista de Precios'!$A$3:$H$2883,6,0),"")</f>
        <v/>
      </c>
      <c r="F57" s="76" t="str">
        <f>IF($I57&gt;0,VLOOKUP(I57,'Lista de Precios'!$A$3:$H$2883,8,0),"")</f>
        <v/>
      </c>
      <c r="G57" s="101" t="str">
        <f t="shared" si="3"/>
        <v/>
      </c>
      <c r="H57" s="20" t="s">
        <v>3</v>
      </c>
      <c r="I57" s="18"/>
      <c r="J57" s="28" t="str">
        <f t="shared" si="12"/>
        <v/>
      </c>
      <c r="K57" s="24">
        <f>+IF($I57&gt;0,VLOOKUP($I57,'Lista de Precios'!$A$3:$H$2883,5,0),0)</f>
        <v>0</v>
      </c>
      <c r="L57" s="43"/>
      <c r="M57" s="43"/>
      <c r="N57" s="43"/>
      <c r="O57" s="43"/>
      <c r="P57" s="44"/>
      <c r="Q57" s="45"/>
      <c r="R57" s="43"/>
      <c r="S57" s="43"/>
      <c r="T57" s="43"/>
      <c r="U57" s="43"/>
      <c r="V57" s="43"/>
      <c r="W57" s="43"/>
      <c r="X57" s="43"/>
      <c r="Y57" s="37"/>
      <c r="Z57" s="40"/>
      <c r="AA57" s="41"/>
      <c r="AB57" s="37"/>
      <c r="AC57" s="37"/>
      <c r="AD57" s="37"/>
      <c r="AE57" s="37"/>
      <c r="AF57" s="37"/>
      <c r="AG57" s="43"/>
      <c r="AH57" s="42"/>
      <c r="AI57" s="42"/>
      <c r="AJ57" s="49"/>
      <c r="AK57" s="49"/>
      <c r="AL57" s="49"/>
      <c r="AM57" s="73">
        <f t="shared" si="16"/>
        <v>0</v>
      </c>
      <c r="AN57" s="71" t="str">
        <f>+IF($I57&gt;0,VLOOKUP($I57,'Lista de Precios'!$A$3:$H$2883,4,0),"")</f>
        <v/>
      </c>
      <c r="AO57" s="68" t="str">
        <f t="shared" si="4"/>
        <v/>
      </c>
      <c r="AP57" s="7" t="str">
        <f>IF($I57&gt;0,VLOOKUP($I57,'Lista de Precios'!$A$3:$K$2883,10,0),"")</f>
        <v/>
      </c>
      <c r="AQ57" s="7" t="str">
        <f>IF($I57&gt;0,VLOOKUP($I57,'Lista de Precios'!$A$3:$M$4893,13,0),"")</f>
        <v/>
      </c>
      <c r="AR57" s="7" t="str">
        <f>IF($I57&gt;0,VLOOKUP(I57,'Lista de Precios'!$A$3:$M$2883,13,0),"")</f>
        <v/>
      </c>
      <c r="HR57" s="134"/>
      <c r="HS57" s="134"/>
      <c r="HT57" s="134"/>
      <c r="HU57" s="134"/>
      <c r="HV57" s="134"/>
      <c r="HW57" s="134"/>
      <c r="HX57" s="134"/>
      <c r="HY57" s="134"/>
      <c r="HZ57" s="134"/>
      <c r="IA57" s="134"/>
      <c r="IB57" s="134"/>
      <c r="IC57" s="134"/>
      <c r="IE57" s="134"/>
      <c r="IF57" s="134"/>
      <c r="IG57" s="134"/>
      <c r="IH57" s="134"/>
      <c r="II57" s="134"/>
      <c r="IJ57" s="134"/>
      <c r="IK57" s="134"/>
      <c r="IL57" s="134"/>
      <c r="IM57" s="134"/>
      <c r="IN57" s="135"/>
      <c r="IO57" s="135"/>
      <c r="IP57" s="135"/>
      <c r="XEP57" s="7" t="str">
        <f t="shared" si="5"/>
        <v/>
      </c>
      <c r="XEQ57" s="7" t="str">
        <f t="shared" si="6"/>
        <v/>
      </c>
      <c r="XER57" s="7" t="str">
        <f t="shared" si="7"/>
        <v/>
      </c>
      <c r="XES57" s="7" t="str">
        <f t="shared" si="8"/>
        <v/>
      </c>
    </row>
    <row r="58" spans="1:250 16370:16373" ht="23.25" customHeight="1" x14ac:dyDescent="0.25">
      <c r="A58" s="74">
        <f>IF($I58&gt;0,VLOOKUP(I58,'Lista de Precios'!$A$3:$L$2883,9,0),0)</f>
        <v>0</v>
      </c>
      <c r="B58" s="74">
        <f>IF($I58&gt;0,VLOOKUP(I58,'Lista de Precios'!$A$3:$H$2883,7,0),0)</f>
        <v>0</v>
      </c>
      <c r="C58" s="7" t="str">
        <f>IF($I58&gt;0,VLOOKUP(I58,'Lista de Precios'!$A$3:$H$2883,2,0),"")</f>
        <v/>
      </c>
      <c r="D58" s="7" t="str">
        <f>IF($I58&gt;0,VLOOKUP(I58,'Lista de Precios'!$A$3:$H$2883,3,0),"")</f>
        <v/>
      </c>
      <c r="E58" s="76" t="str">
        <f>IF($I58&gt;0,VLOOKUP(I58,'Lista de Precios'!$A$3:$H$2883,6,0),"")</f>
        <v/>
      </c>
      <c r="F58" s="76" t="str">
        <f>IF($I58&gt;0,VLOOKUP(I58,'Lista de Precios'!$A$3:$H$2883,8,0),"")</f>
        <v/>
      </c>
      <c r="G58" s="101" t="str">
        <f t="shared" si="3"/>
        <v/>
      </c>
      <c r="H58" s="20" t="s">
        <v>3</v>
      </c>
      <c r="I58" s="18"/>
      <c r="J58" s="28" t="str">
        <f t="shared" si="12"/>
        <v/>
      </c>
      <c r="K58" s="24">
        <f>+IF($I58&gt;0,VLOOKUP($I58,'Lista de Precios'!$A$3:$H$2883,5,0),0)</f>
        <v>0</v>
      </c>
      <c r="L58" s="48"/>
      <c r="M58" s="48"/>
      <c r="N58" s="48"/>
      <c r="O58" s="48"/>
      <c r="P58" s="47"/>
      <c r="Q58" s="50"/>
      <c r="R58" s="43"/>
      <c r="S58" s="43"/>
      <c r="T58" s="43"/>
      <c r="U58" s="43"/>
      <c r="V58" s="43"/>
      <c r="W58" s="43"/>
      <c r="X58" s="43"/>
      <c r="Y58" s="37"/>
      <c r="Z58" s="40"/>
      <c r="AA58" s="41"/>
      <c r="AB58" s="37"/>
      <c r="AC58" s="37"/>
      <c r="AD58" s="37"/>
      <c r="AE58" s="37"/>
      <c r="AF58" s="37"/>
      <c r="AG58" s="43"/>
      <c r="AH58" s="42"/>
      <c r="AI58" s="42"/>
      <c r="AJ58" s="49"/>
      <c r="AK58" s="49"/>
      <c r="AL58" s="48"/>
      <c r="AM58" s="73">
        <f t="shared" si="16"/>
        <v>0</v>
      </c>
      <c r="AN58" s="71" t="str">
        <f>+IF($I58&gt;0,VLOOKUP($I58,'Lista de Precios'!$A$3:$H$2883,4,0),"")</f>
        <v/>
      </c>
      <c r="AO58" s="68" t="str">
        <f t="shared" si="4"/>
        <v/>
      </c>
      <c r="AP58" s="7" t="str">
        <f>IF($I58&gt;0,VLOOKUP($I58,'Lista de Precios'!$A$3:$K$2883,10,0),"")</f>
        <v/>
      </c>
      <c r="AQ58" s="7" t="str">
        <f>IF($I58&gt;0,VLOOKUP($I58,'Lista de Precios'!$A$3:$M$4893,13,0),"")</f>
        <v/>
      </c>
      <c r="AR58" s="7" t="str">
        <f>IF($I58&gt;0,VLOOKUP(I58,'Lista de Precios'!$A$3:$M$2883,13,0),"")</f>
        <v/>
      </c>
      <c r="HR58" s="134"/>
      <c r="HS58" s="134"/>
      <c r="HT58" s="134"/>
      <c r="HU58" s="134"/>
      <c r="HV58" s="134"/>
      <c r="HW58" s="134"/>
      <c r="HX58" s="134"/>
      <c r="HY58" s="134"/>
      <c r="HZ58" s="134"/>
      <c r="IA58" s="134"/>
      <c r="IB58" s="134"/>
      <c r="IC58" s="134"/>
      <c r="IE58" s="134"/>
      <c r="IF58" s="134"/>
      <c r="IG58" s="134"/>
      <c r="IH58" s="134"/>
      <c r="II58" s="134"/>
      <c r="IJ58" s="134"/>
      <c r="IK58" s="134"/>
      <c r="IL58" s="134"/>
      <c r="IM58" s="134"/>
      <c r="IN58" s="135"/>
      <c r="IO58" s="135"/>
      <c r="IP58" s="135"/>
      <c r="XEP58" s="7" t="str">
        <f t="shared" si="5"/>
        <v/>
      </c>
      <c r="XEQ58" s="7" t="str">
        <f t="shared" si="6"/>
        <v/>
      </c>
      <c r="XER58" s="7" t="str">
        <f t="shared" si="7"/>
        <v/>
      </c>
      <c r="XES58" s="7" t="str">
        <f t="shared" si="8"/>
        <v/>
      </c>
    </row>
    <row r="59" spans="1:250 16370:16373" ht="23.25" customHeight="1" x14ac:dyDescent="0.25">
      <c r="A59" s="74">
        <f>IF($I59&gt;0,VLOOKUP(I59,'Lista de Precios'!$A$3:$L$2883,9,0),0)</f>
        <v>0</v>
      </c>
      <c r="B59" s="74">
        <f>IF($I59&gt;0,VLOOKUP(I59,'Lista de Precios'!$A$3:$H$2883,7,0),0)</f>
        <v>0</v>
      </c>
      <c r="C59" s="7" t="str">
        <f>IF($I59&gt;0,VLOOKUP(I59,'Lista de Precios'!$A$3:$H$2883,2,0),"")</f>
        <v/>
      </c>
      <c r="D59" s="7" t="str">
        <f>IF($I59&gt;0,VLOOKUP(I59,'Lista de Precios'!$A$3:$H$2883,3,0),"")</f>
        <v/>
      </c>
      <c r="E59" s="76" t="str">
        <f>IF($I59&gt;0,VLOOKUP(I59,'Lista de Precios'!$A$3:$H$2883,6,0),"")</f>
        <v/>
      </c>
      <c r="F59" s="76" t="str">
        <f>IF($I59&gt;0,VLOOKUP(I59,'Lista de Precios'!$A$3:$H$2883,8,0),"")</f>
        <v/>
      </c>
      <c r="G59" s="101" t="str">
        <f t="shared" si="3"/>
        <v/>
      </c>
      <c r="H59" s="20" t="s">
        <v>3</v>
      </c>
      <c r="I59" s="18"/>
      <c r="J59" s="28" t="str">
        <f t="shared" si="12"/>
        <v/>
      </c>
      <c r="K59" s="24">
        <f>+IF($I59&gt;0,VLOOKUP($I59,'Lista de Precios'!$A$3:$H$2883,5,0),0)</f>
        <v>0</v>
      </c>
      <c r="L59" s="51"/>
      <c r="M59" s="51"/>
      <c r="N59" s="51"/>
      <c r="O59" s="48"/>
      <c r="P59" s="52"/>
      <c r="Q59" s="50"/>
      <c r="R59" s="43"/>
      <c r="S59" s="43"/>
      <c r="T59" s="43"/>
      <c r="U59" s="43"/>
      <c r="V59" s="43"/>
      <c r="W59" s="43"/>
      <c r="X59" s="43"/>
      <c r="Y59" s="43"/>
      <c r="Z59" s="44"/>
      <c r="AA59" s="53"/>
      <c r="AB59" s="48"/>
      <c r="AC59" s="48"/>
      <c r="AD59" s="48"/>
      <c r="AE59" s="48"/>
      <c r="AF59" s="48"/>
      <c r="AG59" s="54"/>
      <c r="AH59" s="54"/>
      <c r="AI59" s="54"/>
      <c r="AJ59" s="54"/>
      <c r="AK59" s="54"/>
      <c r="AL59" s="54"/>
      <c r="AM59" s="73">
        <f t="shared" si="16"/>
        <v>0</v>
      </c>
      <c r="AN59" s="71" t="str">
        <f>+IF($I59&gt;0,VLOOKUP($I59,'Lista de Precios'!$A$3:$H$2883,4,0),"")</f>
        <v/>
      </c>
      <c r="AO59" s="68" t="str">
        <f t="shared" si="4"/>
        <v/>
      </c>
      <c r="AP59" s="7" t="str">
        <f>IF($I59&gt;0,VLOOKUP($I59,'Lista de Precios'!$A$3:$K$2883,10,0),"")</f>
        <v/>
      </c>
      <c r="AQ59" s="7" t="str">
        <f>IF($I59&gt;0,VLOOKUP($I59,'Lista de Precios'!$A$3:$M$4893,13,0),"")</f>
        <v/>
      </c>
      <c r="AR59" s="7" t="str">
        <f>IF($I59&gt;0,VLOOKUP(I59,'Lista de Precios'!$A$3:$M$2883,13,0),"")</f>
        <v/>
      </c>
      <c r="HR59" s="134"/>
      <c r="HS59" s="134"/>
      <c r="HT59" s="134"/>
      <c r="HU59" s="134"/>
      <c r="HV59" s="134"/>
      <c r="HW59" s="134"/>
      <c r="HX59" s="134"/>
      <c r="HY59" s="134"/>
      <c r="HZ59" s="134"/>
      <c r="IA59" s="134"/>
      <c r="IB59" s="134"/>
      <c r="IC59" s="134"/>
      <c r="IE59" s="134"/>
      <c r="IF59" s="134"/>
      <c r="IG59" s="134"/>
      <c r="IH59" s="134"/>
      <c r="II59" s="134"/>
      <c r="IJ59" s="134"/>
      <c r="IK59" s="134"/>
      <c r="IL59" s="134"/>
      <c r="IM59" s="134"/>
      <c r="IN59" s="135"/>
      <c r="IO59" s="135"/>
      <c r="IP59" s="135"/>
      <c r="XEP59" s="7" t="str">
        <f t="shared" si="5"/>
        <v/>
      </c>
      <c r="XEQ59" s="7" t="str">
        <f t="shared" si="6"/>
        <v/>
      </c>
      <c r="XER59" s="7" t="str">
        <f t="shared" si="7"/>
        <v/>
      </c>
      <c r="XES59" s="7" t="str">
        <f t="shared" si="8"/>
        <v/>
      </c>
    </row>
    <row r="60" spans="1:250 16370:16373" ht="23.25" customHeight="1" x14ac:dyDescent="0.25">
      <c r="A60" s="74">
        <f>IF($I60&gt;0,VLOOKUP(I60,'Lista de Precios'!$A$3:$L$2883,9,0),0)</f>
        <v>0</v>
      </c>
      <c r="B60" s="74">
        <f>IF($I60&gt;0,VLOOKUP(I60,'Lista de Precios'!$A$3:$H$2883,7,0),0)</f>
        <v>0</v>
      </c>
      <c r="C60" s="7" t="str">
        <f>IF($I60&gt;0,VLOOKUP(I60,'Lista de Precios'!$A$3:$H$2883,2,0),"")</f>
        <v/>
      </c>
      <c r="D60" s="7" t="str">
        <f>IF($I60&gt;0,VLOOKUP(I60,'Lista de Precios'!$A$3:$H$2883,3,0),"")</f>
        <v/>
      </c>
      <c r="E60" s="76" t="str">
        <f>IF($I60&gt;0,VLOOKUP(I60,'Lista de Precios'!$A$3:$H$2883,6,0),"")</f>
        <v/>
      </c>
      <c r="F60" s="76" t="str">
        <f>IF($I60&gt;0,VLOOKUP(I60,'Lista de Precios'!$A$3:$H$2883,8,0),"")</f>
        <v/>
      </c>
      <c r="G60" s="101" t="str">
        <f t="shared" si="3"/>
        <v/>
      </c>
      <c r="H60" s="20" t="s">
        <v>3</v>
      </c>
      <c r="I60" s="18"/>
      <c r="J60" s="28" t="str">
        <f t="shared" si="12"/>
        <v/>
      </c>
      <c r="K60" s="24">
        <f>+IF($I60&gt;0,VLOOKUP($I60,'Lista de Precios'!$A$3:$H$2883,5,0),0)</f>
        <v>0</v>
      </c>
      <c r="L60" s="54"/>
      <c r="M60" s="54"/>
      <c r="N60" s="54"/>
      <c r="O60" s="48"/>
      <c r="P60" s="55"/>
      <c r="Q60" s="50"/>
      <c r="R60" s="43"/>
      <c r="S60" s="43"/>
      <c r="T60" s="43"/>
      <c r="U60" s="43"/>
      <c r="V60" s="43"/>
      <c r="W60" s="43"/>
      <c r="X60" s="43"/>
      <c r="Y60" s="43"/>
      <c r="Z60" s="44"/>
      <c r="AA60" s="53"/>
      <c r="AB60" s="48"/>
      <c r="AC60" s="48"/>
      <c r="AD60" s="48"/>
      <c r="AE60" s="48"/>
      <c r="AF60" s="48"/>
      <c r="AG60" s="54"/>
      <c r="AH60" s="54"/>
      <c r="AI60" s="54"/>
      <c r="AJ60" s="54"/>
      <c r="AK60" s="54"/>
      <c r="AL60" s="54"/>
      <c r="AM60" s="73">
        <f t="shared" si="16"/>
        <v>0</v>
      </c>
      <c r="AN60" s="71" t="str">
        <f>+IF($I60&gt;0,VLOOKUP($I60,'Lista de Precios'!$A$3:$H$2883,4,0),"")</f>
        <v/>
      </c>
      <c r="AO60" s="68" t="str">
        <f t="shared" si="4"/>
        <v/>
      </c>
      <c r="AP60" s="7" t="str">
        <f>IF($I60&gt;0,VLOOKUP($I60,'Lista de Precios'!$A$3:$K$2883,10,0),"")</f>
        <v/>
      </c>
      <c r="AQ60" s="7" t="str">
        <f>IF($I60&gt;0,VLOOKUP($I60,'Lista de Precios'!$A$3:$M$4893,13,0),"")</f>
        <v/>
      </c>
      <c r="AR60" s="7" t="str">
        <f>IF($I60&gt;0,VLOOKUP(I60,'Lista de Precios'!$A$3:$M$2883,13,0),"")</f>
        <v/>
      </c>
      <c r="HR60" s="134"/>
      <c r="HS60" s="134"/>
      <c r="HT60" s="134"/>
      <c r="HU60" s="134"/>
      <c r="HV60" s="134"/>
      <c r="HW60" s="134"/>
      <c r="HX60" s="134"/>
      <c r="HY60" s="134"/>
      <c r="HZ60" s="134"/>
      <c r="IA60" s="134"/>
      <c r="IB60" s="134"/>
      <c r="IC60" s="134"/>
      <c r="IE60" s="134"/>
      <c r="IF60" s="134"/>
      <c r="IG60" s="134"/>
      <c r="IH60" s="134"/>
      <c r="II60" s="134"/>
      <c r="IJ60" s="134"/>
      <c r="IK60" s="134"/>
      <c r="IL60" s="134"/>
      <c r="IM60" s="134"/>
      <c r="IN60" s="135"/>
      <c r="IO60" s="135"/>
      <c r="IP60" s="135"/>
      <c r="XEP60" s="7" t="str">
        <f t="shared" si="5"/>
        <v/>
      </c>
      <c r="XEQ60" s="7" t="str">
        <f t="shared" si="6"/>
        <v/>
      </c>
      <c r="XER60" s="7" t="str">
        <f t="shared" si="7"/>
        <v/>
      </c>
      <c r="XES60" s="7" t="str">
        <f t="shared" si="8"/>
        <v/>
      </c>
    </row>
    <row r="61" spans="1:250 16370:16373" ht="23.25" customHeight="1" x14ac:dyDescent="0.25">
      <c r="A61" s="74">
        <f>IF($I61&gt;0,VLOOKUP(I61,'Lista de Precios'!$A$3:$L$2883,9,0),0)</f>
        <v>0</v>
      </c>
      <c r="B61" s="74">
        <f>IF($I61&gt;0,VLOOKUP(I61,'Lista de Precios'!$A$3:$H$2883,7,0),0)</f>
        <v>0</v>
      </c>
      <c r="C61" s="7" t="str">
        <f>IF($I61&gt;0,VLOOKUP(I61,'Lista de Precios'!$A$3:$H$2883,2,0),"")</f>
        <v/>
      </c>
      <c r="D61" s="7" t="str">
        <f>IF($I61&gt;0,VLOOKUP(I61,'Lista de Precios'!$A$3:$H$2883,3,0),"")</f>
        <v/>
      </c>
      <c r="E61" s="76" t="str">
        <f>IF($I61&gt;0,VLOOKUP(I61,'Lista de Precios'!$A$3:$H$2883,6,0),"")</f>
        <v/>
      </c>
      <c r="F61" s="76" t="str">
        <f>IF($I61&gt;0,VLOOKUP(I61,'Lista de Precios'!$A$3:$H$2883,8,0),"")</f>
        <v/>
      </c>
      <c r="G61" s="101" t="str">
        <f t="shared" si="3"/>
        <v/>
      </c>
      <c r="H61" s="20" t="s">
        <v>3</v>
      </c>
      <c r="I61" s="18"/>
      <c r="J61" s="28" t="str">
        <f t="shared" si="12"/>
        <v/>
      </c>
      <c r="K61" s="24">
        <f>+IF($I61&gt;0,VLOOKUP($I61,'Lista de Precios'!$A$3:$H$2883,5,0),0)</f>
        <v>0</v>
      </c>
      <c r="L61" s="43"/>
      <c r="M61" s="43"/>
      <c r="N61" s="43"/>
      <c r="O61" s="48"/>
      <c r="P61" s="44"/>
      <c r="Q61" s="50"/>
      <c r="R61" s="43"/>
      <c r="S61" s="43"/>
      <c r="T61" s="43"/>
      <c r="U61" s="43"/>
      <c r="V61" s="43"/>
      <c r="W61" s="43"/>
      <c r="X61" s="43"/>
      <c r="Y61" s="43"/>
      <c r="Z61" s="44"/>
      <c r="AA61" s="53"/>
      <c r="AB61" s="48"/>
      <c r="AC61" s="48"/>
      <c r="AD61" s="48"/>
      <c r="AE61" s="49"/>
      <c r="AF61" s="48"/>
      <c r="AG61" s="43"/>
      <c r="AH61" s="42"/>
      <c r="AI61" s="42"/>
      <c r="AJ61" s="42"/>
      <c r="AK61" s="42"/>
      <c r="AL61" s="42"/>
      <c r="AM61" s="73">
        <f t="shared" si="16"/>
        <v>0</v>
      </c>
      <c r="AN61" s="71" t="str">
        <f>+IF($I61&gt;0,VLOOKUP($I61,'Lista de Precios'!$A$3:$H$2883,4,0),"")</f>
        <v/>
      </c>
      <c r="AO61" s="68" t="str">
        <f t="shared" si="4"/>
        <v/>
      </c>
      <c r="AP61" s="7" t="str">
        <f>IF($I61&gt;0,VLOOKUP($I61,'Lista de Precios'!$A$3:$K$2883,10,0),"")</f>
        <v/>
      </c>
      <c r="AQ61" s="7" t="str">
        <f>IF($I61&gt;0,VLOOKUP($I61,'Lista de Precios'!$A$3:$M$4893,13,0),"")</f>
        <v/>
      </c>
      <c r="AR61" s="7" t="str">
        <f>IF($I61&gt;0,VLOOKUP(I61,'Lista de Precios'!$A$3:$M$2883,13,0),"")</f>
        <v/>
      </c>
      <c r="HR61" s="134"/>
      <c r="HS61" s="134"/>
      <c r="HT61" s="134"/>
      <c r="HU61" s="134"/>
      <c r="HV61" s="134"/>
      <c r="HW61" s="134"/>
      <c r="HX61" s="134"/>
      <c r="HY61" s="134"/>
      <c r="HZ61" s="134"/>
      <c r="IA61" s="134"/>
      <c r="IB61" s="134"/>
      <c r="IC61" s="134"/>
      <c r="IE61" s="134"/>
      <c r="IF61" s="134"/>
      <c r="IG61" s="134"/>
      <c r="IH61" s="134"/>
      <c r="II61" s="134"/>
      <c r="IJ61" s="134"/>
      <c r="IK61" s="134"/>
      <c r="IL61" s="134"/>
      <c r="IM61" s="134"/>
      <c r="IN61" s="135"/>
      <c r="IO61" s="135"/>
      <c r="IP61" s="135"/>
      <c r="XEP61" s="7" t="str">
        <f t="shared" si="5"/>
        <v/>
      </c>
      <c r="XEQ61" s="7" t="str">
        <f t="shared" si="6"/>
        <v/>
      </c>
      <c r="XER61" s="7" t="str">
        <f t="shared" si="7"/>
        <v/>
      </c>
      <c r="XES61" s="7" t="str">
        <f t="shared" si="8"/>
        <v/>
      </c>
    </row>
    <row r="62" spans="1:250 16370:16373" ht="23.25" customHeight="1" x14ac:dyDescent="0.25">
      <c r="A62" s="74">
        <f>IF($I62&gt;0,VLOOKUP(I62,'Lista de Precios'!$A$3:$L$2883,9,0),0)</f>
        <v>0</v>
      </c>
      <c r="B62" s="74">
        <f>IF($I62&gt;0,VLOOKUP(I62,'Lista de Precios'!$A$3:$H$2883,7,0),0)</f>
        <v>0</v>
      </c>
      <c r="C62" s="7" t="str">
        <f>IF($I62&gt;0,VLOOKUP(I62,'Lista de Precios'!$A$3:$H$2883,2,0),"")</f>
        <v/>
      </c>
      <c r="D62" s="7" t="str">
        <f>IF($I62&gt;0,VLOOKUP(I62,'Lista de Precios'!$A$3:$H$2883,3,0),"")</f>
        <v/>
      </c>
      <c r="E62" s="76" t="str">
        <f>IF($I62&gt;0,VLOOKUP(I62,'Lista de Precios'!$A$3:$H$2883,6,0),"")</f>
        <v/>
      </c>
      <c r="F62" s="76" t="str">
        <f>IF($I62&gt;0,VLOOKUP(I62,'Lista de Precios'!$A$3:$H$2883,8,0),"")</f>
        <v/>
      </c>
      <c r="G62" s="101" t="str">
        <f t="shared" si="3"/>
        <v/>
      </c>
      <c r="H62" s="20" t="s">
        <v>3</v>
      </c>
      <c r="I62" s="18"/>
      <c r="J62" s="28" t="str">
        <f t="shared" si="12"/>
        <v/>
      </c>
      <c r="K62" s="24">
        <f>+IF($I62&gt;0,VLOOKUP($I62,'Lista de Precios'!$A$3:$H$2883,5,0),0)</f>
        <v>0</v>
      </c>
      <c r="L62" s="54"/>
      <c r="M62" s="54"/>
      <c r="N62" s="54"/>
      <c r="O62" s="48"/>
      <c r="P62" s="55"/>
      <c r="Q62" s="50"/>
      <c r="R62" s="43"/>
      <c r="S62" s="43"/>
      <c r="T62" s="43"/>
      <c r="U62" s="43"/>
      <c r="V62" s="43"/>
      <c r="W62" s="43"/>
      <c r="X62" s="43"/>
      <c r="Y62" s="43"/>
      <c r="Z62" s="44"/>
      <c r="AA62" s="53"/>
      <c r="AB62" s="48"/>
      <c r="AC62" s="48"/>
      <c r="AD62" s="48"/>
      <c r="AE62" s="48"/>
      <c r="AF62" s="48"/>
      <c r="AG62" s="54"/>
      <c r="AH62" s="54"/>
      <c r="AI62" s="54"/>
      <c r="AJ62" s="54"/>
      <c r="AK62" s="54"/>
      <c r="AL62" s="54"/>
      <c r="AM62" s="73">
        <f t="shared" si="16"/>
        <v>0</v>
      </c>
      <c r="AN62" s="71" t="str">
        <f>+IF($I62&gt;0,VLOOKUP($I62,'Lista de Precios'!$A$3:$H$2883,4,0),"")</f>
        <v/>
      </c>
      <c r="AO62" s="68" t="str">
        <f t="shared" si="4"/>
        <v/>
      </c>
      <c r="AP62" s="7" t="str">
        <f>IF($I62&gt;0,VLOOKUP($I62,'Lista de Precios'!$A$3:$K$2883,10,0),"")</f>
        <v/>
      </c>
      <c r="AQ62" s="7" t="str">
        <f>IF($I62&gt;0,VLOOKUP($I62,'Lista de Precios'!$A$3:$M$4893,13,0),"")</f>
        <v/>
      </c>
      <c r="AR62" s="7" t="str">
        <f>IF($I62&gt;0,VLOOKUP(I62,'Lista de Precios'!$A$3:$M$2883,13,0),"")</f>
        <v/>
      </c>
      <c r="HR62" s="134"/>
      <c r="HS62" s="134"/>
      <c r="HT62" s="134"/>
      <c r="HU62" s="134"/>
      <c r="HV62" s="134"/>
      <c r="HW62" s="134"/>
      <c r="HX62" s="134"/>
      <c r="HY62" s="134"/>
      <c r="HZ62" s="134"/>
      <c r="IA62" s="134"/>
      <c r="IB62" s="134"/>
      <c r="IC62" s="134"/>
      <c r="IE62" s="134"/>
      <c r="IF62" s="134"/>
      <c r="IG62" s="134"/>
      <c r="IH62" s="134"/>
      <c r="II62" s="134"/>
      <c r="IJ62" s="134"/>
      <c r="IK62" s="134"/>
      <c r="IL62" s="134"/>
      <c r="IM62" s="134"/>
      <c r="IN62" s="135"/>
      <c r="IO62" s="135"/>
      <c r="IP62" s="135"/>
      <c r="XEP62" s="7" t="str">
        <f t="shared" si="5"/>
        <v/>
      </c>
      <c r="XEQ62" s="7" t="str">
        <f t="shared" si="6"/>
        <v/>
      </c>
      <c r="XER62" s="7" t="str">
        <f t="shared" si="7"/>
        <v/>
      </c>
      <c r="XES62" s="7" t="str">
        <f t="shared" si="8"/>
        <v/>
      </c>
    </row>
    <row r="63" spans="1:250 16370:16373" ht="23.25" customHeight="1" x14ac:dyDescent="0.25">
      <c r="A63" s="74">
        <f>IF($I63&gt;0,VLOOKUP(I63,'Lista de Precios'!$A$3:$L$2883,9,0),0)</f>
        <v>0</v>
      </c>
      <c r="B63" s="74">
        <f>IF($I63&gt;0,VLOOKUP(I63,'Lista de Precios'!$A$3:$H$2883,7,0),0)</f>
        <v>0</v>
      </c>
      <c r="C63" s="7" t="str">
        <f>IF($I63&gt;0,VLOOKUP(I63,'Lista de Precios'!$A$3:$H$2883,2,0),"")</f>
        <v/>
      </c>
      <c r="D63" s="7" t="str">
        <f>IF($I63&gt;0,VLOOKUP(I63,'Lista de Precios'!$A$3:$H$2883,3,0),"")</f>
        <v/>
      </c>
      <c r="E63" s="76" t="str">
        <f>IF($I63&gt;0,VLOOKUP(I63,'Lista de Precios'!$A$3:$H$2883,6,0),"")</f>
        <v/>
      </c>
      <c r="F63" s="76" t="str">
        <f>IF($I63&gt;0,VLOOKUP(I63,'Lista de Precios'!$A$3:$H$2883,8,0),"")</f>
        <v/>
      </c>
      <c r="G63" s="101" t="str">
        <f t="shared" si="3"/>
        <v/>
      </c>
      <c r="H63" s="20" t="s">
        <v>3</v>
      </c>
      <c r="I63" s="18"/>
      <c r="J63" s="28" t="str">
        <f t="shared" si="12"/>
        <v/>
      </c>
      <c r="K63" s="24">
        <f>+IF($I63&gt;0,VLOOKUP($I63,'Lista de Precios'!$A$3:$H$2883,5,0),0)</f>
        <v>0</v>
      </c>
      <c r="L63" s="54"/>
      <c r="M63" s="54"/>
      <c r="N63" s="54"/>
      <c r="O63" s="43"/>
      <c r="P63" s="55"/>
      <c r="Q63" s="45"/>
      <c r="R63" s="43"/>
      <c r="S63" s="43"/>
      <c r="T63" s="43"/>
      <c r="U63" s="43"/>
      <c r="V63" s="43"/>
      <c r="W63" s="43"/>
      <c r="X63" s="43"/>
      <c r="Y63" s="43"/>
      <c r="Z63" s="55"/>
      <c r="AA63" s="56"/>
      <c r="AB63" s="43"/>
      <c r="AC63" s="43"/>
      <c r="AD63" s="43"/>
      <c r="AE63" s="43"/>
      <c r="AF63" s="43"/>
      <c r="AG63" s="54"/>
      <c r="AH63" s="54"/>
      <c r="AI63" s="54"/>
      <c r="AJ63" s="54"/>
      <c r="AK63" s="54"/>
      <c r="AL63" s="54"/>
      <c r="AM63" s="73">
        <f t="shared" si="16"/>
        <v>0</v>
      </c>
      <c r="AN63" s="71" t="str">
        <f>+IF($I63&gt;0,VLOOKUP($I63,'Lista de Precios'!$A$3:$H$2883,4,0),"")</f>
        <v/>
      </c>
      <c r="AO63" s="68" t="str">
        <f t="shared" si="4"/>
        <v/>
      </c>
      <c r="AP63" s="7" t="str">
        <f>IF($I63&gt;0,VLOOKUP($I63,'Lista de Precios'!$A$3:$K$2883,10,0),"")</f>
        <v/>
      </c>
      <c r="AQ63" s="7" t="str">
        <f>IF($I63&gt;0,VLOOKUP($I63,'Lista de Precios'!$A$3:$M$4893,13,0),"")</f>
        <v/>
      </c>
      <c r="AR63" s="7" t="str">
        <f>IF($I63&gt;0,VLOOKUP(I63,'Lista de Precios'!$A$3:$M$2883,13,0),"")</f>
        <v/>
      </c>
      <c r="HR63" s="134"/>
      <c r="HS63" s="134"/>
      <c r="HT63" s="134"/>
      <c r="HU63" s="134"/>
      <c r="HV63" s="134"/>
      <c r="HW63" s="134"/>
      <c r="HX63" s="134"/>
      <c r="HY63" s="134"/>
      <c r="HZ63" s="134"/>
      <c r="IA63" s="134"/>
      <c r="IB63" s="134"/>
      <c r="IC63" s="134"/>
      <c r="IE63" s="134"/>
      <c r="IF63" s="134"/>
      <c r="IG63" s="134"/>
      <c r="IH63" s="134"/>
      <c r="II63" s="134"/>
      <c r="IJ63" s="134"/>
      <c r="IK63" s="134"/>
      <c r="IL63" s="134"/>
      <c r="IM63" s="134"/>
      <c r="IN63" s="135"/>
      <c r="IO63" s="135"/>
      <c r="IP63" s="135"/>
      <c r="XEP63" s="7" t="str">
        <f t="shared" si="5"/>
        <v/>
      </c>
      <c r="XEQ63" s="7" t="str">
        <f t="shared" si="6"/>
        <v/>
      </c>
      <c r="XER63" s="7" t="str">
        <f t="shared" si="7"/>
        <v/>
      </c>
      <c r="XES63" s="7" t="str">
        <f t="shared" si="8"/>
        <v/>
      </c>
    </row>
    <row r="64" spans="1:250 16370:16373" ht="23.25" customHeight="1" x14ac:dyDescent="0.25">
      <c r="A64" s="74">
        <f>IF($I64&gt;0,VLOOKUP(I64,'Lista de Precios'!$A$3:$L$2883,9,0),0)</f>
        <v>0</v>
      </c>
      <c r="B64" s="74">
        <f>IF($I64&gt;0,VLOOKUP(I64,'Lista de Precios'!$A$3:$H$2883,7,0),0)</f>
        <v>0</v>
      </c>
      <c r="C64" s="7" t="str">
        <f>IF($I64&gt;0,VLOOKUP(I64,'Lista de Precios'!$A$3:$H$2883,2,0),"")</f>
        <v/>
      </c>
      <c r="D64" s="7" t="str">
        <f>IF($I64&gt;0,VLOOKUP(I64,'Lista de Precios'!$A$3:$H$2883,3,0),"")</f>
        <v/>
      </c>
      <c r="E64" s="76" t="str">
        <f>IF($I64&gt;0,VLOOKUP(I64,'Lista de Precios'!$A$3:$H$2883,6,0),"")</f>
        <v/>
      </c>
      <c r="F64" s="76" t="str">
        <f>IF($I64&gt;0,VLOOKUP(I64,'Lista de Precios'!$A$3:$H$2883,8,0),"")</f>
        <v/>
      </c>
      <c r="G64" s="101" t="str">
        <f t="shared" si="3"/>
        <v/>
      </c>
      <c r="H64" s="20" t="s">
        <v>3</v>
      </c>
      <c r="I64" s="18"/>
      <c r="J64" s="28" t="str">
        <f t="shared" si="12"/>
        <v/>
      </c>
      <c r="K64" s="24">
        <f>+IF($I64&gt;0,VLOOKUP($I64,'Lista de Precios'!$A$3:$H$2883,5,0),0)</f>
        <v>0</v>
      </c>
      <c r="L64" s="37"/>
      <c r="M64" s="37"/>
      <c r="N64" s="37"/>
      <c r="O64" s="37"/>
      <c r="P64" s="40"/>
      <c r="Q64" s="39"/>
      <c r="R64" s="37"/>
      <c r="S64" s="37"/>
      <c r="T64" s="37"/>
      <c r="U64" s="37"/>
      <c r="V64" s="37"/>
      <c r="W64" s="37"/>
      <c r="X64" s="37"/>
      <c r="Y64" s="37"/>
      <c r="Z64" s="40"/>
      <c r="AA64" s="41"/>
      <c r="AB64" s="37"/>
      <c r="AC64" s="37"/>
      <c r="AD64" s="37"/>
      <c r="AE64" s="37"/>
      <c r="AF64" s="37"/>
      <c r="AG64" s="37"/>
      <c r="AH64" s="36"/>
      <c r="AI64" s="36"/>
      <c r="AJ64" s="36"/>
      <c r="AK64" s="42"/>
      <c r="AL64" s="36"/>
      <c r="AM64" s="73">
        <f t="shared" si="16"/>
        <v>0</v>
      </c>
      <c r="AN64" s="71" t="str">
        <f>+IF($I64&gt;0,VLOOKUP($I64,'Lista de Precios'!$A$3:$H$2883,4,0),"")</f>
        <v/>
      </c>
      <c r="AO64" s="68" t="str">
        <f t="shared" si="4"/>
        <v/>
      </c>
      <c r="AP64" s="7" t="str">
        <f>IF($I64&gt;0,VLOOKUP($I64,'Lista de Precios'!$A$3:$K$2883,10,0),"")</f>
        <v/>
      </c>
      <c r="AQ64" s="7" t="str">
        <f>IF($I64&gt;0,VLOOKUP($I64,'Lista de Precios'!$A$3:$M$4893,13,0),"")</f>
        <v/>
      </c>
      <c r="AR64" s="7" t="str">
        <f>IF($I64&gt;0,VLOOKUP(I64,'Lista de Precios'!$A$3:$M$2883,13,0),"")</f>
        <v/>
      </c>
      <c r="HR64" s="134"/>
      <c r="HS64" s="134"/>
      <c r="HT64" s="134"/>
      <c r="HU64" s="134"/>
      <c r="HV64" s="134"/>
      <c r="HW64" s="134"/>
      <c r="HX64" s="134"/>
      <c r="HY64" s="134"/>
      <c r="HZ64" s="134"/>
      <c r="IA64" s="134"/>
      <c r="IB64" s="134"/>
      <c r="IC64" s="134"/>
      <c r="IE64" s="134"/>
      <c r="IF64" s="134"/>
      <c r="IG64" s="134"/>
      <c r="IH64" s="134"/>
      <c r="II64" s="134"/>
      <c r="IJ64" s="134"/>
      <c r="IK64" s="134"/>
      <c r="IL64" s="134"/>
      <c r="IM64" s="134"/>
      <c r="IN64" s="135"/>
      <c r="IO64" s="135"/>
      <c r="IP64" s="135"/>
      <c r="XEP64" s="7" t="str">
        <f t="shared" si="5"/>
        <v/>
      </c>
      <c r="XEQ64" s="7" t="str">
        <f t="shared" si="6"/>
        <v/>
      </c>
      <c r="XER64" s="7" t="str">
        <f t="shared" si="7"/>
        <v/>
      </c>
      <c r="XES64" s="7" t="str">
        <f t="shared" si="8"/>
        <v/>
      </c>
    </row>
    <row r="65" spans="1:250 16370:16373" ht="23.25" customHeight="1" x14ac:dyDescent="0.25">
      <c r="A65" s="74">
        <f>IF($I65&gt;0,VLOOKUP(I65,'Lista de Precios'!$A$3:$L$2883,9,0),0)</f>
        <v>0</v>
      </c>
      <c r="B65" s="74">
        <f>IF($I65&gt;0,VLOOKUP(I65,'Lista de Precios'!$A$3:$H$2883,7,0),0)</f>
        <v>0</v>
      </c>
      <c r="C65" s="7" t="str">
        <f>IF($I65&gt;0,VLOOKUP(I65,'Lista de Precios'!$A$3:$H$2883,2,0),"")</f>
        <v/>
      </c>
      <c r="D65" s="7" t="str">
        <f>IF($I65&gt;0,VLOOKUP(I65,'Lista de Precios'!$A$3:$H$2883,3,0),"")</f>
        <v/>
      </c>
      <c r="E65" s="76" t="str">
        <f>IF($I65&gt;0,VLOOKUP(I65,'Lista de Precios'!$A$3:$H$2883,6,0),"")</f>
        <v/>
      </c>
      <c r="F65" s="76" t="str">
        <f>IF($I65&gt;0,VLOOKUP(I65,'Lista de Precios'!$A$3:$H$2883,8,0),"")</f>
        <v/>
      </c>
      <c r="G65" s="101" t="str">
        <f t="shared" si="3"/>
        <v/>
      </c>
      <c r="H65" s="20" t="s">
        <v>3</v>
      </c>
      <c r="I65" s="18"/>
      <c r="J65" s="28" t="str">
        <f t="shared" si="12"/>
        <v/>
      </c>
      <c r="K65" s="24">
        <f>+IF($I65&gt;0,VLOOKUP($I65,'Lista de Precios'!$A$3:$H$2883,5,0),0)</f>
        <v>0</v>
      </c>
      <c r="L65" s="37"/>
      <c r="M65" s="37"/>
      <c r="N65" s="37"/>
      <c r="O65" s="37"/>
      <c r="P65" s="40"/>
      <c r="Q65" s="39"/>
      <c r="R65" s="37"/>
      <c r="S65" s="37"/>
      <c r="T65" s="37"/>
      <c r="U65" s="37"/>
      <c r="V65" s="37"/>
      <c r="W65" s="37"/>
      <c r="X65" s="37"/>
      <c r="Y65" s="37"/>
      <c r="Z65" s="40"/>
      <c r="AA65" s="41"/>
      <c r="AB65" s="37"/>
      <c r="AC65" s="37"/>
      <c r="AD65" s="37"/>
      <c r="AE65" s="37"/>
      <c r="AF65" s="37"/>
      <c r="AG65" s="37"/>
      <c r="AH65" s="36"/>
      <c r="AI65" s="36"/>
      <c r="AJ65" s="36"/>
      <c r="AK65" s="42"/>
      <c r="AL65" s="36"/>
      <c r="AM65" s="73">
        <f t="shared" si="16"/>
        <v>0</v>
      </c>
      <c r="AN65" s="71" t="str">
        <f>+IF($I65&gt;0,VLOOKUP($I65,'Lista de Precios'!$A$3:$H$2883,4,0),"")</f>
        <v/>
      </c>
      <c r="AO65" s="68" t="str">
        <f t="shared" si="4"/>
        <v/>
      </c>
      <c r="AP65" s="7" t="str">
        <f>IF($I65&gt;0,VLOOKUP($I65,'Lista de Precios'!$A$3:$K$2883,10,0),"")</f>
        <v/>
      </c>
      <c r="AQ65" s="7" t="str">
        <f>IF($I65&gt;0,VLOOKUP($I65,'Lista de Precios'!$A$3:$M$4893,13,0),"")</f>
        <v/>
      </c>
      <c r="AR65" s="7" t="str">
        <f>IF($I65&gt;0,VLOOKUP(I65,'Lista de Precios'!$A$3:$M$2883,13,0),"")</f>
        <v/>
      </c>
      <c r="HR65" s="134"/>
      <c r="HS65" s="134"/>
      <c r="HT65" s="134"/>
      <c r="HU65" s="134"/>
      <c r="HV65" s="134"/>
      <c r="HW65" s="134"/>
      <c r="HX65" s="134"/>
      <c r="HY65" s="134"/>
      <c r="HZ65" s="134"/>
      <c r="IA65" s="134"/>
      <c r="IB65" s="134"/>
      <c r="IC65" s="134"/>
      <c r="IE65" s="134"/>
      <c r="IF65" s="134"/>
      <c r="IG65" s="134"/>
      <c r="IH65" s="134"/>
      <c r="II65" s="134"/>
      <c r="IJ65" s="134"/>
      <c r="IK65" s="134"/>
      <c r="IL65" s="134"/>
      <c r="IM65" s="134"/>
      <c r="IN65" s="135"/>
      <c r="IO65" s="135"/>
      <c r="IP65" s="135"/>
      <c r="XEP65" s="7" t="str">
        <f t="shared" si="5"/>
        <v/>
      </c>
      <c r="XEQ65" s="7" t="str">
        <f t="shared" si="6"/>
        <v/>
      </c>
      <c r="XER65" s="7" t="str">
        <f t="shared" si="7"/>
        <v/>
      </c>
      <c r="XES65" s="7" t="str">
        <f t="shared" si="8"/>
        <v/>
      </c>
    </row>
    <row r="66" spans="1:250 16370:16373" ht="23.25" customHeight="1" x14ac:dyDescent="0.25">
      <c r="A66" s="74">
        <f>IF($I66&gt;0,VLOOKUP(I66,'Lista de Precios'!$A$3:$L$2883,9,0),0)</f>
        <v>0</v>
      </c>
      <c r="B66" s="74">
        <f>IF($I66&gt;0,VLOOKUP(I66,'Lista de Precios'!$A$3:$H$2883,7,0),0)</f>
        <v>0</v>
      </c>
      <c r="C66" s="7" t="str">
        <f>IF($I66&gt;0,VLOOKUP(I66,'Lista de Precios'!$A$3:$H$2883,2,0),"")</f>
        <v/>
      </c>
      <c r="D66" s="7" t="str">
        <f>IF($I66&gt;0,VLOOKUP(I66,'Lista de Precios'!$A$3:$H$2883,3,0),"")</f>
        <v/>
      </c>
      <c r="E66" s="76" t="str">
        <f>IF($I66&gt;0,VLOOKUP(I66,'Lista de Precios'!$A$3:$H$2883,6,0),"")</f>
        <v/>
      </c>
      <c r="F66" s="76" t="str">
        <f>IF($I66&gt;0,VLOOKUP(I66,'Lista de Precios'!$A$3:$H$2883,8,0),"")</f>
        <v/>
      </c>
      <c r="G66" s="101" t="str">
        <f t="shared" si="3"/>
        <v/>
      </c>
      <c r="H66" s="20" t="s">
        <v>3</v>
      </c>
      <c r="I66" s="18"/>
      <c r="J66" s="28" t="str">
        <f t="shared" si="12"/>
        <v/>
      </c>
      <c r="K66" s="24">
        <f>+IF($I66&gt;0,VLOOKUP($I66,'Lista de Precios'!$A$3:$H$2883,5,0),0)</f>
        <v>0</v>
      </c>
      <c r="L66" s="36"/>
      <c r="M66" s="36"/>
      <c r="N66" s="36"/>
      <c r="O66" s="37"/>
      <c r="P66" s="38"/>
      <c r="Q66" s="39"/>
      <c r="R66" s="37"/>
      <c r="S66" s="37"/>
      <c r="T66" s="37"/>
      <c r="U66" s="37"/>
      <c r="V66" s="37"/>
      <c r="W66" s="37"/>
      <c r="X66" s="37"/>
      <c r="Y66" s="37"/>
      <c r="Z66" s="40"/>
      <c r="AA66" s="41"/>
      <c r="AB66" s="37"/>
      <c r="AC66" s="37"/>
      <c r="AD66" s="37"/>
      <c r="AE66" s="37"/>
      <c r="AF66" s="37"/>
      <c r="AG66" s="37"/>
      <c r="AH66" s="36"/>
      <c r="AI66" s="36"/>
      <c r="AJ66" s="36"/>
      <c r="AK66" s="42"/>
      <c r="AL66" s="42"/>
      <c r="AM66" s="73">
        <f t="shared" si="16"/>
        <v>0</v>
      </c>
      <c r="AN66" s="71" t="str">
        <f>+IF($I66&gt;0,VLOOKUP($I66,'Lista de Precios'!$A$3:$H$2883,4,0),"")</f>
        <v/>
      </c>
      <c r="AO66" s="68" t="str">
        <f t="shared" si="4"/>
        <v/>
      </c>
      <c r="AP66" s="7" t="str">
        <f>IF($I66&gt;0,VLOOKUP($I66,'Lista de Precios'!$A$3:$K$2883,10,0),"")</f>
        <v/>
      </c>
      <c r="AQ66" s="7" t="str">
        <f>IF($I66&gt;0,VLOOKUP($I66,'Lista de Precios'!$A$3:$M$4893,13,0),"")</f>
        <v/>
      </c>
      <c r="AR66" s="7" t="str">
        <f>IF($I66&gt;0,VLOOKUP(I66,'Lista de Precios'!$A$3:$M$2883,13,0),"")</f>
        <v/>
      </c>
      <c r="HR66" s="134"/>
      <c r="HS66" s="134"/>
      <c r="HT66" s="134"/>
      <c r="HU66" s="134"/>
      <c r="HV66" s="134"/>
      <c r="HW66" s="134"/>
      <c r="HX66" s="134"/>
      <c r="HY66" s="134"/>
      <c r="HZ66" s="134"/>
      <c r="IA66" s="134"/>
      <c r="IB66" s="134"/>
      <c r="IC66" s="134"/>
      <c r="IE66" s="134"/>
      <c r="IF66" s="134"/>
      <c r="IG66" s="134"/>
      <c r="IH66" s="134"/>
      <c r="II66" s="134"/>
      <c r="IJ66" s="134"/>
      <c r="IK66" s="134"/>
      <c r="IL66" s="134"/>
      <c r="IM66" s="134"/>
      <c r="IN66" s="135"/>
      <c r="IO66" s="135"/>
      <c r="IP66" s="135"/>
      <c r="XEP66" s="7" t="str">
        <f t="shared" si="5"/>
        <v/>
      </c>
      <c r="XEQ66" s="7" t="str">
        <f t="shared" si="6"/>
        <v/>
      </c>
      <c r="XER66" s="7" t="str">
        <f t="shared" si="7"/>
        <v/>
      </c>
      <c r="XES66" s="7" t="str">
        <f t="shared" si="8"/>
        <v/>
      </c>
    </row>
    <row r="67" spans="1:250 16370:16373" ht="23.25" customHeight="1" x14ac:dyDescent="0.25">
      <c r="A67" s="74">
        <f>IF($I67&gt;0,VLOOKUP(I67,'Lista de Precios'!$A$3:$L$2883,9,0),0)</f>
        <v>0</v>
      </c>
      <c r="B67" s="74">
        <f>IF($I67&gt;0,VLOOKUP(I67,'Lista de Precios'!$A$3:$H$2883,7,0),0)</f>
        <v>0</v>
      </c>
      <c r="C67" s="7" t="str">
        <f>IF($I67&gt;0,VLOOKUP(I67,'Lista de Precios'!$A$3:$H$2883,2,0),"")</f>
        <v/>
      </c>
      <c r="D67" s="7" t="str">
        <f>IF($I67&gt;0,VLOOKUP(I67,'Lista de Precios'!$A$3:$H$2883,3,0),"")</f>
        <v/>
      </c>
      <c r="E67" s="76" t="str">
        <f>IF($I67&gt;0,VLOOKUP(I67,'Lista de Precios'!$A$3:$H$2883,6,0),"")</f>
        <v/>
      </c>
      <c r="F67" s="76" t="str">
        <f>IF($I67&gt;0,VLOOKUP(I67,'Lista de Precios'!$A$3:$H$2883,8,0),"")</f>
        <v/>
      </c>
      <c r="G67" s="101" t="str">
        <f t="shared" si="3"/>
        <v/>
      </c>
      <c r="H67" s="20" t="s">
        <v>3</v>
      </c>
      <c r="I67" s="18"/>
      <c r="J67" s="28" t="str">
        <f t="shared" si="12"/>
        <v/>
      </c>
      <c r="K67" s="24">
        <f>+IF($I67&gt;0,VLOOKUP($I67,'Lista de Precios'!$A$3:$H$2883,5,0),0)</f>
        <v>0</v>
      </c>
      <c r="L67" s="37"/>
      <c r="M67" s="37"/>
      <c r="N67" s="37"/>
      <c r="O67" s="37"/>
      <c r="P67" s="40"/>
      <c r="Q67" s="39"/>
      <c r="R67" s="37"/>
      <c r="S67" s="37"/>
      <c r="T67" s="37"/>
      <c r="U67" s="37"/>
      <c r="V67" s="37"/>
      <c r="W67" s="37"/>
      <c r="X67" s="37"/>
      <c r="Y67" s="37"/>
      <c r="Z67" s="40"/>
      <c r="AA67" s="41"/>
      <c r="AB67" s="37"/>
      <c r="AC67" s="37"/>
      <c r="AD67" s="37"/>
      <c r="AE67" s="37"/>
      <c r="AF67" s="37"/>
      <c r="AG67" s="37"/>
      <c r="AH67" s="36"/>
      <c r="AI67" s="36"/>
      <c r="AJ67" s="36"/>
      <c r="AK67" s="42"/>
      <c r="AL67" s="42"/>
      <c r="AM67" s="73">
        <f t="shared" si="16"/>
        <v>0</v>
      </c>
      <c r="AN67" s="71" t="str">
        <f>+IF($I67&gt;0,VLOOKUP($I67,'Lista de Precios'!$A$3:$H$2883,4,0),"")</f>
        <v/>
      </c>
      <c r="AO67" s="68" t="str">
        <f t="shared" si="4"/>
        <v/>
      </c>
      <c r="AP67" s="7" t="str">
        <f>IF($I67&gt;0,VLOOKUP($I67,'Lista de Precios'!$A$3:$K$2883,10,0),"")</f>
        <v/>
      </c>
      <c r="AQ67" s="7" t="str">
        <f>IF($I67&gt;0,VLOOKUP($I67,'Lista de Precios'!$A$3:$M$4893,13,0),"")</f>
        <v/>
      </c>
      <c r="AR67" s="7" t="str">
        <f>IF($I67&gt;0,VLOOKUP(I67,'Lista de Precios'!$A$3:$M$2883,13,0),"")</f>
        <v/>
      </c>
      <c r="HR67" s="134"/>
      <c r="HS67" s="134"/>
      <c r="HT67" s="134"/>
      <c r="HU67" s="134"/>
      <c r="HV67" s="134"/>
      <c r="HW67" s="134"/>
      <c r="HX67" s="134"/>
      <c r="HY67" s="134"/>
      <c r="HZ67" s="134"/>
      <c r="IA67" s="134"/>
      <c r="IB67" s="134"/>
      <c r="IC67" s="134"/>
      <c r="IE67" s="134"/>
      <c r="IF67" s="134"/>
      <c r="IG67" s="134"/>
      <c r="IH67" s="134"/>
      <c r="II67" s="134"/>
      <c r="IJ67" s="134"/>
      <c r="IK67" s="134"/>
      <c r="IL67" s="134"/>
      <c r="IM67" s="134"/>
      <c r="IN67" s="135"/>
      <c r="IO67" s="135"/>
      <c r="IP67" s="135"/>
      <c r="XEP67" s="7" t="str">
        <f t="shared" si="5"/>
        <v/>
      </c>
      <c r="XEQ67" s="7" t="str">
        <f t="shared" si="6"/>
        <v/>
      </c>
      <c r="XER67" s="7" t="str">
        <f t="shared" si="7"/>
        <v/>
      </c>
      <c r="XES67" s="7" t="str">
        <f t="shared" si="8"/>
        <v/>
      </c>
    </row>
    <row r="68" spans="1:250 16370:16373" ht="23.25" customHeight="1" x14ac:dyDescent="0.25">
      <c r="A68" s="74">
        <f>IF($I68&gt;0,VLOOKUP(I68,'Lista de Precios'!$A$3:$L$2883,9,0),0)</f>
        <v>0</v>
      </c>
      <c r="B68" s="74">
        <f>IF($I68&gt;0,VLOOKUP(I68,'Lista de Precios'!$A$3:$H$2883,7,0),0)</f>
        <v>0</v>
      </c>
      <c r="C68" s="7" t="str">
        <f>IF($I68&gt;0,VLOOKUP(I68,'Lista de Precios'!$A$3:$H$2883,2,0),"")</f>
        <v/>
      </c>
      <c r="D68" s="7" t="str">
        <f>IF($I68&gt;0,VLOOKUP(I68,'Lista de Precios'!$A$3:$H$2883,3,0),"")</f>
        <v/>
      </c>
      <c r="E68" s="76" t="str">
        <f>IF($I68&gt;0,VLOOKUP(I68,'Lista de Precios'!$A$3:$H$2883,6,0),"")</f>
        <v/>
      </c>
      <c r="F68" s="76" t="str">
        <f>IF($I68&gt;0,VLOOKUP(I68,'Lista de Precios'!$A$3:$H$2883,8,0),"")</f>
        <v/>
      </c>
      <c r="G68" s="101" t="str">
        <f t="shared" si="3"/>
        <v/>
      </c>
      <c r="H68" s="20" t="s">
        <v>3</v>
      </c>
      <c r="I68" s="18"/>
      <c r="J68" s="28" t="str">
        <f t="shared" si="12"/>
        <v/>
      </c>
      <c r="K68" s="24">
        <f>+IF($I68&gt;0,VLOOKUP($I68,'Lista de Precios'!$A$3:$H$2883,5,0),0)</f>
        <v>0</v>
      </c>
      <c r="L68" s="37"/>
      <c r="M68" s="37"/>
      <c r="N68" s="37"/>
      <c r="O68" s="37"/>
      <c r="P68" s="40"/>
      <c r="Q68" s="39"/>
      <c r="R68" s="37"/>
      <c r="S68" s="37"/>
      <c r="T68" s="37"/>
      <c r="U68" s="37"/>
      <c r="V68" s="37"/>
      <c r="W68" s="37"/>
      <c r="X68" s="37"/>
      <c r="Y68" s="37"/>
      <c r="Z68" s="40"/>
      <c r="AA68" s="41"/>
      <c r="AB68" s="37"/>
      <c r="AC68" s="37"/>
      <c r="AD68" s="37"/>
      <c r="AE68" s="36"/>
      <c r="AF68" s="37"/>
      <c r="AG68" s="37"/>
      <c r="AH68" s="36"/>
      <c r="AI68" s="36"/>
      <c r="AJ68" s="42"/>
      <c r="AK68" s="42"/>
      <c r="AL68" s="43"/>
      <c r="AM68" s="73">
        <f t="shared" si="16"/>
        <v>0</v>
      </c>
      <c r="AN68" s="71" t="str">
        <f>+IF($I68&gt;0,VLOOKUP($I68,'Lista de Precios'!$A$3:$H$2883,4,0),"")</f>
        <v/>
      </c>
      <c r="AO68" s="68" t="str">
        <f t="shared" si="4"/>
        <v/>
      </c>
      <c r="AP68" s="7" t="str">
        <f>IF($I68&gt;0,VLOOKUP($I68,'Lista de Precios'!$A$3:$K$2883,10,0),"")</f>
        <v/>
      </c>
      <c r="AQ68" s="7" t="str">
        <f>IF($I68&gt;0,VLOOKUP($I68,'Lista de Precios'!$A$3:$M$4893,13,0),"")</f>
        <v/>
      </c>
      <c r="AR68" s="7" t="str">
        <f>IF($I68&gt;0,VLOOKUP(I68,'Lista de Precios'!$A$3:$M$2883,13,0),"")</f>
        <v/>
      </c>
      <c r="HR68" s="134"/>
      <c r="HS68" s="134"/>
      <c r="HT68" s="134"/>
      <c r="HU68" s="134"/>
      <c r="HV68" s="134"/>
      <c r="HW68" s="134"/>
      <c r="HX68" s="134"/>
      <c r="HY68" s="134"/>
      <c r="HZ68" s="134"/>
      <c r="IA68" s="134"/>
      <c r="IB68" s="134"/>
      <c r="IC68" s="134"/>
      <c r="IE68" s="134"/>
      <c r="IF68" s="134"/>
      <c r="IG68" s="134"/>
      <c r="IH68" s="134"/>
      <c r="II68" s="134"/>
      <c r="IJ68" s="134"/>
      <c r="IK68" s="134"/>
      <c r="IL68" s="134"/>
      <c r="IM68" s="134"/>
      <c r="IN68" s="135"/>
      <c r="IO68" s="135"/>
      <c r="IP68" s="135"/>
      <c r="XEP68" s="7" t="str">
        <f t="shared" si="5"/>
        <v/>
      </c>
      <c r="XEQ68" s="7" t="str">
        <f t="shared" si="6"/>
        <v/>
      </c>
      <c r="XER68" s="7" t="str">
        <f t="shared" si="7"/>
        <v/>
      </c>
      <c r="XES68" s="7" t="str">
        <f t="shared" si="8"/>
        <v/>
      </c>
    </row>
    <row r="69" spans="1:250 16370:16373" ht="23.25" customHeight="1" x14ac:dyDescent="0.25">
      <c r="A69" s="74">
        <f>IF($I69&gt;0,VLOOKUP(I69,'Lista de Precios'!$A$3:$L$2883,9,0),0)</f>
        <v>0</v>
      </c>
      <c r="B69" s="74">
        <f>IF($I69&gt;0,VLOOKUP(I69,'Lista de Precios'!$A$3:$H$2883,7,0),0)</f>
        <v>0</v>
      </c>
      <c r="C69" s="7" t="str">
        <f>IF($I69&gt;0,VLOOKUP(I69,'Lista de Precios'!$A$3:$H$2883,2,0),"")</f>
        <v/>
      </c>
      <c r="D69" s="7" t="str">
        <f>IF($I69&gt;0,VLOOKUP(I69,'Lista de Precios'!$A$3:$H$2883,3,0),"")</f>
        <v/>
      </c>
      <c r="E69" s="76" t="str">
        <f>IF($I69&gt;0,VLOOKUP(I69,'Lista de Precios'!$A$3:$H$2883,6,0),"")</f>
        <v/>
      </c>
      <c r="F69" s="76" t="str">
        <f>IF($I69&gt;0,VLOOKUP(I69,'Lista de Precios'!$A$3:$H$2883,8,0),"")</f>
        <v/>
      </c>
      <c r="G69" s="101" t="str">
        <f t="shared" si="3"/>
        <v/>
      </c>
      <c r="H69" s="20" t="s">
        <v>3</v>
      </c>
      <c r="I69" s="18"/>
      <c r="J69" s="28" t="str">
        <f t="shared" si="12"/>
        <v/>
      </c>
      <c r="K69" s="24">
        <f>+IF($I69&gt;0,VLOOKUP($I69,'Lista de Precios'!$A$3:$H$2883,5,0),0)</f>
        <v>0</v>
      </c>
      <c r="L69" s="37"/>
      <c r="M69" s="37"/>
      <c r="N69" s="37"/>
      <c r="O69" s="37"/>
      <c r="P69" s="40"/>
      <c r="Q69" s="39"/>
      <c r="R69" s="37"/>
      <c r="S69" s="37"/>
      <c r="T69" s="37"/>
      <c r="U69" s="37"/>
      <c r="V69" s="37"/>
      <c r="W69" s="37"/>
      <c r="X69" s="37"/>
      <c r="Y69" s="37"/>
      <c r="Z69" s="37"/>
      <c r="AA69" s="41"/>
      <c r="AB69" s="37"/>
      <c r="AC69" s="37"/>
      <c r="AD69" s="37"/>
      <c r="AE69" s="36"/>
      <c r="AF69" s="37"/>
      <c r="AG69" s="37"/>
      <c r="AH69" s="36"/>
      <c r="AI69" s="36"/>
      <c r="AJ69" s="42"/>
      <c r="AK69" s="42"/>
      <c r="AL69" s="42"/>
      <c r="AM69" s="73">
        <f t="shared" si="16"/>
        <v>0</v>
      </c>
      <c r="AN69" s="71" t="str">
        <f>+IF($I69&gt;0,VLOOKUP($I69,'Lista de Precios'!$A$3:$H$2883,4,0),"")</f>
        <v/>
      </c>
      <c r="AO69" s="68" t="str">
        <f t="shared" si="4"/>
        <v/>
      </c>
      <c r="AP69" s="7" t="str">
        <f>IF($I69&gt;0,VLOOKUP($I69,'Lista de Precios'!$A$3:$K$2883,10,0),"")</f>
        <v/>
      </c>
      <c r="AQ69" s="7" t="str">
        <f>IF($I69&gt;0,VLOOKUP($I69,'Lista de Precios'!$A$3:$M$4893,13,0),"")</f>
        <v/>
      </c>
      <c r="AR69" s="7" t="str">
        <f>IF($I69&gt;0,VLOOKUP(I69,'Lista de Precios'!$A$3:$M$2883,13,0),"")</f>
        <v/>
      </c>
      <c r="HR69" s="134"/>
      <c r="HS69" s="134"/>
      <c r="HT69" s="134"/>
      <c r="HU69" s="134"/>
      <c r="HV69" s="134"/>
      <c r="HW69" s="134"/>
      <c r="HX69" s="134"/>
      <c r="HY69" s="134"/>
      <c r="HZ69" s="134"/>
      <c r="IA69" s="134"/>
      <c r="IB69" s="134"/>
      <c r="IC69" s="134"/>
      <c r="IE69" s="134"/>
      <c r="IF69" s="134"/>
      <c r="IG69" s="134"/>
      <c r="IH69" s="134"/>
      <c r="II69" s="134"/>
      <c r="IJ69" s="134"/>
      <c r="IK69" s="134"/>
      <c r="IL69" s="134"/>
      <c r="IM69" s="134"/>
      <c r="IN69" s="135"/>
      <c r="IO69" s="135"/>
      <c r="IP69" s="135"/>
      <c r="XEP69" s="7" t="str">
        <f t="shared" si="5"/>
        <v/>
      </c>
      <c r="XEQ69" s="7" t="str">
        <f t="shared" si="6"/>
        <v/>
      </c>
      <c r="XER69" s="7" t="str">
        <f t="shared" si="7"/>
        <v/>
      </c>
      <c r="XES69" s="7" t="str">
        <f t="shared" si="8"/>
        <v/>
      </c>
    </row>
    <row r="70" spans="1:250 16370:16373" ht="23.25" customHeight="1" x14ac:dyDescent="0.25">
      <c r="A70" s="74">
        <f>IF($I70&gt;0,VLOOKUP(I70,'Lista de Precios'!$A$3:$L$2883,9,0),0)</f>
        <v>0</v>
      </c>
      <c r="B70" s="74">
        <f>IF($I70&gt;0,VLOOKUP(I70,'Lista de Precios'!$A$3:$H$2883,7,0),0)</f>
        <v>0</v>
      </c>
      <c r="C70" s="7" t="str">
        <f>IF($I70&gt;0,VLOOKUP(I70,'Lista de Precios'!$A$3:$H$2883,2,0),"")</f>
        <v/>
      </c>
      <c r="D70" s="7" t="str">
        <f>IF($I70&gt;0,VLOOKUP(I70,'Lista de Precios'!$A$3:$H$2883,3,0),"")</f>
        <v/>
      </c>
      <c r="E70" s="76" t="str">
        <f>IF($I70&gt;0,VLOOKUP(I70,'Lista de Precios'!$A$3:$H$2883,6,0),"")</f>
        <v/>
      </c>
      <c r="F70" s="76" t="str">
        <f>IF($I70&gt;0,VLOOKUP(I70,'Lista de Precios'!$A$3:$H$2883,8,0),"")</f>
        <v/>
      </c>
      <c r="G70" s="101" t="str">
        <f t="shared" si="3"/>
        <v/>
      </c>
      <c r="H70" s="20" t="s">
        <v>3</v>
      </c>
      <c r="I70" s="18"/>
      <c r="J70" s="28" t="str">
        <f t="shared" si="12"/>
        <v/>
      </c>
      <c r="K70" s="24">
        <f>+IF($I70&gt;0,VLOOKUP($I70,'Lista de Precios'!$A$3:$H$2883,5,0),0)</f>
        <v>0</v>
      </c>
      <c r="L70" s="37"/>
      <c r="M70" s="37"/>
      <c r="N70" s="37"/>
      <c r="O70" s="37"/>
      <c r="P70" s="40"/>
      <c r="Q70" s="39"/>
      <c r="R70" s="37"/>
      <c r="S70" s="37"/>
      <c r="T70" s="37"/>
      <c r="U70" s="37"/>
      <c r="V70" s="37"/>
      <c r="W70" s="37"/>
      <c r="X70" s="37"/>
      <c r="Y70" s="37"/>
      <c r="Z70" s="40"/>
      <c r="AA70" s="41"/>
      <c r="AB70" s="37"/>
      <c r="AC70" s="37"/>
      <c r="AD70" s="37"/>
      <c r="AE70" s="36"/>
      <c r="AF70" s="37"/>
      <c r="AG70" s="37"/>
      <c r="AH70" s="36"/>
      <c r="AI70" s="36"/>
      <c r="AJ70" s="42"/>
      <c r="AK70" s="42"/>
      <c r="AL70" s="42"/>
      <c r="AM70" s="73">
        <f t="shared" si="16"/>
        <v>0</v>
      </c>
      <c r="AN70" s="71" t="str">
        <f>+IF($I70&gt;0,VLOOKUP($I70,'Lista de Precios'!$A$3:$H$2883,4,0),"")</f>
        <v/>
      </c>
      <c r="AO70" s="68" t="str">
        <f t="shared" si="4"/>
        <v/>
      </c>
      <c r="AP70" s="7" t="str">
        <f>IF($I70&gt;0,VLOOKUP($I70,'Lista de Precios'!$A$3:$K$2883,10,0),"")</f>
        <v/>
      </c>
      <c r="AQ70" s="7" t="str">
        <f>IF($I70&gt;0,VLOOKUP($I70,'Lista de Precios'!$A$3:$M$4893,13,0),"")</f>
        <v/>
      </c>
      <c r="AR70" s="7" t="str">
        <f>IF($I70&gt;0,VLOOKUP(I70,'Lista de Precios'!$A$3:$M$2883,13,0),"")</f>
        <v/>
      </c>
      <c r="HR70" s="134"/>
      <c r="HS70" s="134"/>
      <c r="HT70" s="134"/>
      <c r="HU70" s="134"/>
      <c r="HV70" s="134"/>
      <c r="HW70" s="134"/>
      <c r="HX70" s="134"/>
      <c r="HY70" s="134"/>
      <c r="HZ70" s="134"/>
      <c r="IA70" s="134"/>
      <c r="IB70" s="134"/>
      <c r="IC70" s="134"/>
      <c r="IE70" s="134"/>
      <c r="IF70" s="134"/>
      <c r="IG70" s="134"/>
      <c r="IH70" s="134"/>
      <c r="II70" s="134"/>
      <c r="IJ70" s="134"/>
      <c r="IK70" s="134"/>
      <c r="IL70" s="134"/>
      <c r="IM70" s="134"/>
      <c r="IN70" s="135"/>
      <c r="IO70" s="135"/>
      <c r="IP70" s="135"/>
      <c r="XEP70" s="7" t="str">
        <f t="shared" si="5"/>
        <v/>
      </c>
      <c r="XEQ70" s="7" t="str">
        <f t="shared" si="6"/>
        <v/>
      </c>
      <c r="XER70" s="7" t="str">
        <f t="shared" si="7"/>
        <v/>
      </c>
      <c r="XES70" s="7" t="str">
        <f t="shared" si="8"/>
        <v/>
      </c>
    </row>
    <row r="71" spans="1:250 16370:16373" ht="23.25" customHeight="1" x14ac:dyDescent="0.25">
      <c r="A71" s="74">
        <f>IF($I71&gt;0,VLOOKUP(I71,'Lista de Precios'!$A$3:$L$2883,9,0),0)</f>
        <v>0</v>
      </c>
      <c r="B71" s="74">
        <f>IF($I71&gt;0,VLOOKUP(I71,'Lista de Precios'!$A$3:$H$2883,7,0),0)</f>
        <v>0</v>
      </c>
      <c r="C71" s="7" t="str">
        <f>IF($I71&gt;0,VLOOKUP(I71,'Lista de Precios'!$A$3:$H$2883,2,0),"")</f>
        <v/>
      </c>
      <c r="D71" s="7" t="str">
        <f>IF($I71&gt;0,VLOOKUP(I71,'Lista de Precios'!$A$3:$H$2883,3,0),"")</f>
        <v/>
      </c>
      <c r="E71" s="76" t="str">
        <f>IF($I71&gt;0,VLOOKUP(I71,'Lista de Precios'!$A$3:$H$2883,6,0),"")</f>
        <v/>
      </c>
      <c r="F71" s="76" t="str">
        <f>IF($I71&gt;0,VLOOKUP(I71,'Lista de Precios'!$A$3:$H$2883,8,0),"")</f>
        <v/>
      </c>
      <c r="G71" s="101" t="str">
        <f t="shared" si="3"/>
        <v/>
      </c>
      <c r="H71" s="20" t="s">
        <v>3</v>
      </c>
      <c r="I71" s="18"/>
      <c r="J71" s="28" t="str">
        <f t="shared" si="12"/>
        <v/>
      </c>
      <c r="K71" s="24">
        <f>+IF($I71&gt;0,VLOOKUP($I71,'Lista de Precios'!$A$3:$H$2883,5,0),0)</f>
        <v>0</v>
      </c>
      <c r="L71" s="37"/>
      <c r="M71" s="37"/>
      <c r="N71" s="37"/>
      <c r="O71" s="37"/>
      <c r="P71" s="40"/>
      <c r="Q71" s="39"/>
      <c r="R71" s="37"/>
      <c r="S71" s="37"/>
      <c r="T71" s="37"/>
      <c r="U71" s="37"/>
      <c r="V71" s="37"/>
      <c r="W71" s="37"/>
      <c r="X71" s="37"/>
      <c r="Y71" s="37"/>
      <c r="Z71" s="40"/>
      <c r="AA71" s="41"/>
      <c r="AB71" s="37"/>
      <c r="AC71" s="37"/>
      <c r="AD71" s="37"/>
      <c r="AE71" s="36"/>
      <c r="AF71" s="37"/>
      <c r="AG71" s="37"/>
      <c r="AH71" s="36"/>
      <c r="AI71" s="36"/>
      <c r="AJ71" s="42"/>
      <c r="AK71" s="42"/>
      <c r="AL71" s="42"/>
      <c r="AM71" s="73">
        <f t="shared" si="16"/>
        <v>0</v>
      </c>
      <c r="AN71" s="71" t="str">
        <f>+IF($I71&gt;0,VLOOKUP($I71,'Lista de Precios'!$A$3:$H$2883,4,0),"")</f>
        <v/>
      </c>
      <c r="AO71" s="68" t="str">
        <f t="shared" si="4"/>
        <v/>
      </c>
      <c r="AP71" s="7" t="str">
        <f>IF($I71&gt;0,VLOOKUP($I71,'Lista de Precios'!$A$3:$K$2883,10,0),"")</f>
        <v/>
      </c>
      <c r="AQ71" s="7" t="str">
        <f>IF($I71&gt;0,VLOOKUP($I71,'Lista de Precios'!$A$3:$M$4893,13,0),"")</f>
        <v/>
      </c>
      <c r="AR71" s="7" t="str">
        <f>IF($I71&gt;0,VLOOKUP(I71,'Lista de Precios'!$A$3:$M$2883,13,0),"")</f>
        <v/>
      </c>
      <c r="HR71" s="134"/>
      <c r="HS71" s="134"/>
      <c r="HT71" s="134"/>
      <c r="HU71" s="134"/>
      <c r="HV71" s="134"/>
      <c r="HW71" s="134"/>
      <c r="HX71" s="134"/>
      <c r="HY71" s="134"/>
      <c r="HZ71" s="134"/>
      <c r="IA71" s="134"/>
      <c r="IB71" s="134"/>
      <c r="IC71" s="134"/>
      <c r="IE71" s="134"/>
      <c r="IF71" s="134"/>
      <c r="IG71" s="134"/>
      <c r="IH71" s="134"/>
      <c r="II71" s="134"/>
      <c r="IJ71" s="134"/>
      <c r="IK71" s="134"/>
      <c r="IL71" s="134"/>
      <c r="IM71" s="134"/>
      <c r="IN71" s="135"/>
      <c r="IO71" s="135"/>
      <c r="IP71" s="135"/>
      <c r="XEP71" s="7" t="str">
        <f t="shared" si="5"/>
        <v/>
      </c>
      <c r="XEQ71" s="7" t="str">
        <f t="shared" si="6"/>
        <v/>
      </c>
      <c r="XER71" s="7" t="str">
        <f t="shared" si="7"/>
        <v/>
      </c>
      <c r="XES71" s="7" t="str">
        <f t="shared" si="8"/>
        <v/>
      </c>
    </row>
    <row r="72" spans="1:250 16370:16373" ht="23.25" customHeight="1" x14ac:dyDescent="0.25">
      <c r="A72" s="74">
        <f>IF($I72&gt;0,VLOOKUP(I72,'Lista de Precios'!$A$3:$L$2883,9,0),0)</f>
        <v>0</v>
      </c>
      <c r="B72" s="74">
        <f>IF($I72&gt;0,VLOOKUP(I72,'Lista de Precios'!$A$3:$H$2883,7,0),0)</f>
        <v>0</v>
      </c>
      <c r="C72" s="7" t="str">
        <f>IF($I72&gt;0,VLOOKUP(I72,'Lista de Precios'!$A$3:$H$2883,2,0),"")</f>
        <v/>
      </c>
      <c r="D72" s="7" t="str">
        <f>IF($I72&gt;0,VLOOKUP(I72,'Lista de Precios'!$A$3:$H$2883,3,0),"")</f>
        <v/>
      </c>
      <c r="E72" s="76" t="str">
        <f>IF($I72&gt;0,VLOOKUP(I72,'Lista de Precios'!$A$3:$H$2883,6,0),"")</f>
        <v/>
      </c>
      <c r="F72" s="76" t="str">
        <f>IF($I72&gt;0,VLOOKUP(I72,'Lista de Precios'!$A$3:$H$2883,8,0),"")</f>
        <v/>
      </c>
      <c r="G72" s="101" t="str">
        <f t="shared" si="3"/>
        <v/>
      </c>
      <c r="H72" s="20" t="s">
        <v>3</v>
      </c>
      <c r="I72" s="18"/>
      <c r="J72" s="28" t="str">
        <f t="shared" si="12"/>
        <v/>
      </c>
      <c r="K72" s="24">
        <f>+IF($I72&gt;0,VLOOKUP($I72,'Lista de Precios'!$A$3:$H$2883,5,0),0)</f>
        <v>0</v>
      </c>
      <c r="L72" s="37"/>
      <c r="M72" s="37"/>
      <c r="N72" s="37"/>
      <c r="O72" s="37"/>
      <c r="P72" s="40"/>
      <c r="Q72" s="39"/>
      <c r="R72" s="37"/>
      <c r="S72" s="37"/>
      <c r="T72" s="37"/>
      <c r="U72" s="37"/>
      <c r="V72" s="37"/>
      <c r="W72" s="37"/>
      <c r="X72" s="37"/>
      <c r="Y72" s="37"/>
      <c r="Z72" s="40"/>
      <c r="AA72" s="41"/>
      <c r="AB72" s="37"/>
      <c r="AC72" s="37"/>
      <c r="AD72" s="37"/>
      <c r="AE72" s="37"/>
      <c r="AF72" s="37"/>
      <c r="AG72" s="57"/>
      <c r="AH72" s="54"/>
      <c r="AI72" s="54"/>
      <c r="AJ72" s="54"/>
      <c r="AK72" s="54"/>
      <c r="AL72" s="54"/>
      <c r="AM72" s="73">
        <f t="shared" si="16"/>
        <v>0</v>
      </c>
      <c r="AN72" s="71" t="str">
        <f>+IF($I72&gt;0,VLOOKUP($I72,'Lista de Precios'!$A$3:$H$2883,4,0),"")</f>
        <v/>
      </c>
      <c r="AO72" s="68" t="str">
        <f t="shared" si="4"/>
        <v/>
      </c>
      <c r="AP72" s="7" t="str">
        <f>IF($I72&gt;0,VLOOKUP($I72,'Lista de Precios'!$A$3:$K$2883,10,0),"")</f>
        <v/>
      </c>
      <c r="AQ72" s="7" t="str">
        <f>IF($I72&gt;0,VLOOKUP($I72,'Lista de Precios'!$A$3:$M$4893,13,0),"")</f>
        <v/>
      </c>
      <c r="AR72" s="7" t="str">
        <f>IF($I72&gt;0,VLOOKUP(I72,'Lista de Precios'!$A$3:$M$2883,13,0),"")</f>
        <v/>
      </c>
      <c r="HR72" s="134"/>
      <c r="HS72" s="134"/>
      <c r="HT72" s="134"/>
      <c r="HU72" s="134"/>
      <c r="HV72" s="134"/>
      <c r="HW72" s="134"/>
      <c r="HX72" s="134"/>
      <c r="HY72" s="134"/>
      <c r="HZ72" s="134"/>
      <c r="IA72" s="134"/>
      <c r="IB72" s="134"/>
      <c r="IC72" s="134"/>
      <c r="IE72" s="134"/>
      <c r="IF72" s="134"/>
      <c r="IG72" s="134"/>
      <c r="IH72" s="134"/>
      <c r="II72" s="134"/>
      <c r="IJ72" s="134"/>
      <c r="IK72" s="134"/>
      <c r="IL72" s="134"/>
      <c r="IM72" s="134"/>
      <c r="IN72" s="135"/>
      <c r="IO72" s="135"/>
      <c r="IP72" s="135"/>
      <c r="XEP72" s="7" t="str">
        <f t="shared" si="5"/>
        <v/>
      </c>
      <c r="XEQ72" s="7" t="str">
        <f t="shared" si="6"/>
        <v/>
      </c>
      <c r="XER72" s="7" t="str">
        <f t="shared" si="7"/>
        <v/>
      </c>
      <c r="XES72" s="7" t="str">
        <f t="shared" si="8"/>
        <v/>
      </c>
    </row>
    <row r="73" spans="1:250 16370:16373" ht="23.25" customHeight="1" x14ac:dyDescent="0.25">
      <c r="A73" s="74">
        <f>IF($I73&gt;0,VLOOKUP(I73,'Lista de Precios'!$A$3:$L$2883,9,0),0)</f>
        <v>0</v>
      </c>
      <c r="B73" s="74">
        <f>IF($I73&gt;0,VLOOKUP(I73,'Lista de Precios'!$A$3:$H$2883,7,0),0)</f>
        <v>0</v>
      </c>
      <c r="C73" s="7" t="str">
        <f>IF($I73&gt;0,VLOOKUP(I73,'Lista de Precios'!$A$3:$H$2883,2,0),"")</f>
        <v/>
      </c>
      <c r="D73" s="7" t="str">
        <f>IF($I73&gt;0,VLOOKUP(I73,'Lista de Precios'!$A$3:$H$2883,3,0),"")</f>
        <v/>
      </c>
      <c r="E73" s="76" t="str">
        <f>IF($I73&gt;0,VLOOKUP(I73,'Lista de Precios'!$A$3:$H$2883,6,0),"")</f>
        <v/>
      </c>
      <c r="F73" s="76" t="str">
        <f>IF($I73&gt;0,VLOOKUP(I73,'Lista de Precios'!$A$3:$H$2883,8,0),"")</f>
        <v/>
      </c>
      <c r="G73" s="101" t="str">
        <f t="shared" si="3"/>
        <v/>
      </c>
      <c r="H73" s="20" t="s">
        <v>3</v>
      </c>
      <c r="I73" s="18"/>
      <c r="J73" s="28" t="str">
        <f t="shared" si="12"/>
        <v/>
      </c>
      <c r="K73" s="24">
        <f>+IF($I73&gt;0,VLOOKUP($I73,'Lista de Precios'!$A$3:$H$2883,5,0),0)</f>
        <v>0</v>
      </c>
      <c r="L73" s="37"/>
      <c r="M73" s="37"/>
      <c r="N73" s="37"/>
      <c r="O73" s="37"/>
      <c r="P73" s="40"/>
      <c r="Q73" s="39"/>
      <c r="R73" s="37"/>
      <c r="S73" s="37"/>
      <c r="T73" s="37"/>
      <c r="U73" s="37"/>
      <c r="V73" s="37"/>
      <c r="W73" s="37"/>
      <c r="X73" s="37"/>
      <c r="Y73" s="37"/>
      <c r="Z73" s="40"/>
      <c r="AA73" s="41"/>
      <c r="AB73" s="37"/>
      <c r="AC73" s="37"/>
      <c r="AD73" s="37"/>
      <c r="AE73" s="37"/>
      <c r="AF73" s="37"/>
      <c r="AG73" s="57"/>
      <c r="AH73" s="54"/>
      <c r="AI73" s="54"/>
      <c r="AJ73" s="42"/>
      <c r="AK73" s="42"/>
      <c r="AL73" s="42"/>
      <c r="AM73" s="73">
        <f t="shared" si="16"/>
        <v>0</v>
      </c>
      <c r="AN73" s="71" t="str">
        <f>+IF($I73&gt;0,VLOOKUP($I73,'Lista de Precios'!$A$3:$H$2883,4,0),"")</f>
        <v/>
      </c>
      <c r="AO73" s="68" t="str">
        <f t="shared" si="4"/>
        <v/>
      </c>
      <c r="AP73" s="7" t="str">
        <f>IF($I73&gt;0,VLOOKUP($I73,'Lista de Precios'!$A$3:$K$2883,10,0),"")</f>
        <v/>
      </c>
      <c r="AQ73" s="7" t="str">
        <f>IF($I73&gt;0,VLOOKUP($I73,'Lista de Precios'!$A$3:$M$4893,13,0),"")</f>
        <v/>
      </c>
      <c r="AR73" s="7" t="str">
        <f>IF($I73&gt;0,VLOOKUP(I73,'Lista de Precios'!$A$3:$M$2883,13,0),"")</f>
        <v/>
      </c>
      <c r="HR73" s="134"/>
      <c r="HS73" s="134"/>
      <c r="HT73" s="134"/>
      <c r="HU73" s="134"/>
      <c r="HV73" s="134"/>
      <c r="HW73" s="134"/>
      <c r="HX73" s="134"/>
      <c r="HY73" s="134"/>
      <c r="HZ73" s="134"/>
      <c r="IA73" s="134"/>
      <c r="IB73" s="134"/>
      <c r="IC73" s="134"/>
      <c r="IE73" s="134"/>
      <c r="IF73" s="134"/>
      <c r="IG73" s="134"/>
      <c r="IH73" s="134"/>
      <c r="II73" s="134"/>
      <c r="IJ73" s="134"/>
      <c r="IK73" s="134"/>
      <c r="IL73" s="134"/>
      <c r="IM73" s="134"/>
      <c r="IN73" s="135"/>
      <c r="IO73" s="135"/>
      <c r="IP73" s="135"/>
      <c r="XEP73" s="7" t="str">
        <f t="shared" si="5"/>
        <v/>
      </c>
      <c r="XEQ73" s="7" t="str">
        <f t="shared" si="6"/>
        <v/>
      </c>
      <c r="XER73" s="7" t="str">
        <f t="shared" si="7"/>
        <v/>
      </c>
      <c r="XES73" s="7" t="str">
        <f t="shared" si="8"/>
        <v/>
      </c>
    </row>
    <row r="74" spans="1:250 16370:16373" ht="23.25" customHeight="1" x14ac:dyDescent="0.25">
      <c r="A74" s="74">
        <f>IF($I74&gt;0,VLOOKUP(I74,'Lista de Precios'!$A$3:$L$2883,9,0),0)</f>
        <v>0</v>
      </c>
      <c r="B74" s="74">
        <f>IF($I74&gt;0,VLOOKUP(I74,'Lista de Precios'!$A$3:$H$2883,7,0),0)</f>
        <v>0</v>
      </c>
      <c r="C74" s="7" t="str">
        <f>IF($I74&gt;0,VLOOKUP(I74,'Lista de Precios'!$A$3:$H$2883,2,0),"")</f>
        <v/>
      </c>
      <c r="D74" s="7" t="str">
        <f>IF($I74&gt;0,VLOOKUP(I74,'Lista de Precios'!$A$3:$H$2883,3,0),"")</f>
        <v/>
      </c>
      <c r="E74" s="76" t="str">
        <f>IF($I74&gt;0,VLOOKUP(I74,'Lista de Precios'!$A$3:$H$2883,6,0),"")</f>
        <v/>
      </c>
      <c r="F74" s="76" t="str">
        <f>IF($I74&gt;0,VLOOKUP(I74,'Lista de Precios'!$A$3:$H$2883,8,0),"")</f>
        <v/>
      </c>
      <c r="G74" s="101" t="str">
        <f t="shared" si="3"/>
        <v/>
      </c>
      <c r="H74" s="20" t="s">
        <v>3</v>
      </c>
      <c r="I74" s="18"/>
      <c r="J74" s="28" t="str">
        <f t="shared" si="12"/>
        <v/>
      </c>
      <c r="K74" s="24">
        <f>+IF($I74&gt;0,VLOOKUP($I74,'Lista de Precios'!$A$3:$H$2883,5,0),0)</f>
        <v>0</v>
      </c>
      <c r="L74" s="37"/>
      <c r="M74" s="37"/>
      <c r="N74" s="37"/>
      <c r="O74" s="37"/>
      <c r="P74" s="40"/>
      <c r="Q74" s="39"/>
      <c r="R74" s="37"/>
      <c r="S74" s="37"/>
      <c r="T74" s="37"/>
      <c r="U74" s="37"/>
      <c r="V74" s="37"/>
      <c r="W74" s="37"/>
      <c r="X74" s="37"/>
      <c r="Y74" s="37"/>
      <c r="Z74" s="40"/>
      <c r="AA74" s="41"/>
      <c r="AB74" s="37"/>
      <c r="AC74" s="37"/>
      <c r="AD74" s="37"/>
      <c r="AE74" s="37"/>
      <c r="AF74" s="37"/>
      <c r="AG74" s="37"/>
      <c r="AH74" s="42"/>
      <c r="AI74" s="42"/>
      <c r="AJ74" s="43"/>
      <c r="AK74" s="43"/>
      <c r="AL74" s="43"/>
      <c r="AM74" s="73">
        <f t="shared" si="16"/>
        <v>0</v>
      </c>
      <c r="AN74" s="71" t="str">
        <f>+IF($I74&gt;0,VLOOKUP($I74,'Lista de Precios'!$A$3:$H$2883,4,0),"")</f>
        <v/>
      </c>
      <c r="AO74" s="68" t="str">
        <f t="shared" si="4"/>
        <v/>
      </c>
      <c r="AP74" s="7" t="str">
        <f>IF($I74&gt;0,VLOOKUP($I74,'Lista de Precios'!$A$3:$K$2883,10,0),"")</f>
        <v/>
      </c>
      <c r="AQ74" s="7" t="str">
        <f>IF($I74&gt;0,VLOOKUP($I74,'Lista de Precios'!$A$3:$M$4893,13,0),"")</f>
        <v/>
      </c>
      <c r="AR74" s="7" t="str">
        <f>IF($I74&gt;0,VLOOKUP(I74,'Lista de Precios'!$A$3:$M$2883,13,0),"")</f>
        <v/>
      </c>
      <c r="HR74" s="134"/>
      <c r="HS74" s="134"/>
      <c r="HT74" s="134"/>
      <c r="HU74" s="134"/>
      <c r="HV74" s="134"/>
      <c r="HW74" s="134"/>
      <c r="HX74" s="134"/>
      <c r="HY74" s="134"/>
      <c r="HZ74" s="134"/>
      <c r="IA74" s="134"/>
      <c r="IB74" s="134"/>
      <c r="IC74" s="134"/>
      <c r="IE74" s="134"/>
      <c r="IF74" s="134"/>
      <c r="IG74" s="134"/>
      <c r="IH74" s="134"/>
      <c r="II74" s="134"/>
      <c r="IJ74" s="134"/>
      <c r="IK74" s="134"/>
      <c r="IL74" s="134"/>
      <c r="IM74" s="134"/>
      <c r="IN74" s="135"/>
      <c r="IO74" s="135"/>
      <c r="IP74" s="135"/>
      <c r="XEP74" s="7" t="str">
        <f t="shared" si="5"/>
        <v/>
      </c>
      <c r="XEQ74" s="7" t="str">
        <f t="shared" si="6"/>
        <v/>
      </c>
      <c r="XER74" s="7" t="str">
        <f t="shared" si="7"/>
        <v/>
      </c>
      <c r="XES74" s="7" t="str">
        <f t="shared" si="8"/>
        <v/>
      </c>
    </row>
    <row r="75" spans="1:250 16370:16373" ht="23.25" customHeight="1" x14ac:dyDescent="0.25">
      <c r="A75" s="74">
        <f>IF($I75&gt;0,VLOOKUP(I75,'Lista de Precios'!$A$3:$L$2883,9,0),0)</f>
        <v>0</v>
      </c>
      <c r="B75" s="74">
        <f>IF($I75&gt;0,VLOOKUP(I75,'Lista de Precios'!$A$3:$H$2883,7,0),0)</f>
        <v>0</v>
      </c>
      <c r="C75" s="7" t="str">
        <f>IF($I75&gt;0,VLOOKUP(I75,'Lista de Precios'!$A$3:$H$2883,2,0),"")</f>
        <v/>
      </c>
      <c r="D75" s="7" t="str">
        <f>IF($I75&gt;0,VLOOKUP(I75,'Lista de Precios'!$A$3:$H$2883,3,0),"")</f>
        <v/>
      </c>
      <c r="E75" s="76" t="str">
        <f>IF($I75&gt;0,VLOOKUP(I75,'Lista de Precios'!$A$3:$H$2883,6,0),"")</f>
        <v/>
      </c>
      <c r="F75" s="76" t="str">
        <f>IF($I75&gt;0,VLOOKUP(I75,'Lista de Precios'!$A$3:$H$2883,8,0),"")</f>
        <v/>
      </c>
      <c r="G75" s="101" t="str">
        <f t="shared" si="3"/>
        <v/>
      </c>
      <c r="H75" s="20" t="s">
        <v>3</v>
      </c>
      <c r="I75" s="18"/>
      <c r="J75" s="28" t="str">
        <f t="shared" si="12"/>
        <v/>
      </c>
      <c r="K75" s="24">
        <f>+IF($I75&gt;0,VLOOKUP($I75,'Lista de Precios'!$A$3:$H$2883,5,0),0)</f>
        <v>0</v>
      </c>
      <c r="L75" s="36"/>
      <c r="M75" s="36"/>
      <c r="N75" s="36"/>
      <c r="O75" s="37"/>
      <c r="P75" s="38"/>
      <c r="Q75" s="39"/>
      <c r="R75" s="37"/>
      <c r="S75" s="37"/>
      <c r="T75" s="37"/>
      <c r="U75" s="37"/>
      <c r="V75" s="37"/>
      <c r="W75" s="37"/>
      <c r="X75" s="37"/>
      <c r="Y75" s="37"/>
      <c r="Z75" s="40"/>
      <c r="AA75" s="41"/>
      <c r="AB75" s="37"/>
      <c r="AC75" s="37"/>
      <c r="AD75" s="37"/>
      <c r="AE75" s="37"/>
      <c r="AF75" s="37"/>
      <c r="AG75" s="37"/>
      <c r="AH75" s="42"/>
      <c r="AI75" s="42"/>
      <c r="AJ75" s="43"/>
      <c r="AK75" s="43"/>
      <c r="AL75" s="43"/>
      <c r="AM75" s="73">
        <f t="shared" si="16"/>
        <v>0</v>
      </c>
      <c r="AN75" s="71" t="str">
        <f>+IF($I75&gt;0,VLOOKUP($I75,'Lista de Precios'!$A$3:$H$2883,4,0),"")</f>
        <v/>
      </c>
      <c r="AO75" s="68" t="str">
        <f t="shared" si="4"/>
        <v/>
      </c>
      <c r="AP75" s="7" t="str">
        <f>IF($I75&gt;0,VLOOKUP($I75,'Lista de Precios'!$A$3:$K$2883,10,0),"")</f>
        <v/>
      </c>
      <c r="AQ75" s="7" t="str">
        <f>IF($I75&gt;0,VLOOKUP($I75,'Lista de Precios'!$A$3:$M$4893,13,0),"")</f>
        <v/>
      </c>
      <c r="AR75" s="7" t="str">
        <f>IF($I75&gt;0,VLOOKUP(I75,'Lista de Precios'!$A$3:$M$2883,13,0),"")</f>
        <v/>
      </c>
      <c r="HR75" s="134"/>
      <c r="HS75" s="134"/>
      <c r="HT75" s="134"/>
      <c r="HU75" s="134"/>
      <c r="HV75" s="134"/>
      <c r="HW75" s="134"/>
      <c r="HX75" s="134"/>
      <c r="HY75" s="134"/>
      <c r="HZ75" s="134"/>
      <c r="IA75" s="134"/>
      <c r="IB75" s="134"/>
      <c r="IC75" s="134"/>
      <c r="IE75" s="134"/>
      <c r="IF75" s="134"/>
      <c r="IG75" s="134"/>
      <c r="IH75" s="134"/>
      <c r="II75" s="134"/>
      <c r="IJ75" s="134"/>
      <c r="IK75" s="134"/>
      <c r="IL75" s="134"/>
      <c r="IM75" s="134"/>
      <c r="IN75" s="135"/>
      <c r="IO75" s="135"/>
      <c r="IP75" s="135"/>
      <c r="XEP75" s="7" t="str">
        <f t="shared" si="5"/>
        <v/>
      </c>
      <c r="XEQ75" s="7" t="str">
        <f t="shared" si="6"/>
        <v/>
      </c>
      <c r="XER75" s="7" t="str">
        <f t="shared" si="7"/>
        <v/>
      </c>
      <c r="XES75" s="7" t="str">
        <f t="shared" si="8"/>
        <v/>
      </c>
    </row>
    <row r="76" spans="1:250 16370:16373" ht="23.25" customHeight="1" x14ac:dyDescent="0.25">
      <c r="A76" s="74">
        <f>IF($I76&gt;0,VLOOKUP(I76,'Lista de Precios'!$A$3:$L$2883,9,0),0)</f>
        <v>0</v>
      </c>
      <c r="B76" s="74">
        <f>IF($I76&gt;0,VLOOKUP(I76,'Lista de Precios'!$A$3:$H$2883,7,0),0)</f>
        <v>0</v>
      </c>
      <c r="C76" s="7" t="str">
        <f>IF($I76&gt;0,VLOOKUP(I76,'Lista de Precios'!$A$3:$H$2883,2,0),"")</f>
        <v/>
      </c>
      <c r="D76" s="7" t="str">
        <f>IF($I76&gt;0,VLOOKUP(I76,'Lista de Precios'!$A$3:$H$2883,3,0),"")</f>
        <v/>
      </c>
      <c r="E76" s="76" t="str">
        <f>IF($I76&gt;0,VLOOKUP(I76,'Lista de Precios'!$A$3:$H$2883,6,0),"")</f>
        <v/>
      </c>
      <c r="F76" s="76" t="str">
        <f>IF($I76&gt;0,VLOOKUP(I76,'Lista de Precios'!$A$3:$H$2883,8,0),"")</f>
        <v/>
      </c>
      <c r="G76" s="101" t="str">
        <f t="shared" si="3"/>
        <v/>
      </c>
      <c r="H76" s="20" t="s">
        <v>3</v>
      </c>
      <c r="I76" s="18"/>
      <c r="J76" s="28" t="str">
        <f t="shared" si="12"/>
        <v/>
      </c>
      <c r="K76" s="24">
        <f>+IF($I76&gt;0,VLOOKUP($I76,'Lista de Precios'!$A$3:$H$2883,5,0),0)</f>
        <v>0</v>
      </c>
      <c r="L76" s="37"/>
      <c r="M76" s="37"/>
      <c r="N76" s="37"/>
      <c r="O76" s="37"/>
      <c r="P76" s="40"/>
      <c r="Q76" s="39"/>
      <c r="R76" s="37"/>
      <c r="S76" s="37"/>
      <c r="T76" s="37"/>
      <c r="U76" s="37"/>
      <c r="V76" s="37"/>
      <c r="W76" s="37"/>
      <c r="X76" s="37"/>
      <c r="Y76" s="37"/>
      <c r="Z76" s="40"/>
      <c r="AA76" s="41"/>
      <c r="AB76" s="37"/>
      <c r="AC76" s="43"/>
      <c r="AD76" s="43"/>
      <c r="AE76" s="43"/>
      <c r="AF76" s="43"/>
      <c r="AG76" s="43"/>
      <c r="AH76" s="42"/>
      <c r="AI76" s="42"/>
      <c r="AJ76" s="42"/>
      <c r="AK76" s="42"/>
      <c r="AL76" s="43"/>
      <c r="AM76" s="73">
        <f t="shared" si="16"/>
        <v>0</v>
      </c>
      <c r="AN76" s="71" t="str">
        <f>+IF($I76&gt;0,VLOOKUP($I76,'Lista de Precios'!$A$3:$H$2883,4,0),"")</f>
        <v/>
      </c>
      <c r="AO76" s="68" t="str">
        <f t="shared" si="4"/>
        <v/>
      </c>
      <c r="AP76" s="7" t="str">
        <f>IF($I76&gt;0,VLOOKUP($I76,'Lista de Precios'!$A$3:$K$2883,10,0),"")</f>
        <v/>
      </c>
      <c r="AQ76" s="7" t="str">
        <f>IF($I76&gt;0,VLOOKUP($I76,'Lista de Precios'!$A$3:$M$4893,13,0),"")</f>
        <v/>
      </c>
      <c r="AR76" s="7" t="str">
        <f>IF($I76&gt;0,VLOOKUP(I76,'Lista de Precios'!$A$3:$M$2883,13,0),"")</f>
        <v/>
      </c>
      <c r="HR76" s="134"/>
      <c r="HS76" s="134"/>
      <c r="HT76" s="134"/>
      <c r="HU76" s="134"/>
      <c r="HV76" s="134"/>
      <c r="HW76" s="134"/>
      <c r="HX76" s="134"/>
      <c r="HY76" s="134"/>
      <c r="HZ76" s="134"/>
      <c r="IA76" s="134"/>
      <c r="IB76" s="134"/>
      <c r="IC76" s="134"/>
      <c r="IE76" s="134"/>
      <c r="IF76" s="134"/>
      <c r="IG76" s="134"/>
      <c r="IH76" s="134"/>
      <c r="II76" s="134"/>
      <c r="IJ76" s="134"/>
      <c r="IK76" s="134"/>
      <c r="IL76" s="134"/>
      <c r="IM76" s="134"/>
      <c r="IN76" s="135"/>
      <c r="IO76" s="135"/>
      <c r="IP76" s="135"/>
      <c r="XEP76" s="7" t="str">
        <f t="shared" si="5"/>
        <v/>
      </c>
      <c r="XEQ76" s="7" t="str">
        <f t="shared" si="6"/>
        <v/>
      </c>
      <c r="XER76" s="7" t="str">
        <f t="shared" si="7"/>
        <v/>
      </c>
      <c r="XES76" s="7" t="str">
        <f t="shared" si="8"/>
        <v/>
      </c>
    </row>
    <row r="77" spans="1:250 16370:16373" ht="23.25" customHeight="1" x14ac:dyDescent="0.25">
      <c r="A77" s="74">
        <f>IF($I77&gt;0,VLOOKUP(I77,'Lista de Precios'!$A$3:$L$2883,9,0),0)</f>
        <v>0</v>
      </c>
      <c r="B77" s="74">
        <f>IF($I77&gt;0,VLOOKUP(I77,'Lista de Precios'!$A$3:$H$2883,7,0),0)</f>
        <v>0</v>
      </c>
      <c r="C77" s="7" t="str">
        <f>IF($I77&gt;0,VLOOKUP(I77,'Lista de Precios'!$A$3:$H$2883,2,0),"")</f>
        <v/>
      </c>
      <c r="D77" s="7" t="str">
        <f>IF($I77&gt;0,VLOOKUP(I77,'Lista de Precios'!$A$3:$H$2883,3,0),"")</f>
        <v/>
      </c>
      <c r="E77" s="76" t="str">
        <f>IF($I77&gt;0,VLOOKUP(I77,'Lista de Precios'!$A$3:$H$2883,6,0),"")</f>
        <v/>
      </c>
      <c r="F77" s="76" t="str">
        <f>IF($I77&gt;0,VLOOKUP(I77,'Lista de Precios'!$A$3:$H$2883,8,0),"")</f>
        <v/>
      </c>
      <c r="G77" s="101" t="str">
        <f t="shared" si="3"/>
        <v/>
      </c>
      <c r="H77" s="20" t="s">
        <v>3</v>
      </c>
      <c r="I77" s="18"/>
      <c r="J77" s="28" t="str">
        <f t="shared" si="12"/>
        <v/>
      </c>
      <c r="K77" s="24">
        <f>+IF($I77&gt;0,VLOOKUP($I77,'Lista de Precios'!$A$3:$H$2883,5,0),0)</f>
        <v>0</v>
      </c>
      <c r="L77" s="36"/>
      <c r="M77" s="36"/>
      <c r="N77" s="36"/>
      <c r="O77" s="37"/>
      <c r="P77" s="38"/>
      <c r="Q77" s="45"/>
      <c r="R77" s="43"/>
      <c r="S77" s="43"/>
      <c r="T77" s="43"/>
      <c r="U77" s="43"/>
      <c r="V77" s="43"/>
      <c r="W77" s="43"/>
      <c r="X77" s="43"/>
      <c r="Y77" s="37"/>
      <c r="Z77" s="40"/>
      <c r="AA77" s="41"/>
      <c r="AB77" s="37"/>
      <c r="AC77" s="43"/>
      <c r="AD77" s="43"/>
      <c r="AE77" s="43"/>
      <c r="AF77" s="43"/>
      <c r="AG77" s="43"/>
      <c r="AH77" s="42"/>
      <c r="AI77" s="42"/>
      <c r="AJ77" s="42"/>
      <c r="AK77" s="42"/>
      <c r="AL77" s="43"/>
      <c r="AM77" s="73">
        <f t="shared" si="16"/>
        <v>0</v>
      </c>
      <c r="AN77" s="71" t="str">
        <f>+IF($I77&gt;0,VLOOKUP($I77,'Lista de Precios'!$A$3:$H$2883,4,0),"")</f>
        <v/>
      </c>
      <c r="AO77" s="68" t="str">
        <f t="shared" si="4"/>
        <v/>
      </c>
      <c r="AP77" s="7" t="str">
        <f>IF($I77&gt;0,VLOOKUP($I77,'Lista de Precios'!$A$3:$K$2883,10,0),"")</f>
        <v/>
      </c>
      <c r="AQ77" s="7" t="str">
        <f>IF($I77&gt;0,VLOOKUP($I77,'Lista de Precios'!$A$3:$M$4893,13,0),"")</f>
        <v/>
      </c>
      <c r="AR77" s="7" t="str">
        <f>IF($I77&gt;0,VLOOKUP(I77,'Lista de Precios'!$A$3:$M$2883,13,0),"")</f>
        <v/>
      </c>
      <c r="HR77" s="134"/>
      <c r="HS77" s="134"/>
      <c r="HT77" s="134"/>
      <c r="HU77" s="134"/>
      <c r="HV77" s="134"/>
      <c r="HW77" s="134"/>
      <c r="HX77" s="134"/>
      <c r="HY77" s="134"/>
      <c r="HZ77" s="134"/>
      <c r="IA77" s="134"/>
      <c r="IB77" s="134"/>
      <c r="IC77" s="134"/>
      <c r="IE77" s="134"/>
      <c r="IF77" s="134"/>
      <c r="IG77" s="134"/>
      <c r="IH77" s="134"/>
      <c r="II77" s="134"/>
      <c r="IJ77" s="134"/>
      <c r="IK77" s="134"/>
      <c r="IL77" s="134"/>
      <c r="IM77" s="134"/>
      <c r="IN77" s="135"/>
      <c r="IO77" s="135"/>
      <c r="IP77" s="135"/>
      <c r="XEP77" s="7" t="str">
        <f t="shared" si="5"/>
        <v/>
      </c>
      <c r="XEQ77" s="7" t="str">
        <f t="shared" si="6"/>
        <v/>
      </c>
      <c r="XER77" s="7" t="str">
        <f t="shared" si="7"/>
        <v/>
      </c>
      <c r="XES77" s="7" t="str">
        <f t="shared" si="8"/>
        <v/>
      </c>
    </row>
    <row r="78" spans="1:250 16370:16373" ht="23.25" customHeight="1" x14ac:dyDescent="0.25">
      <c r="A78" s="74">
        <f>IF($I78&gt;0,VLOOKUP(I78,'Lista de Precios'!$A$3:$L$2883,9,0),0)</f>
        <v>0</v>
      </c>
      <c r="B78" s="74">
        <f>IF($I78&gt;0,VLOOKUP(I78,'Lista de Precios'!$A$3:$H$2883,7,0),0)</f>
        <v>0</v>
      </c>
      <c r="C78" s="7" t="str">
        <f>IF($I78&gt;0,VLOOKUP(I78,'Lista de Precios'!$A$3:$H$2883,2,0),"")</f>
        <v/>
      </c>
      <c r="D78" s="7" t="str">
        <f>IF($I78&gt;0,VLOOKUP(I78,'Lista de Precios'!$A$3:$H$2883,3,0),"")</f>
        <v/>
      </c>
      <c r="E78" s="76" t="str">
        <f>IF($I78&gt;0,VLOOKUP(I78,'Lista de Precios'!$A$3:$H$2883,6,0),"")</f>
        <v/>
      </c>
      <c r="F78" s="76" t="str">
        <f>IF($I78&gt;0,VLOOKUP(I78,'Lista de Precios'!$A$3:$H$2883,8,0),"")</f>
        <v/>
      </c>
      <c r="G78" s="101" t="str">
        <f t="shared" si="3"/>
        <v/>
      </c>
      <c r="H78" s="20" t="s">
        <v>3</v>
      </c>
      <c r="I78" s="18"/>
      <c r="J78" s="28" t="str">
        <f t="shared" si="12"/>
        <v/>
      </c>
      <c r="K78" s="24">
        <f>+IF($I78&gt;0,VLOOKUP($I78,'Lista de Precios'!$A$3:$H$2883,5,0),0)</f>
        <v>0</v>
      </c>
      <c r="L78" s="42"/>
      <c r="M78" s="42"/>
      <c r="N78" s="42"/>
      <c r="O78" s="43"/>
      <c r="P78" s="46"/>
      <c r="Q78" s="45"/>
      <c r="R78" s="43"/>
      <c r="S78" s="43"/>
      <c r="T78" s="43"/>
      <c r="U78" s="43"/>
      <c r="V78" s="43"/>
      <c r="W78" s="43"/>
      <c r="X78" s="43"/>
      <c r="Y78" s="37"/>
      <c r="Z78" s="40"/>
      <c r="AA78" s="41"/>
      <c r="AB78" s="37"/>
      <c r="AC78" s="43"/>
      <c r="AD78" s="43"/>
      <c r="AE78" s="43"/>
      <c r="AF78" s="43"/>
      <c r="AG78" s="43"/>
      <c r="AH78" s="42"/>
      <c r="AI78" s="42"/>
      <c r="AJ78" s="42"/>
      <c r="AK78" s="42"/>
      <c r="AL78" s="43"/>
      <c r="AM78" s="73">
        <f t="shared" ref="AM78:AM100" si="17">+IF(I78&gt;0,SUM(L78:AL78),0)</f>
        <v>0</v>
      </c>
      <c r="AN78" s="71" t="str">
        <f>+IF($I78&gt;0,VLOOKUP($I78,'Lista de Precios'!$A$3:$H$2883,4,0),"")</f>
        <v/>
      </c>
      <c r="AO78" s="68" t="str">
        <f t="shared" si="4"/>
        <v/>
      </c>
      <c r="AP78" s="7" t="str">
        <f>IF($I78&gt;0,VLOOKUP($I78,'Lista de Precios'!$A$3:$K$2883,10,0),"")</f>
        <v/>
      </c>
      <c r="AQ78" s="7" t="str">
        <f>IF($I78&gt;0,VLOOKUP($I78,'Lista de Precios'!$A$3:$M$4893,13,0),"")</f>
        <v/>
      </c>
      <c r="AR78" s="7" t="str">
        <f>IF($I78&gt;0,VLOOKUP(I78,'Lista de Precios'!$A$3:$M$2883,13,0),"")</f>
        <v/>
      </c>
      <c r="HR78" s="134"/>
      <c r="HS78" s="134"/>
      <c r="HT78" s="134"/>
      <c r="HU78" s="134"/>
      <c r="HV78" s="134"/>
      <c r="HW78" s="134"/>
      <c r="HX78" s="134"/>
      <c r="HY78" s="134"/>
      <c r="HZ78" s="134"/>
      <c r="IA78" s="134"/>
      <c r="IB78" s="134"/>
      <c r="IC78" s="134"/>
      <c r="IE78" s="134"/>
      <c r="IF78" s="134"/>
      <c r="IG78" s="134"/>
      <c r="IH78" s="134"/>
      <c r="II78" s="134"/>
      <c r="IJ78" s="134"/>
      <c r="IK78" s="134"/>
      <c r="IL78" s="134"/>
      <c r="IM78" s="134"/>
      <c r="IN78" s="135"/>
      <c r="IO78" s="135"/>
      <c r="IP78" s="135"/>
      <c r="XEP78" s="7" t="str">
        <f t="shared" si="5"/>
        <v/>
      </c>
      <c r="XEQ78" s="7" t="str">
        <f t="shared" si="6"/>
        <v/>
      </c>
      <c r="XER78" s="7" t="str">
        <f t="shared" si="7"/>
        <v/>
      </c>
      <c r="XES78" s="7" t="str">
        <f t="shared" si="8"/>
        <v/>
      </c>
    </row>
    <row r="79" spans="1:250 16370:16373" ht="23.25" customHeight="1" x14ac:dyDescent="0.25">
      <c r="A79" s="74">
        <f>IF($I79&gt;0,VLOOKUP(I79,'Lista de Precios'!$A$3:$L$2883,9,0),0)</f>
        <v>0</v>
      </c>
      <c r="B79" s="74">
        <f>IF($I79&gt;0,VLOOKUP(I79,'Lista de Precios'!$A$3:$H$2883,7,0),0)</f>
        <v>0</v>
      </c>
      <c r="C79" s="7" t="str">
        <f>IF($I79&gt;0,VLOOKUP(I79,'Lista de Precios'!$A$3:$H$2883,2,0),"")</f>
        <v/>
      </c>
      <c r="D79" s="7" t="str">
        <f>IF($I79&gt;0,VLOOKUP(I79,'Lista de Precios'!$A$3:$H$2883,3,0),"")</f>
        <v/>
      </c>
      <c r="E79" s="76" t="str">
        <f>IF($I79&gt;0,VLOOKUP(I79,'Lista de Precios'!$A$3:$H$2883,6,0),"")</f>
        <v/>
      </c>
      <c r="F79" s="76" t="str">
        <f>IF($I79&gt;0,VLOOKUP(I79,'Lista de Precios'!$A$3:$H$2883,8,0),"")</f>
        <v/>
      </c>
      <c r="G79" s="101" t="str">
        <f t="shared" ref="G79:G100" si="18">IF(AN79="","",AN79*1.87)</f>
        <v/>
      </c>
      <c r="H79" s="20" t="s">
        <v>3</v>
      </c>
      <c r="I79" s="18"/>
      <c r="J79" s="28" t="str">
        <f t="shared" si="12"/>
        <v/>
      </c>
      <c r="K79" s="24">
        <f>+IF($I79&gt;0,VLOOKUP($I79,'Lista de Precios'!$A$3:$H$2883,5,0),0)</f>
        <v>0</v>
      </c>
      <c r="L79" s="43"/>
      <c r="M79" s="43"/>
      <c r="N79" s="43"/>
      <c r="O79" s="43"/>
      <c r="P79" s="44"/>
      <c r="Q79" s="45"/>
      <c r="R79" s="43"/>
      <c r="S79" s="43"/>
      <c r="T79" s="43"/>
      <c r="U79" s="43"/>
      <c r="V79" s="43"/>
      <c r="W79" s="43"/>
      <c r="X79" s="43"/>
      <c r="Y79" s="37"/>
      <c r="Z79" s="40"/>
      <c r="AA79" s="41"/>
      <c r="AB79" s="37"/>
      <c r="AC79" s="43"/>
      <c r="AD79" s="43"/>
      <c r="AE79" s="43"/>
      <c r="AF79" s="43"/>
      <c r="AG79" s="43"/>
      <c r="AH79" s="42"/>
      <c r="AI79" s="42"/>
      <c r="AJ79" s="42"/>
      <c r="AK79" s="42"/>
      <c r="AL79" s="43"/>
      <c r="AM79" s="73">
        <f t="shared" si="17"/>
        <v>0</v>
      </c>
      <c r="AN79" s="71" t="str">
        <f>+IF($I79&gt;0,VLOOKUP($I79,'Lista de Precios'!$A$3:$H$2883,4,0),"")</f>
        <v/>
      </c>
      <c r="AO79" s="68" t="str">
        <f t="shared" ref="AO79:AO100" si="19">+IF(AM79&gt;0,AN79*AM79,"")</f>
        <v/>
      </c>
      <c r="AP79" s="7" t="str">
        <f>IF($I79&gt;0,VLOOKUP($I79,'Lista de Precios'!$A$3:$K$2883,10,0),"")</f>
        <v/>
      </c>
      <c r="AQ79" s="7" t="str">
        <f>IF($I79&gt;0,VLOOKUP($I79,'Lista de Precios'!$A$3:$M$4893,13,0),"")</f>
        <v/>
      </c>
      <c r="AR79" s="7" t="str">
        <f>IF($I79&gt;0,VLOOKUP(I79,'Lista de Precios'!$A$3:$M$2883,13,0),"")</f>
        <v/>
      </c>
      <c r="HR79" s="134"/>
      <c r="HS79" s="134"/>
      <c r="HT79" s="134"/>
      <c r="HU79" s="134"/>
      <c r="HV79" s="134"/>
      <c r="HW79" s="134"/>
      <c r="HX79" s="134"/>
      <c r="HY79" s="134"/>
      <c r="HZ79" s="134"/>
      <c r="IA79" s="134"/>
      <c r="IB79" s="134"/>
      <c r="IC79" s="134"/>
      <c r="IE79" s="134"/>
      <c r="IF79" s="134"/>
      <c r="IG79" s="134"/>
      <c r="IH79" s="134"/>
      <c r="II79" s="134"/>
      <c r="IJ79" s="134"/>
      <c r="IK79" s="134"/>
      <c r="IL79" s="134"/>
      <c r="IM79" s="134"/>
      <c r="IN79" s="135"/>
      <c r="IO79" s="135"/>
      <c r="IP79" s="135"/>
      <c r="XEP79" s="7" t="str">
        <f t="shared" ref="XEP79:XEP93" si="20">+IF($AQ79=$XEP$13,$AM79,"")</f>
        <v/>
      </c>
      <c r="XEQ79" s="7" t="str">
        <f t="shared" ref="XEQ79:XEQ93" si="21">+IF($AQ79=$XEQ$13,$AM79,"")</f>
        <v/>
      </c>
      <c r="XER79" s="7" t="str">
        <f t="shared" ref="XER79:XER93" si="22">+IF($AQ79=$XER$13,$AM79,"")</f>
        <v/>
      </c>
      <c r="XES79" s="7" t="str">
        <f t="shared" ref="XES79:XES93" si="23">+IF($AQ79=$XES$13,$AM79,"")</f>
        <v/>
      </c>
    </row>
    <row r="80" spans="1:250 16370:16373" ht="23.25" customHeight="1" x14ac:dyDescent="0.25">
      <c r="A80" s="74">
        <f>IF($I80&gt;0,VLOOKUP(I80,'Lista de Precios'!$A$3:$L$2883,9,0),0)</f>
        <v>0</v>
      </c>
      <c r="B80" s="74">
        <f>IF($I80&gt;0,VLOOKUP(I80,'Lista de Precios'!$A$3:$H$2883,7,0),0)</f>
        <v>0</v>
      </c>
      <c r="C80" s="7" t="str">
        <f>IF($I80&gt;0,VLOOKUP(I80,'Lista de Precios'!$A$3:$H$2883,2,0),"")</f>
        <v/>
      </c>
      <c r="D80" s="7" t="str">
        <f>IF($I80&gt;0,VLOOKUP(I80,'Lista de Precios'!$A$3:$H$2883,3,0),"")</f>
        <v/>
      </c>
      <c r="E80" s="76" t="str">
        <f>IF($I80&gt;0,VLOOKUP(I80,'Lista de Precios'!$A$3:$H$2883,6,0),"")</f>
        <v/>
      </c>
      <c r="F80" s="76" t="str">
        <f>IF($I80&gt;0,VLOOKUP(I80,'Lista de Precios'!$A$3:$H$2883,8,0),"")</f>
        <v/>
      </c>
      <c r="G80" s="101" t="str">
        <f t="shared" si="18"/>
        <v/>
      </c>
      <c r="H80" s="20" t="s">
        <v>3</v>
      </c>
      <c r="I80" s="18"/>
      <c r="J80" s="28" t="str">
        <f t="shared" ref="J80:J100" si="24">+E80</f>
        <v/>
      </c>
      <c r="K80" s="24">
        <f>+IF($I80&gt;0,VLOOKUP($I80,'Lista de Precios'!$A$3:$H$2883,5,0),0)</f>
        <v>0</v>
      </c>
      <c r="L80" s="43"/>
      <c r="M80" s="43"/>
      <c r="N80" s="43"/>
      <c r="O80" s="37"/>
      <c r="P80" s="44"/>
      <c r="Q80" s="39"/>
      <c r="R80" s="37"/>
      <c r="S80" s="37"/>
      <c r="T80" s="37"/>
      <c r="U80" s="37"/>
      <c r="V80" s="37"/>
      <c r="W80" s="37"/>
      <c r="X80" s="37"/>
      <c r="Y80" s="37"/>
      <c r="Z80" s="40"/>
      <c r="AA80" s="41"/>
      <c r="AB80" s="37"/>
      <c r="AC80" s="43"/>
      <c r="AD80" s="43"/>
      <c r="AE80" s="43"/>
      <c r="AF80" s="43"/>
      <c r="AG80" s="43"/>
      <c r="AH80" s="42"/>
      <c r="AI80" s="42"/>
      <c r="AJ80" s="42"/>
      <c r="AK80" s="42"/>
      <c r="AL80" s="43"/>
      <c r="AM80" s="73">
        <f t="shared" si="17"/>
        <v>0</v>
      </c>
      <c r="AN80" s="71" t="str">
        <f>+IF($I80&gt;0,VLOOKUP($I80,'Lista de Precios'!$A$3:$H$2883,4,0),"")</f>
        <v/>
      </c>
      <c r="AO80" s="68" t="str">
        <f t="shared" si="19"/>
        <v/>
      </c>
      <c r="AP80" s="7" t="str">
        <f>IF($I80&gt;0,VLOOKUP($I80,'Lista de Precios'!$A$3:$K$2883,10,0),"")</f>
        <v/>
      </c>
      <c r="AQ80" s="7" t="str">
        <f>IF($I80&gt;0,VLOOKUP($I80,'Lista de Precios'!$A$3:$M$4893,13,0),"")</f>
        <v/>
      </c>
      <c r="AR80" s="7" t="str">
        <f>IF($I80&gt;0,VLOOKUP(I80,'Lista de Precios'!$A$3:$M$2883,13,0),"")</f>
        <v/>
      </c>
      <c r="HR80" s="134"/>
      <c r="HS80" s="134"/>
      <c r="HT80" s="134"/>
      <c r="HU80" s="134"/>
      <c r="HV80" s="134"/>
      <c r="HW80" s="134"/>
      <c r="HX80" s="134"/>
      <c r="HY80" s="134"/>
      <c r="HZ80" s="134"/>
      <c r="IA80" s="134"/>
      <c r="IB80" s="134"/>
      <c r="IC80" s="134"/>
      <c r="IE80" s="134"/>
      <c r="IF80" s="134"/>
      <c r="IG80" s="134"/>
      <c r="IH80" s="134"/>
      <c r="II80" s="134"/>
      <c r="IJ80" s="134"/>
      <c r="IK80" s="134"/>
      <c r="IL80" s="134"/>
      <c r="IM80" s="134"/>
      <c r="IN80" s="135"/>
      <c r="IO80" s="135"/>
      <c r="IP80" s="135"/>
      <c r="XEP80" s="7" t="str">
        <f t="shared" si="20"/>
        <v/>
      </c>
      <c r="XEQ80" s="7" t="str">
        <f t="shared" si="21"/>
        <v/>
      </c>
      <c r="XER80" s="7" t="str">
        <f t="shared" si="22"/>
        <v/>
      </c>
      <c r="XES80" s="7" t="str">
        <f t="shared" si="23"/>
        <v/>
      </c>
    </row>
    <row r="81" spans="1:250 16370:16373" ht="23.25" customHeight="1" x14ac:dyDescent="0.25">
      <c r="A81" s="74">
        <f>IF($I81&gt;0,VLOOKUP(I81,'Lista de Precios'!$A$3:$L$2883,9,0),0)</f>
        <v>0</v>
      </c>
      <c r="B81" s="74">
        <f>IF($I81&gt;0,VLOOKUP(I81,'Lista de Precios'!$A$3:$H$2883,7,0),0)</f>
        <v>0</v>
      </c>
      <c r="C81" s="7" t="str">
        <f>IF($I81&gt;0,VLOOKUP(I81,'Lista de Precios'!$A$3:$H$2883,2,0),"")</f>
        <v/>
      </c>
      <c r="D81" s="7" t="str">
        <f>IF($I81&gt;0,VLOOKUP(I81,'Lista de Precios'!$A$3:$H$2883,3,0),"")</f>
        <v/>
      </c>
      <c r="E81" s="76" t="str">
        <f>IF($I81&gt;0,VLOOKUP(I81,'Lista de Precios'!$A$3:$H$2883,6,0),"")</f>
        <v/>
      </c>
      <c r="F81" s="76" t="str">
        <f>IF($I81&gt;0,VLOOKUP(I81,'Lista de Precios'!$A$3:$H$2883,8,0),"")</f>
        <v/>
      </c>
      <c r="G81" s="101" t="str">
        <f t="shared" si="18"/>
        <v/>
      </c>
      <c r="H81" s="20" t="s">
        <v>3</v>
      </c>
      <c r="I81" s="18"/>
      <c r="J81" s="28" t="str">
        <f t="shared" si="24"/>
        <v/>
      </c>
      <c r="K81" s="24">
        <f>+IF($I81&gt;0,VLOOKUP($I81,'Lista de Precios'!$A$3:$H$2883,5,0),0)</f>
        <v>0</v>
      </c>
      <c r="L81" s="43"/>
      <c r="M81" s="43"/>
      <c r="N81" s="43"/>
      <c r="O81" s="43"/>
      <c r="P81" s="44"/>
      <c r="Q81" s="45"/>
      <c r="R81" s="43"/>
      <c r="S81" s="43"/>
      <c r="T81" s="43"/>
      <c r="U81" s="43"/>
      <c r="V81" s="43"/>
      <c r="W81" s="43"/>
      <c r="X81" s="43"/>
      <c r="Y81" s="37"/>
      <c r="Z81" s="40"/>
      <c r="AA81" s="41"/>
      <c r="AB81" s="37"/>
      <c r="AC81" s="37"/>
      <c r="AD81" s="37"/>
      <c r="AE81" s="37"/>
      <c r="AF81" s="37"/>
      <c r="AG81" s="43"/>
      <c r="AH81" s="42"/>
      <c r="AI81" s="42"/>
      <c r="AJ81" s="49"/>
      <c r="AK81" s="49"/>
      <c r="AL81" s="49"/>
      <c r="AM81" s="73">
        <f t="shared" si="17"/>
        <v>0</v>
      </c>
      <c r="AN81" s="71" t="str">
        <f>+IF($I81&gt;0,VLOOKUP($I81,'Lista de Precios'!$A$3:$H$2883,4,0),"")</f>
        <v/>
      </c>
      <c r="AO81" s="68" t="str">
        <f t="shared" si="19"/>
        <v/>
      </c>
      <c r="AP81" s="7" t="str">
        <f>IF($I81&gt;0,VLOOKUP($I81,'Lista de Precios'!$A$3:$K$2883,10,0),"")</f>
        <v/>
      </c>
      <c r="AQ81" s="7" t="str">
        <f>IF($I81&gt;0,VLOOKUP($I81,'Lista de Precios'!$A$3:$M$4893,13,0),"")</f>
        <v/>
      </c>
      <c r="AR81" s="7" t="str">
        <f>IF($I81&gt;0,VLOOKUP(I81,'Lista de Precios'!$A$3:$M$2883,13,0),"")</f>
        <v/>
      </c>
      <c r="HR81" s="134"/>
      <c r="HS81" s="134"/>
      <c r="HT81" s="134"/>
      <c r="HU81" s="134"/>
      <c r="HV81" s="134"/>
      <c r="HW81" s="134"/>
      <c r="HX81" s="134"/>
      <c r="HY81" s="134"/>
      <c r="HZ81" s="134"/>
      <c r="IA81" s="134"/>
      <c r="IB81" s="134"/>
      <c r="IC81" s="134"/>
      <c r="IE81" s="134"/>
      <c r="IF81" s="134"/>
      <c r="IG81" s="134"/>
      <c r="IH81" s="134"/>
      <c r="II81" s="134"/>
      <c r="IJ81" s="134"/>
      <c r="IK81" s="134"/>
      <c r="IL81" s="134"/>
      <c r="IM81" s="134"/>
      <c r="IN81" s="135"/>
      <c r="IO81" s="135"/>
      <c r="IP81" s="135"/>
      <c r="XEP81" s="7" t="str">
        <f t="shared" si="20"/>
        <v/>
      </c>
      <c r="XEQ81" s="7" t="str">
        <f t="shared" si="21"/>
        <v/>
      </c>
      <c r="XER81" s="7" t="str">
        <f t="shared" si="22"/>
        <v/>
      </c>
      <c r="XES81" s="7" t="str">
        <f t="shared" si="23"/>
        <v/>
      </c>
    </row>
    <row r="82" spans="1:250 16370:16373" ht="23.25" customHeight="1" x14ac:dyDescent="0.25">
      <c r="A82" s="74">
        <f>IF($I82&gt;0,VLOOKUP(I82,'Lista de Precios'!$A$3:$L$2883,9,0),0)</f>
        <v>0</v>
      </c>
      <c r="B82" s="74">
        <f>IF($I82&gt;0,VLOOKUP(I82,'Lista de Precios'!$A$3:$H$2883,7,0),0)</f>
        <v>0</v>
      </c>
      <c r="C82" s="7" t="str">
        <f>IF($I82&gt;0,VLOOKUP(I82,'Lista de Precios'!$A$3:$H$2883,2,0),"")</f>
        <v/>
      </c>
      <c r="D82" s="7" t="str">
        <f>IF($I82&gt;0,VLOOKUP(I82,'Lista de Precios'!$A$3:$H$2883,3,0),"")</f>
        <v/>
      </c>
      <c r="E82" s="76" t="str">
        <f>IF($I82&gt;0,VLOOKUP(I82,'Lista de Precios'!$A$3:$H$2883,6,0),"")</f>
        <v/>
      </c>
      <c r="F82" s="76" t="str">
        <f>IF($I82&gt;0,VLOOKUP(I82,'Lista de Precios'!$A$3:$H$2883,8,0),"")</f>
        <v/>
      </c>
      <c r="G82" s="101" t="str">
        <f t="shared" si="18"/>
        <v/>
      </c>
      <c r="H82" s="20" t="s">
        <v>3</v>
      </c>
      <c r="I82" s="18"/>
      <c r="J82" s="28" t="str">
        <f t="shared" si="24"/>
        <v/>
      </c>
      <c r="K82" s="24">
        <f>+IF($I82&gt;0,VLOOKUP($I82,'Lista de Precios'!$A$3:$H$2883,5,0),0)</f>
        <v>0</v>
      </c>
      <c r="L82" s="48"/>
      <c r="M82" s="48"/>
      <c r="N82" s="48"/>
      <c r="O82" s="48"/>
      <c r="P82" s="47"/>
      <c r="Q82" s="50"/>
      <c r="R82" s="43"/>
      <c r="S82" s="43"/>
      <c r="T82" s="43"/>
      <c r="U82" s="43"/>
      <c r="V82" s="43"/>
      <c r="W82" s="43"/>
      <c r="X82" s="43"/>
      <c r="Y82" s="37"/>
      <c r="Z82" s="40"/>
      <c r="AA82" s="41"/>
      <c r="AB82" s="37"/>
      <c r="AC82" s="37"/>
      <c r="AD82" s="37"/>
      <c r="AE82" s="37"/>
      <c r="AF82" s="37"/>
      <c r="AG82" s="43"/>
      <c r="AH82" s="42"/>
      <c r="AI82" s="42"/>
      <c r="AJ82" s="49"/>
      <c r="AK82" s="49"/>
      <c r="AL82" s="48"/>
      <c r="AM82" s="73">
        <f t="shared" si="17"/>
        <v>0</v>
      </c>
      <c r="AN82" s="71" t="str">
        <f>+IF($I82&gt;0,VLOOKUP($I82,'Lista de Precios'!$A$3:$H$2883,4,0),"")</f>
        <v/>
      </c>
      <c r="AO82" s="68" t="str">
        <f t="shared" si="19"/>
        <v/>
      </c>
      <c r="AP82" s="7" t="str">
        <f>IF($I82&gt;0,VLOOKUP($I82,'Lista de Precios'!$A$3:$K$2883,10,0),"")</f>
        <v/>
      </c>
      <c r="AQ82" s="7" t="str">
        <f>IF($I82&gt;0,VLOOKUP($I82,'Lista de Precios'!$A$3:$M$4893,13,0),"")</f>
        <v/>
      </c>
      <c r="AR82" s="7" t="str">
        <f>IF($I82&gt;0,VLOOKUP(I82,'Lista de Precios'!$A$3:$M$2883,13,0),"")</f>
        <v/>
      </c>
      <c r="HR82" s="134"/>
      <c r="HS82" s="134"/>
      <c r="HT82" s="134"/>
      <c r="HU82" s="134"/>
      <c r="HV82" s="134"/>
      <c r="HW82" s="134"/>
      <c r="HX82" s="134"/>
      <c r="HY82" s="134"/>
      <c r="HZ82" s="134"/>
      <c r="IA82" s="134"/>
      <c r="IB82" s="134"/>
      <c r="IC82" s="134"/>
      <c r="IE82" s="134"/>
      <c r="IF82" s="134"/>
      <c r="IG82" s="134"/>
      <c r="IH82" s="134"/>
      <c r="II82" s="134"/>
      <c r="IJ82" s="134"/>
      <c r="IK82" s="134"/>
      <c r="IL82" s="134"/>
      <c r="IM82" s="134"/>
      <c r="IN82" s="135"/>
      <c r="IO82" s="135"/>
      <c r="IP82" s="135"/>
      <c r="XEP82" s="7" t="str">
        <f t="shared" si="20"/>
        <v/>
      </c>
      <c r="XEQ82" s="7" t="str">
        <f t="shared" si="21"/>
        <v/>
      </c>
      <c r="XER82" s="7" t="str">
        <f t="shared" si="22"/>
        <v/>
      </c>
      <c r="XES82" s="7" t="str">
        <f t="shared" si="23"/>
        <v/>
      </c>
    </row>
    <row r="83" spans="1:250 16370:16373" ht="23.25" customHeight="1" x14ac:dyDescent="0.25">
      <c r="A83" s="74">
        <f>IF($I83&gt;0,VLOOKUP(I83,'Lista de Precios'!$A$3:$L$2883,9,0),0)</f>
        <v>0</v>
      </c>
      <c r="B83" s="74">
        <f>IF($I83&gt;0,VLOOKUP(I83,'Lista de Precios'!$A$3:$H$2883,7,0),0)</f>
        <v>0</v>
      </c>
      <c r="C83" s="7" t="str">
        <f>IF($I83&gt;0,VLOOKUP(I83,'Lista de Precios'!$A$3:$H$2883,2,0),"")</f>
        <v/>
      </c>
      <c r="D83" s="7" t="str">
        <f>IF($I83&gt;0,VLOOKUP(I83,'Lista de Precios'!$A$3:$H$2883,3,0),"")</f>
        <v/>
      </c>
      <c r="E83" s="76" t="str">
        <f>IF($I83&gt;0,VLOOKUP(I83,'Lista de Precios'!$A$3:$H$2883,6,0),"")</f>
        <v/>
      </c>
      <c r="F83" s="76" t="str">
        <f>IF($I83&gt;0,VLOOKUP(I83,'Lista de Precios'!$A$3:$H$2883,8,0),"")</f>
        <v/>
      </c>
      <c r="G83" s="101" t="str">
        <f t="shared" si="18"/>
        <v/>
      </c>
      <c r="H83" s="20" t="s">
        <v>3</v>
      </c>
      <c r="I83" s="18"/>
      <c r="J83" s="28" t="str">
        <f t="shared" si="24"/>
        <v/>
      </c>
      <c r="K83" s="24">
        <f>+IF($I83&gt;0,VLOOKUP($I83,'Lista de Precios'!$A$3:$H$2883,5,0),0)</f>
        <v>0</v>
      </c>
      <c r="L83" s="51"/>
      <c r="M83" s="51"/>
      <c r="N83" s="51"/>
      <c r="O83" s="48"/>
      <c r="P83" s="52"/>
      <c r="Q83" s="50"/>
      <c r="R83" s="43"/>
      <c r="S83" s="43"/>
      <c r="T83" s="43"/>
      <c r="U83" s="43"/>
      <c r="V83" s="43"/>
      <c r="W83" s="43"/>
      <c r="X83" s="43"/>
      <c r="Y83" s="43"/>
      <c r="Z83" s="44"/>
      <c r="AA83" s="53"/>
      <c r="AB83" s="48"/>
      <c r="AC83" s="48"/>
      <c r="AD83" s="48"/>
      <c r="AE83" s="48"/>
      <c r="AF83" s="48"/>
      <c r="AG83" s="54"/>
      <c r="AH83" s="54"/>
      <c r="AI83" s="54"/>
      <c r="AJ83" s="54"/>
      <c r="AK83" s="54"/>
      <c r="AL83" s="54"/>
      <c r="AM83" s="73">
        <f t="shared" si="17"/>
        <v>0</v>
      </c>
      <c r="AN83" s="71" t="str">
        <f>+IF($I83&gt;0,VLOOKUP($I83,'Lista de Precios'!$A$3:$H$2883,4,0),"")</f>
        <v/>
      </c>
      <c r="AO83" s="68" t="str">
        <f t="shared" si="19"/>
        <v/>
      </c>
      <c r="AP83" s="7" t="str">
        <f>IF($I83&gt;0,VLOOKUP($I83,'Lista de Precios'!$A$3:$K$2883,10,0),"")</f>
        <v/>
      </c>
      <c r="AQ83" s="7" t="str">
        <f>IF($I83&gt;0,VLOOKUP($I83,'Lista de Precios'!$A$3:$M$4893,13,0),"")</f>
        <v/>
      </c>
      <c r="AR83" s="7" t="str">
        <f>IF($I83&gt;0,VLOOKUP(I83,'Lista de Precios'!$A$3:$M$2883,13,0),"")</f>
        <v/>
      </c>
      <c r="HR83" s="134"/>
      <c r="HS83" s="134"/>
      <c r="HT83" s="134"/>
      <c r="HU83" s="134"/>
      <c r="HV83" s="134"/>
      <c r="HW83" s="134"/>
      <c r="HX83" s="134"/>
      <c r="HY83" s="134"/>
      <c r="HZ83" s="134"/>
      <c r="IA83" s="134"/>
      <c r="IB83" s="134"/>
      <c r="IC83" s="134"/>
      <c r="IE83" s="134"/>
      <c r="IF83" s="134"/>
      <c r="IG83" s="134"/>
      <c r="IH83" s="134"/>
      <c r="II83" s="134"/>
      <c r="IJ83" s="134"/>
      <c r="IK83" s="134"/>
      <c r="IL83" s="134"/>
      <c r="IM83" s="134"/>
      <c r="IN83" s="135"/>
      <c r="IO83" s="135"/>
      <c r="IP83" s="135"/>
      <c r="XEP83" s="7" t="str">
        <f t="shared" si="20"/>
        <v/>
      </c>
      <c r="XEQ83" s="7" t="str">
        <f t="shared" si="21"/>
        <v/>
      </c>
      <c r="XER83" s="7" t="str">
        <f t="shared" si="22"/>
        <v/>
      </c>
      <c r="XES83" s="7" t="str">
        <f t="shared" si="23"/>
        <v/>
      </c>
    </row>
    <row r="84" spans="1:250 16370:16373" ht="23.25" customHeight="1" x14ac:dyDescent="0.25">
      <c r="A84" s="74">
        <f>IF($I84&gt;0,VLOOKUP(I84,'Lista de Precios'!$A$3:$L$2883,9,0),0)</f>
        <v>0</v>
      </c>
      <c r="B84" s="74">
        <f>IF($I84&gt;0,VLOOKUP(I84,'Lista de Precios'!$A$3:$H$2883,7,0),0)</f>
        <v>0</v>
      </c>
      <c r="C84" s="7" t="str">
        <f>IF($I84&gt;0,VLOOKUP(I84,'Lista de Precios'!$A$3:$H$2883,2,0),"")</f>
        <v/>
      </c>
      <c r="D84" s="7" t="str">
        <f>IF($I84&gt;0,VLOOKUP(I84,'Lista de Precios'!$A$3:$H$2883,3,0),"")</f>
        <v/>
      </c>
      <c r="E84" s="76" t="str">
        <f>IF($I84&gt;0,VLOOKUP(I84,'Lista de Precios'!$A$3:$H$2883,6,0),"")</f>
        <v/>
      </c>
      <c r="F84" s="76" t="str">
        <f>IF($I84&gt;0,VLOOKUP(I84,'Lista de Precios'!$A$3:$H$2883,8,0),"")</f>
        <v/>
      </c>
      <c r="G84" s="101" t="str">
        <f t="shared" si="18"/>
        <v/>
      </c>
      <c r="H84" s="20" t="s">
        <v>3</v>
      </c>
      <c r="I84" s="18"/>
      <c r="J84" s="28" t="str">
        <f t="shared" si="24"/>
        <v/>
      </c>
      <c r="K84" s="24">
        <f>+IF($I84&gt;0,VLOOKUP($I84,'Lista de Precios'!$A$3:$H$2883,5,0),0)</f>
        <v>0</v>
      </c>
      <c r="L84" s="54"/>
      <c r="M84" s="54"/>
      <c r="N84" s="54"/>
      <c r="O84" s="48"/>
      <c r="P84" s="55"/>
      <c r="Q84" s="50"/>
      <c r="R84" s="43"/>
      <c r="S84" s="43"/>
      <c r="T84" s="43"/>
      <c r="U84" s="43"/>
      <c r="V84" s="43"/>
      <c r="W84" s="43"/>
      <c r="X84" s="43"/>
      <c r="Y84" s="43"/>
      <c r="Z84" s="44"/>
      <c r="AA84" s="53"/>
      <c r="AB84" s="48"/>
      <c r="AC84" s="48"/>
      <c r="AD84" s="48"/>
      <c r="AE84" s="48"/>
      <c r="AF84" s="48"/>
      <c r="AG84" s="54"/>
      <c r="AH84" s="54"/>
      <c r="AI84" s="54"/>
      <c r="AJ84" s="54"/>
      <c r="AK84" s="54"/>
      <c r="AL84" s="54"/>
      <c r="AM84" s="73">
        <f t="shared" si="17"/>
        <v>0</v>
      </c>
      <c r="AN84" s="71" t="str">
        <f>+IF($I84&gt;0,VLOOKUP($I84,'Lista de Precios'!$A$3:$H$2883,4,0),"")</f>
        <v/>
      </c>
      <c r="AO84" s="68" t="str">
        <f t="shared" si="19"/>
        <v/>
      </c>
      <c r="AP84" s="7" t="str">
        <f>IF($I84&gt;0,VLOOKUP($I84,'Lista de Precios'!$A$3:$K$2883,10,0),"")</f>
        <v/>
      </c>
      <c r="AQ84" s="7" t="str">
        <f>IF($I84&gt;0,VLOOKUP($I84,'Lista de Precios'!$A$3:$M$4893,13,0),"")</f>
        <v/>
      </c>
      <c r="AR84" s="7" t="str">
        <f>IF($I84&gt;0,VLOOKUP(I84,'Lista de Precios'!$A$3:$M$2883,13,0),"")</f>
        <v/>
      </c>
      <c r="HR84" s="134"/>
      <c r="HS84" s="134"/>
      <c r="HT84" s="134"/>
      <c r="HU84" s="134"/>
      <c r="HV84" s="134"/>
      <c r="HW84" s="134"/>
      <c r="HX84" s="134"/>
      <c r="HY84" s="134"/>
      <c r="HZ84" s="134"/>
      <c r="IA84" s="134"/>
      <c r="IB84" s="134"/>
      <c r="IC84" s="134"/>
      <c r="IE84" s="134"/>
      <c r="IF84" s="134"/>
      <c r="IG84" s="134"/>
      <c r="IH84" s="134"/>
      <c r="II84" s="134"/>
      <c r="IJ84" s="134"/>
      <c r="IK84" s="134"/>
      <c r="IL84" s="134"/>
      <c r="IM84" s="134"/>
      <c r="IN84" s="135"/>
      <c r="IO84" s="135"/>
      <c r="IP84" s="135"/>
      <c r="XEP84" s="7" t="str">
        <f t="shared" si="20"/>
        <v/>
      </c>
      <c r="XEQ84" s="7" t="str">
        <f t="shared" si="21"/>
        <v/>
      </c>
      <c r="XER84" s="7" t="str">
        <f t="shared" si="22"/>
        <v/>
      </c>
      <c r="XES84" s="7" t="str">
        <f t="shared" si="23"/>
        <v/>
      </c>
    </row>
    <row r="85" spans="1:250 16370:16373" ht="23.25" customHeight="1" x14ac:dyDescent="0.25">
      <c r="A85" s="74">
        <f>IF($I85&gt;0,VLOOKUP(I85,'Lista de Precios'!$A$3:$L$2883,9,0),0)</f>
        <v>0</v>
      </c>
      <c r="B85" s="74">
        <f>IF($I85&gt;0,VLOOKUP(I85,'Lista de Precios'!$A$3:$H$2883,7,0),0)</f>
        <v>0</v>
      </c>
      <c r="C85" s="7" t="str">
        <f>IF($I85&gt;0,VLOOKUP(I85,'Lista de Precios'!$A$3:$H$2883,2,0),"")</f>
        <v/>
      </c>
      <c r="D85" s="7" t="str">
        <f>IF($I85&gt;0,VLOOKUP(I85,'Lista de Precios'!$A$3:$H$2883,3,0),"")</f>
        <v/>
      </c>
      <c r="E85" s="76" t="str">
        <f>IF($I85&gt;0,VLOOKUP(I85,'Lista de Precios'!$A$3:$H$2883,6,0),"")</f>
        <v/>
      </c>
      <c r="F85" s="76" t="str">
        <f>IF($I85&gt;0,VLOOKUP(I85,'Lista de Precios'!$A$3:$H$2883,8,0),"")</f>
        <v/>
      </c>
      <c r="G85" s="101" t="str">
        <f t="shared" si="18"/>
        <v/>
      </c>
      <c r="H85" s="20" t="s">
        <v>3</v>
      </c>
      <c r="I85" s="18"/>
      <c r="J85" s="28" t="str">
        <f t="shared" si="24"/>
        <v/>
      </c>
      <c r="K85" s="24">
        <f>+IF($I85&gt;0,VLOOKUP($I85,'Lista de Precios'!$A$3:$H$2883,5,0),0)</f>
        <v>0</v>
      </c>
      <c r="L85" s="43"/>
      <c r="M85" s="43"/>
      <c r="N85" s="43"/>
      <c r="O85" s="48"/>
      <c r="P85" s="44"/>
      <c r="Q85" s="50"/>
      <c r="R85" s="43"/>
      <c r="S85" s="43"/>
      <c r="T85" s="43"/>
      <c r="U85" s="43"/>
      <c r="V85" s="43"/>
      <c r="W85" s="43"/>
      <c r="X85" s="43"/>
      <c r="Y85" s="43"/>
      <c r="Z85" s="44"/>
      <c r="AA85" s="53"/>
      <c r="AB85" s="48"/>
      <c r="AC85" s="48"/>
      <c r="AD85" s="48"/>
      <c r="AE85" s="49"/>
      <c r="AF85" s="48"/>
      <c r="AG85" s="43"/>
      <c r="AH85" s="42"/>
      <c r="AI85" s="42"/>
      <c r="AJ85" s="42"/>
      <c r="AK85" s="42"/>
      <c r="AL85" s="42"/>
      <c r="AM85" s="73">
        <f t="shared" si="17"/>
        <v>0</v>
      </c>
      <c r="AN85" s="71" t="str">
        <f>+IF($I85&gt;0,VLOOKUP($I85,'Lista de Precios'!$A$3:$H$2883,4,0),"")</f>
        <v/>
      </c>
      <c r="AO85" s="68" t="str">
        <f t="shared" si="19"/>
        <v/>
      </c>
      <c r="AP85" s="7" t="str">
        <f>IF($I85&gt;0,VLOOKUP($I85,'Lista de Precios'!$A$3:$K$2883,10,0),"")</f>
        <v/>
      </c>
      <c r="AQ85" s="7" t="str">
        <f>IF($I85&gt;0,VLOOKUP($I85,'Lista de Precios'!$A$3:$M$4893,13,0),"")</f>
        <v/>
      </c>
      <c r="AR85" s="7" t="str">
        <f>IF($I85&gt;0,VLOOKUP(I85,'Lista de Precios'!$A$3:$M$2883,13,0),"")</f>
        <v/>
      </c>
      <c r="HR85" s="134"/>
      <c r="HS85" s="134"/>
      <c r="HT85" s="134"/>
      <c r="HU85" s="134"/>
      <c r="HV85" s="134"/>
      <c r="HW85" s="134"/>
      <c r="HX85" s="134"/>
      <c r="HY85" s="134"/>
      <c r="HZ85" s="134"/>
      <c r="IA85" s="134"/>
      <c r="IB85" s="134"/>
      <c r="IC85" s="134"/>
      <c r="IE85" s="134"/>
      <c r="IF85" s="134"/>
      <c r="IG85" s="134"/>
      <c r="IH85" s="134"/>
      <c r="II85" s="134"/>
      <c r="IJ85" s="134"/>
      <c r="IK85" s="134"/>
      <c r="IL85" s="134"/>
      <c r="IM85" s="134"/>
      <c r="IN85" s="135"/>
      <c r="IO85" s="135"/>
      <c r="IP85" s="135"/>
      <c r="XEP85" s="7" t="str">
        <f t="shared" si="20"/>
        <v/>
      </c>
      <c r="XEQ85" s="7" t="str">
        <f t="shared" si="21"/>
        <v/>
      </c>
      <c r="XER85" s="7" t="str">
        <f t="shared" si="22"/>
        <v/>
      </c>
      <c r="XES85" s="7" t="str">
        <f t="shared" si="23"/>
        <v/>
      </c>
    </row>
    <row r="86" spans="1:250 16370:16373" ht="23.25" customHeight="1" x14ac:dyDescent="0.25">
      <c r="A86" s="74">
        <f>IF($I86&gt;0,VLOOKUP(I86,'Lista de Precios'!$A$3:$L$2883,9,0),0)</f>
        <v>0</v>
      </c>
      <c r="B86" s="74">
        <f>IF($I86&gt;0,VLOOKUP(I86,'Lista de Precios'!$A$3:$H$2883,7,0),0)</f>
        <v>0</v>
      </c>
      <c r="C86" s="7" t="str">
        <f>IF($I86&gt;0,VLOOKUP(I86,'Lista de Precios'!$A$3:$H$2883,2,0),"")</f>
        <v/>
      </c>
      <c r="D86" s="7" t="str">
        <f>IF($I86&gt;0,VLOOKUP(I86,'Lista de Precios'!$A$3:$H$2883,3,0),"")</f>
        <v/>
      </c>
      <c r="E86" s="76" t="str">
        <f>IF($I86&gt;0,VLOOKUP(I86,'Lista de Precios'!$A$3:$H$2883,6,0),"")</f>
        <v/>
      </c>
      <c r="F86" s="76" t="str">
        <f>IF($I86&gt;0,VLOOKUP(I86,'Lista de Precios'!$A$3:$H$2883,8,0),"")</f>
        <v/>
      </c>
      <c r="G86" s="101" t="str">
        <f t="shared" si="18"/>
        <v/>
      </c>
      <c r="H86" s="20" t="s">
        <v>3</v>
      </c>
      <c r="I86" s="18"/>
      <c r="J86" s="28" t="str">
        <f t="shared" si="24"/>
        <v/>
      </c>
      <c r="K86" s="24">
        <f>+IF($I86&gt;0,VLOOKUP($I86,'Lista de Precios'!$A$3:$H$2883,5,0),0)</f>
        <v>0</v>
      </c>
      <c r="L86" s="54"/>
      <c r="M86" s="54"/>
      <c r="N86" s="54"/>
      <c r="O86" s="43"/>
      <c r="P86" s="55"/>
      <c r="Q86" s="45"/>
      <c r="R86" s="43"/>
      <c r="S86" s="43"/>
      <c r="T86" s="43"/>
      <c r="U86" s="43"/>
      <c r="V86" s="43"/>
      <c r="W86" s="43"/>
      <c r="X86" s="43"/>
      <c r="Y86" s="43"/>
      <c r="Z86" s="44"/>
      <c r="AA86" s="56"/>
      <c r="AB86" s="43"/>
      <c r="AC86" s="43"/>
      <c r="AD86" s="43"/>
      <c r="AE86" s="43"/>
      <c r="AF86" s="43"/>
      <c r="AG86" s="54"/>
      <c r="AH86" s="54"/>
      <c r="AI86" s="54"/>
      <c r="AJ86" s="54"/>
      <c r="AK86" s="54"/>
      <c r="AL86" s="54"/>
      <c r="AM86" s="73">
        <f t="shared" si="17"/>
        <v>0</v>
      </c>
      <c r="AN86" s="71" t="str">
        <f>+IF($I86&gt;0,VLOOKUP($I86,'Lista de Precios'!$A$3:$H$2883,4,0),"")</f>
        <v/>
      </c>
      <c r="AO86" s="68" t="str">
        <f t="shared" si="19"/>
        <v/>
      </c>
      <c r="AP86" s="7" t="str">
        <f>IF($I86&gt;0,VLOOKUP($I86,'Lista de Precios'!$A$3:$K$2883,10,0),"")</f>
        <v/>
      </c>
      <c r="AQ86" s="7" t="str">
        <f>IF($I86&gt;0,VLOOKUP($I86,'Lista de Precios'!$A$3:$M$4893,13,0),"")</f>
        <v/>
      </c>
      <c r="AR86" s="7" t="str">
        <f>IF($I86&gt;0,VLOOKUP(I86,'Lista de Precios'!$A$3:$M$2883,13,0),"")</f>
        <v/>
      </c>
      <c r="HR86" s="134"/>
      <c r="HS86" s="134"/>
      <c r="HT86" s="134"/>
      <c r="HU86" s="134"/>
      <c r="HV86" s="134"/>
      <c r="HW86" s="134"/>
      <c r="HX86" s="134"/>
      <c r="HY86" s="134"/>
      <c r="HZ86" s="134"/>
      <c r="IA86" s="134"/>
      <c r="IB86" s="134"/>
      <c r="IC86" s="134"/>
      <c r="IE86" s="134"/>
      <c r="IF86" s="134"/>
      <c r="IG86" s="134"/>
      <c r="IH86" s="134"/>
      <c r="II86" s="134"/>
      <c r="IJ86" s="134"/>
      <c r="IK86" s="134"/>
      <c r="IL86" s="134"/>
      <c r="IM86" s="134"/>
      <c r="IN86" s="135"/>
      <c r="IO86" s="135"/>
      <c r="IP86" s="135"/>
      <c r="XEP86" s="7" t="str">
        <f t="shared" si="20"/>
        <v/>
      </c>
      <c r="XEQ86" s="7" t="str">
        <f t="shared" si="21"/>
        <v/>
      </c>
      <c r="XER86" s="7" t="str">
        <f t="shared" si="22"/>
        <v/>
      </c>
      <c r="XES86" s="7" t="str">
        <f t="shared" si="23"/>
        <v/>
      </c>
    </row>
    <row r="87" spans="1:250 16370:16373" ht="23.25" customHeight="1" x14ac:dyDescent="0.25">
      <c r="A87" s="74">
        <f>IF($I87&gt;0,VLOOKUP(I87,'Lista de Precios'!$A$3:$L$2883,9,0),0)</f>
        <v>0</v>
      </c>
      <c r="B87" s="74">
        <f>IF($I87&gt;0,VLOOKUP(I87,'Lista de Precios'!$A$3:$H$2883,7,0),0)</f>
        <v>0</v>
      </c>
      <c r="C87" s="7" t="str">
        <f>IF($I87&gt;0,VLOOKUP(I87,'Lista de Precios'!$A$3:$H$2883,2,0),"")</f>
        <v/>
      </c>
      <c r="D87" s="7" t="str">
        <f>IF($I87&gt;0,VLOOKUP(I87,'Lista de Precios'!$A$3:$H$2883,3,0),"")</f>
        <v/>
      </c>
      <c r="E87" s="76" t="str">
        <f>IF($I87&gt;0,VLOOKUP(I87,'Lista de Precios'!$A$3:$H$2883,6,0),"")</f>
        <v/>
      </c>
      <c r="F87" s="76" t="str">
        <f>IF($I87&gt;0,VLOOKUP(I87,'Lista de Precios'!$A$3:$H$2883,8,0),"")</f>
        <v/>
      </c>
      <c r="G87" s="101" t="str">
        <f t="shared" si="18"/>
        <v/>
      </c>
      <c r="H87" s="20" t="s">
        <v>3</v>
      </c>
      <c r="I87" s="18"/>
      <c r="J87" s="28" t="str">
        <f t="shared" si="24"/>
        <v/>
      </c>
      <c r="K87" s="24">
        <f>+IF($I87&gt;0,VLOOKUP($I87,'Lista de Precios'!$A$3:$H$2883,5,0),0)</f>
        <v>0</v>
      </c>
      <c r="L87" s="37"/>
      <c r="M87" s="37"/>
      <c r="N87" s="37"/>
      <c r="O87" s="37"/>
      <c r="P87" s="40"/>
      <c r="Q87" s="39"/>
      <c r="R87" s="37"/>
      <c r="S87" s="37"/>
      <c r="T87" s="37"/>
      <c r="U87" s="37"/>
      <c r="V87" s="37"/>
      <c r="W87" s="37"/>
      <c r="X87" s="37"/>
      <c r="Y87" s="37"/>
      <c r="Z87" s="40"/>
      <c r="AA87" s="41"/>
      <c r="AB87" s="37"/>
      <c r="AC87" s="37"/>
      <c r="AD87" s="37"/>
      <c r="AE87" s="37"/>
      <c r="AF87" s="37"/>
      <c r="AG87" s="37"/>
      <c r="AH87" s="36"/>
      <c r="AI87" s="36"/>
      <c r="AJ87" s="36"/>
      <c r="AK87" s="42"/>
      <c r="AL87" s="36"/>
      <c r="AM87" s="73">
        <f t="shared" si="17"/>
        <v>0</v>
      </c>
      <c r="AN87" s="71" t="str">
        <f>+IF($I87&gt;0,VLOOKUP($I87,'Lista de Precios'!$A$3:$H$2883,4,0),"")</f>
        <v/>
      </c>
      <c r="AO87" s="68" t="str">
        <f t="shared" si="19"/>
        <v/>
      </c>
      <c r="AP87" s="7" t="str">
        <f>IF($I87&gt;0,VLOOKUP($I87,'Lista de Precios'!$A$3:$K$2883,10,0),"")</f>
        <v/>
      </c>
      <c r="AQ87" s="7" t="str">
        <f>IF($I87&gt;0,VLOOKUP($I87,'Lista de Precios'!$A$3:$M$4893,13,0),"")</f>
        <v/>
      </c>
      <c r="AR87" s="7" t="str">
        <f>IF($I87&gt;0,VLOOKUP(I87,'Lista de Precios'!$A$3:$M$2883,13,0),"")</f>
        <v/>
      </c>
      <c r="HR87" s="134"/>
      <c r="HS87" s="134"/>
      <c r="HT87" s="134"/>
      <c r="HU87" s="134"/>
      <c r="HV87" s="134"/>
      <c r="HW87" s="134"/>
      <c r="HX87" s="134"/>
      <c r="HY87" s="134"/>
      <c r="HZ87" s="134"/>
      <c r="IA87" s="134"/>
      <c r="IB87" s="134"/>
      <c r="IC87" s="134"/>
      <c r="IE87" s="134"/>
      <c r="IF87" s="134"/>
      <c r="IG87" s="134"/>
      <c r="IH87" s="134"/>
      <c r="II87" s="134"/>
      <c r="IJ87" s="134"/>
      <c r="IK87" s="134"/>
      <c r="IL87" s="134"/>
      <c r="IM87" s="134"/>
      <c r="IN87" s="135"/>
      <c r="IO87" s="135"/>
      <c r="IP87" s="135"/>
      <c r="XEP87" s="7" t="str">
        <f t="shared" si="20"/>
        <v/>
      </c>
      <c r="XEQ87" s="7" t="str">
        <f t="shared" si="21"/>
        <v/>
      </c>
      <c r="XER87" s="7" t="str">
        <f t="shared" si="22"/>
        <v/>
      </c>
      <c r="XES87" s="7" t="str">
        <f t="shared" si="23"/>
        <v/>
      </c>
    </row>
    <row r="88" spans="1:250 16370:16373" ht="23.25" customHeight="1" x14ac:dyDescent="0.25">
      <c r="A88" s="74">
        <f>IF($I88&gt;0,VLOOKUP(I88,'Lista de Precios'!$A$3:$L$2883,9,0),0)</f>
        <v>0</v>
      </c>
      <c r="B88" s="74">
        <f>IF($I88&gt;0,VLOOKUP(I88,'Lista de Precios'!$A$3:$H$2883,7,0),0)</f>
        <v>0</v>
      </c>
      <c r="C88" s="7" t="str">
        <f>IF($I88&gt;0,VLOOKUP(I88,'Lista de Precios'!$A$3:$H$2883,2,0),"")</f>
        <v/>
      </c>
      <c r="D88" s="7" t="str">
        <f>IF($I88&gt;0,VLOOKUP(I88,'Lista de Precios'!$A$3:$H$2883,3,0),"")</f>
        <v/>
      </c>
      <c r="E88" s="76" t="str">
        <f>IF($I88&gt;0,VLOOKUP(I88,'Lista de Precios'!$A$3:$H$2883,6,0),"")</f>
        <v/>
      </c>
      <c r="F88" s="76" t="str">
        <f>IF($I88&gt;0,VLOOKUP(I88,'Lista de Precios'!$A$3:$H$2883,8,0),"")</f>
        <v/>
      </c>
      <c r="G88" s="101" t="str">
        <f t="shared" si="18"/>
        <v/>
      </c>
      <c r="H88" s="20" t="s">
        <v>3</v>
      </c>
      <c r="I88" s="18"/>
      <c r="J88" s="28" t="str">
        <f t="shared" si="24"/>
        <v/>
      </c>
      <c r="K88" s="24">
        <f>+IF($I88&gt;0,VLOOKUP($I88,'Lista de Precios'!$A$3:$H$2883,5,0),0)</f>
        <v>0</v>
      </c>
      <c r="L88" s="37"/>
      <c r="M88" s="37"/>
      <c r="N88" s="37"/>
      <c r="O88" s="37"/>
      <c r="P88" s="40"/>
      <c r="Q88" s="39"/>
      <c r="R88" s="37"/>
      <c r="S88" s="37"/>
      <c r="T88" s="37"/>
      <c r="U88" s="37"/>
      <c r="V88" s="37"/>
      <c r="W88" s="37"/>
      <c r="X88" s="37"/>
      <c r="Y88" s="37"/>
      <c r="Z88" s="40"/>
      <c r="AA88" s="41"/>
      <c r="AB88" s="37"/>
      <c r="AC88" s="37"/>
      <c r="AD88" s="37"/>
      <c r="AE88" s="37"/>
      <c r="AF88" s="37"/>
      <c r="AG88" s="37"/>
      <c r="AH88" s="36"/>
      <c r="AI88" s="36"/>
      <c r="AJ88" s="36"/>
      <c r="AK88" s="42"/>
      <c r="AL88" s="36"/>
      <c r="AM88" s="73">
        <f t="shared" si="17"/>
        <v>0</v>
      </c>
      <c r="AN88" s="71" t="str">
        <f>+IF($I88&gt;0,VLOOKUP($I88,'Lista de Precios'!$A$3:$H$2883,4,0),"")</f>
        <v/>
      </c>
      <c r="AO88" s="68" t="str">
        <f t="shared" si="19"/>
        <v/>
      </c>
      <c r="AP88" s="7" t="str">
        <f>IF($I88&gt;0,VLOOKUP($I88,'Lista de Precios'!$A$3:$K$2883,10,0),"")</f>
        <v/>
      </c>
      <c r="AQ88" s="7" t="str">
        <f>IF($I88&gt;0,VLOOKUP($I88,'Lista de Precios'!$A$3:$M$4893,13,0),"")</f>
        <v/>
      </c>
      <c r="AR88" s="7" t="str">
        <f>IF($I88&gt;0,VLOOKUP(I88,'Lista de Precios'!$A$3:$M$2883,13,0),"")</f>
        <v/>
      </c>
      <c r="HR88" s="134"/>
      <c r="HS88" s="134"/>
      <c r="HT88" s="134"/>
      <c r="HU88" s="134"/>
      <c r="HV88" s="134"/>
      <c r="HW88" s="134"/>
      <c r="HX88" s="134"/>
      <c r="HY88" s="134"/>
      <c r="HZ88" s="134"/>
      <c r="IA88" s="134"/>
      <c r="IB88" s="134"/>
      <c r="IC88" s="134"/>
      <c r="IE88" s="134"/>
      <c r="IF88" s="134"/>
      <c r="IG88" s="134"/>
      <c r="IH88" s="134"/>
      <c r="II88" s="134"/>
      <c r="IJ88" s="134"/>
      <c r="IK88" s="134"/>
      <c r="IL88" s="134"/>
      <c r="IM88" s="134"/>
      <c r="IN88" s="135"/>
      <c r="IO88" s="135"/>
      <c r="IP88" s="135"/>
      <c r="XEP88" s="7" t="str">
        <f t="shared" si="20"/>
        <v/>
      </c>
      <c r="XEQ88" s="7" t="str">
        <f t="shared" si="21"/>
        <v/>
      </c>
      <c r="XER88" s="7" t="str">
        <f t="shared" si="22"/>
        <v/>
      </c>
      <c r="XES88" s="7" t="str">
        <f t="shared" si="23"/>
        <v/>
      </c>
    </row>
    <row r="89" spans="1:250 16370:16373" ht="23.25" customHeight="1" x14ac:dyDescent="0.25">
      <c r="A89" s="74">
        <f>IF($I89&gt;0,VLOOKUP(I89,'Lista de Precios'!$A$3:$L$2883,9,0),0)</f>
        <v>0</v>
      </c>
      <c r="B89" s="74">
        <f>IF($I89&gt;0,VLOOKUP(I89,'Lista de Precios'!$A$3:$H$2883,7,0),0)</f>
        <v>0</v>
      </c>
      <c r="C89" s="7" t="str">
        <f>IF($I89&gt;0,VLOOKUP(I89,'Lista de Precios'!$A$3:$H$2883,2,0),"")</f>
        <v/>
      </c>
      <c r="D89" s="7" t="str">
        <f>IF($I89&gt;0,VLOOKUP(I89,'Lista de Precios'!$A$3:$H$2883,3,0),"")</f>
        <v/>
      </c>
      <c r="E89" s="76" t="str">
        <f>IF($I89&gt;0,VLOOKUP(I89,'Lista de Precios'!$A$3:$H$2883,6,0),"")</f>
        <v/>
      </c>
      <c r="F89" s="76" t="str">
        <f>IF($I89&gt;0,VLOOKUP(I89,'Lista de Precios'!$A$3:$H$2883,8,0),"")</f>
        <v/>
      </c>
      <c r="G89" s="101" t="str">
        <f t="shared" si="18"/>
        <v/>
      </c>
      <c r="H89" s="20" t="s">
        <v>3</v>
      </c>
      <c r="I89" s="18"/>
      <c r="J89" s="28" t="str">
        <f t="shared" si="24"/>
        <v/>
      </c>
      <c r="K89" s="24">
        <f>+IF($I89&gt;0,VLOOKUP($I89,'Lista de Precios'!$A$3:$H$2883,5,0),0)</f>
        <v>0</v>
      </c>
      <c r="L89" s="36"/>
      <c r="M89" s="36"/>
      <c r="N89" s="36"/>
      <c r="O89" s="37"/>
      <c r="P89" s="38"/>
      <c r="Q89" s="39"/>
      <c r="R89" s="37"/>
      <c r="S89" s="37"/>
      <c r="T89" s="37"/>
      <c r="U89" s="37"/>
      <c r="V89" s="37"/>
      <c r="W89" s="37"/>
      <c r="X89" s="37"/>
      <c r="Y89" s="37"/>
      <c r="Z89" s="40"/>
      <c r="AA89" s="41"/>
      <c r="AB89" s="37"/>
      <c r="AC89" s="37"/>
      <c r="AD89" s="37"/>
      <c r="AE89" s="37"/>
      <c r="AF89" s="37"/>
      <c r="AG89" s="37"/>
      <c r="AH89" s="36"/>
      <c r="AI89" s="36"/>
      <c r="AJ89" s="36"/>
      <c r="AK89" s="42"/>
      <c r="AL89" s="42"/>
      <c r="AM89" s="73">
        <f t="shared" si="17"/>
        <v>0</v>
      </c>
      <c r="AN89" s="71" t="str">
        <f>+IF($I89&gt;0,VLOOKUP($I89,'Lista de Precios'!$A$3:$H$2883,4,0),"")</f>
        <v/>
      </c>
      <c r="AO89" s="68" t="str">
        <f t="shared" si="19"/>
        <v/>
      </c>
      <c r="AP89" s="7" t="str">
        <f>IF($I89&gt;0,VLOOKUP($I89,'Lista de Precios'!$A$3:$K$2883,10,0),"")</f>
        <v/>
      </c>
      <c r="AQ89" s="7" t="str">
        <f>IF($I89&gt;0,VLOOKUP($I89,'Lista de Precios'!$A$3:$M$4893,13,0),"")</f>
        <v/>
      </c>
      <c r="AR89" s="7" t="str">
        <f>IF($I89&gt;0,VLOOKUP(I89,'Lista de Precios'!$A$3:$M$2883,13,0),"")</f>
        <v/>
      </c>
      <c r="HR89" s="134"/>
      <c r="HS89" s="134"/>
      <c r="HT89" s="134"/>
      <c r="HU89" s="134"/>
      <c r="HV89" s="134"/>
      <c r="HW89" s="134"/>
      <c r="HX89" s="134"/>
      <c r="HY89" s="134"/>
      <c r="HZ89" s="134"/>
      <c r="IA89" s="134"/>
      <c r="IB89" s="134"/>
      <c r="IC89" s="134"/>
      <c r="IE89" s="134"/>
      <c r="IF89" s="134"/>
      <c r="IG89" s="134"/>
      <c r="IH89" s="134"/>
      <c r="II89" s="134"/>
      <c r="IJ89" s="134"/>
      <c r="IK89" s="134"/>
      <c r="IL89" s="134"/>
      <c r="IM89" s="134"/>
      <c r="IN89" s="135"/>
      <c r="IO89" s="135"/>
      <c r="IP89" s="135"/>
      <c r="XEP89" s="7" t="str">
        <f t="shared" si="20"/>
        <v/>
      </c>
      <c r="XEQ89" s="7" t="str">
        <f t="shared" si="21"/>
        <v/>
      </c>
      <c r="XER89" s="7" t="str">
        <f t="shared" si="22"/>
        <v/>
      </c>
      <c r="XES89" s="7" t="str">
        <f t="shared" si="23"/>
        <v/>
      </c>
    </row>
    <row r="90" spans="1:250 16370:16373" ht="23.25" customHeight="1" x14ac:dyDescent="0.25">
      <c r="A90" s="74">
        <f>IF($I90&gt;0,VLOOKUP(I90,'Lista de Precios'!$A$3:$L$2883,9,0),0)</f>
        <v>0</v>
      </c>
      <c r="B90" s="74">
        <f>IF($I90&gt;0,VLOOKUP(I90,'Lista de Precios'!$A$3:$H$2883,7,0),0)</f>
        <v>0</v>
      </c>
      <c r="C90" s="7" t="str">
        <f>IF($I90&gt;0,VLOOKUP(I90,'Lista de Precios'!$A$3:$H$2883,2,0),"")</f>
        <v/>
      </c>
      <c r="D90" s="7" t="str">
        <f>IF($I90&gt;0,VLOOKUP(I90,'Lista de Precios'!$A$3:$H$2883,3,0),"")</f>
        <v/>
      </c>
      <c r="E90" s="76" t="str">
        <f>IF($I90&gt;0,VLOOKUP(I90,'Lista de Precios'!$A$3:$H$2883,6,0),"")</f>
        <v/>
      </c>
      <c r="F90" s="76" t="str">
        <f>IF($I90&gt;0,VLOOKUP(I90,'Lista de Precios'!$A$3:$H$2883,8,0),"")</f>
        <v/>
      </c>
      <c r="G90" s="101" t="str">
        <f t="shared" si="18"/>
        <v/>
      </c>
      <c r="H90" s="20" t="s">
        <v>3</v>
      </c>
      <c r="I90" s="18"/>
      <c r="J90" s="28" t="str">
        <f t="shared" si="24"/>
        <v/>
      </c>
      <c r="K90" s="24">
        <f>+IF($I90&gt;0,VLOOKUP($I90,'Lista de Precios'!$A$3:$H$2883,5,0),0)</f>
        <v>0</v>
      </c>
      <c r="L90" s="37"/>
      <c r="M90" s="37"/>
      <c r="N90" s="37"/>
      <c r="O90" s="37"/>
      <c r="P90" s="40"/>
      <c r="Q90" s="39"/>
      <c r="R90" s="37"/>
      <c r="S90" s="37"/>
      <c r="T90" s="37"/>
      <c r="U90" s="37"/>
      <c r="V90" s="37"/>
      <c r="W90" s="37"/>
      <c r="X90" s="37"/>
      <c r="Y90" s="37"/>
      <c r="Z90" s="40"/>
      <c r="AA90" s="41"/>
      <c r="AB90" s="37"/>
      <c r="AC90" s="37"/>
      <c r="AD90" s="37"/>
      <c r="AE90" s="37"/>
      <c r="AF90" s="37"/>
      <c r="AG90" s="37"/>
      <c r="AH90" s="36"/>
      <c r="AI90" s="36"/>
      <c r="AJ90" s="36"/>
      <c r="AK90" s="42"/>
      <c r="AL90" s="42"/>
      <c r="AM90" s="73">
        <f t="shared" si="17"/>
        <v>0</v>
      </c>
      <c r="AN90" s="71" t="str">
        <f>+IF($I90&gt;0,VLOOKUP($I90,'Lista de Precios'!$A$3:$H$2883,4,0),"")</f>
        <v/>
      </c>
      <c r="AO90" s="68" t="str">
        <f t="shared" si="19"/>
        <v/>
      </c>
      <c r="AP90" s="7" t="str">
        <f>IF($I90&gt;0,VLOOKUP($I90,'Lista de Precios'!$A$3:$K$2883,10,0),"")</f>
        <v/>
      </c>
      <c r="AQ90" s="7" t="str">
        <f>IF($I90&gt;0,VLOOKUP($I90,'Lista de Precios'!$A$3:$M$4893,13,0),"")</f>
        <v/>
      </c>
      <c r="AR90" s="7" t="str">
        <f>IF($I90&gt;0,VLOOKUP(I90,'Lista de Precios'!$A$3:$M$2883,13,0),"")</f>
        <v/>
      </c>
      <c r="HR90" s="134"/>
      <c r="HS90" s="134"/>
      <c r="HT90" s="134"/>
      <c r="HU90" s="134"/>
      <c r="HV90" s="134"/>
      <c r="HW90" s="134"/>
      <c r="HX90" s="134"/>
      <c r="HY90" s="134"/>
      <c r="HZ90" s="134"/>
      <c r="IA90" s="134"/>
      <c r="IB90" s="134"/>
      <c r="IC90" s="134"/>
      <c r="IE90" s="134"/>
      <c r="IF90" s="134"/>
      <c r="IG90" s="134"/>
      <c r="IH90" s="134"/>
      <c r="II90" s="134"/>
      <c r="IJ90" s="134"/>
      <c r="IK90" s="134"/>
      <c r="IL90" s="134"/>
      <c r="IM90" s="134"/>
      <c r="IN90" s="135"/>
      <c r="IO90" s="135"/>
      <c r="IP90" s="135"/>
      <c r="XEP90" s="7" t="str">
        <f t="shared" si="20"/>
        <v/>
      </c>
      <c r="XEQ90" s="7" t="str">
        <f t="shared" si="21"/>
        <v/>
      </c>
      <c r="XER90" s="7" t="str">
        <f t="shared" si="22"/>
        <v/>
      </c>
      <c r="XES90" s="7" t="str">
        <f t="shared" si="23"/>
        <v/>
      </c>
    </row>
    <row r="91" spans="1:250 16370:16373" ht="23.25" customHeight="1" x14ac:dyDescent="0.25">
      <c r="A91" s="74">
        <f>IF($I91&gt;0,VLOOKUP(I91,'Lista de Precios'!$A$3:$L$2883,9,0),0)</f>
        <v>0</v>
      </c>
      <c r="B91" s="74">
        <f>IF($I91&gt;0,VLOOKUP(I91,'Lista de Precios'!$A$3:$H$2883,7,0),0)</f>
        <v>0</v>
      </c>
      <c r="C91" s="7" t="str">
        <f>IF($I91&gt;0,VLOOKUP(I91,'Lista de Precios'!$A$3:$H$2883,2,0),"")</f>
        <v/>
      </c>
      <c r="D91" s="7" t="str">
        <f>IF($I91&gt;0,VLOOKUP(I91,'Lista de Precios'!$A$3:$H$2883,3,0),"")</f>
        <v/>
      </c>
      <c r="E91" s="76" t="str">
        <f>IF($I91&gt;0,VLOOKUP(I91,'Lista de Precios'!$A$3:$H$2883,6,0),"")</f>
        <v/>
      </c>
      <c r="F91" s="76" t="str">
        <f>IF($I91&gt;0,VLOOKUP(I91,'Lista de Precios'!$A$3:$H$2883,8,0),"")</f>
        <v/>
      </c>
      <c r="G91" s="101" t="str">
        <f t="shared" si="18"/>
        <v/>
      </c>
      <c r="H91" s="20" t="s">
        <v>3</v>
      </c>
      <c r="I91" s="18"/>
      <c r="J91" s="28" t="str">
        <f t="shared" si="24"/>
        <v/>
      </c>
      <c r="K91" s="24">
        <f>+IF($I91&gt;0,VLOOKUP($I91,'Lista de Precios'!$A$3:$H$2883,5,0),0)</f>
        <v>0</v>
      </c>
      <c r="L91" s="37"/>
      <c r="M91" s="37"/>
      <c r="N91" s="37"/>
      <c r="O91" s="37"/>
      <c r="P91" s="40"/>
      <c r="Q91" s="39"/>
      <c r="R91" s="37"/>
      <c r="S91" s="37"/>
      <c r="T91" s="37"/>
      <c r="U91" s="37"/>
      <c r="V91" s="37"/>
      <c r="W91" s="37"/>
      <c r="X91" s="37"/>
      <c r="Y91" s="37"/>
      <c r="Z91" s="40"/>
      <c r="AA91" s="41"/>
      <c r="AB91" s="37"/>
      <c r="AC91" s="37"/>
      <c r="AD91" s="37"/>
      <c r="AE91" s="36"/>
      <c r="AF91" s="37"/>
      <c r="AG91" s="37"/>
      <c r="AH91" s="36"/>
      <c r="AI91" s="36"/>
      <c r="AJ91" s="42"/>
      <c r="AK91" s="42"/>
      <c r="AL91" s="43"/>
      <c r="AM91" s="73">
        <f t="shared" si="17"/>
        <v>0</v>
      </c>
      <c r="AN91" s="71" t="str">
        <f>+IF($I91&gt;0,VLOOKUP($I91,'Lista de Precios'!$A$3:$H$2883,4,0),"")</f>
        <v/>
      </c>
      <c r="AO91" s="68" t="str">
        <f t="shared" si="19"/>
        <v/>
      </c>
      <c r="AP91" s="7" t="str">
        <f>IF($I91&gt;0,VLOOKUP($I91,'Lista de Precios'!$A$3:$K$2883,10,0),"")</f>
        <v/>
      </c>
      <c r="AQ91" s="7" t="str">
        <f>IF($I91&gt;0,VLOOKUP($I91,'Lista de Precios'!$A$3:$M$4893,13,0),"")</f>
        <v/>
      </c>
      <c r="AR91" s="7" t="str">
        <f>IF($I91&gt;0,VLOOKUP(I91,'Lista de Precios'!$A$3:$M$2883,13,0),"")</f>
        <v/>
      </c>
      <c r="HR91" s="134"/>
      <c r="HS91" s="134"/>
      <c r="HT91" s="134"/>
      <c r="HU91" s="134"/>
      <c r="HV91" s="134"/>
      <c r="HW91" s="134"/>
      <c r="HX91" s="134"/>
      <c r="HY91" s="134"/>
      <c r="HZ91" s="134"/>
      <c r="IA91" s="134"/>
      <c r="IB91" s="134"/>
      <c r="IC91" s="134"/>
      <c r="IE91" s="134"/>
      <c r="IF91" s="134"/>
      <c r="IG91" s="134"/>
      <c r="IH91" s="134"/>
      <c r="II91" s="134"/>
      <c r="IJ91" s="134"/>
      <c r="IK91" s="134"/>
      <c r="IL91" s="134"/>
      <c r="IM91" s="134"/>
      <c r="IN91" s="135"/>
      <c r="IO91" s="135"/>
      <c r="IP91" s="135"/>
      <c r="XEP91" s="7" t="str">
        <f t="shared" si="20"/>
        <v/>
      </c>
      <c r="XEQ91" s="7" t="str">
        <f t="shared" si="21"/>
        <v/>
      </c>
      <c r="XER91" s="7" t="str">
        <f t="shared" si="22"/>
        <v/>
      </c>
      <c r="XES91" s="7" t="str">
        <f t="shared" si="23"/>
        <v/>
      </c>
    </row>
    <row r="92" spans="1:250 16370:16373" ht="23.25" customHeight="1" x14ac:dyDescent="0.25">
      <c r="A92" s="74">
        <f>IF($I92&gt;0,VLOOKUP(I92,'Lista de Precios'!$A$3:$L$2883,9,0),0)</f>
        <v>0</v>
      </c>
      <c r="B92" s="74">
        <f>IF($I92&gt;0,VLOOKUP(I92,'Lista de Precios'!$A$3:$H$2883,7,0),0)</f>
        <v>0</v>
      </c>
      <c r="C92" s="7" t="str">
        <f>IF($I92&gt;0,VLOOKUP(I92,'Lista de Precios'!$A$3:$H$2883,2,0),"")</f>
        <v/>
      </c>
      <c r="D92" s="7" t="str">
        <f>IF($I92&gt;0,VLOOKUP(I92,'Lista de Precios'!$A$3:$H$2883,3,0),"")</f>
        <v/>
      </c>
      <c r="E92" s="76" t="str">
        <f>IF($I92&gt;0,VLOOKUP(I92,'Lista de Precios'!$A$3:$H$2883,6,0),"")</f>
        <v/>
      </c>
      <c r="F92" s="76" t="str">
        <f>IF($I92&gt;0,VLOOKUP(I92,'Lista de Precios'!$A$3:$H$2883,8,0),"")</f>
        <v/>
      </c>
      <c r="G92" s="101" t="str">
        <f t="shared" si="18"/>
        <v/>
      </c>
      <c r="H92" s="20" t="s">
        <v>3</v>
      </c>
      <c r="I92" s="18"/>
      <c r="J92" s="28" t="str">
        <f t="shared" si="24"/>
        <v/>
      </c>
      <c r="K92" s="24">
        <f>+IF($I92&gt;0,VLOOKUP($I92,'Lista de Precios'!$A$3:$H$2883,5,0),0)</f>
        <v>0</v>
      </c>
      <c r="L92" s="37"/>
      <c r="M92" s="37"/>
      <c r="N92" s="37"/>
      <c r="O92" s="37"/>
      <c r="P92" s="40"/>
      <c r="Q92" s="39"/>
      <c r="R92" s="37"/>
      <c r="S92" s="37"/>
      <c r="T92" s="37"/>
      <c r="U92" s="37"/>
      <c r="V92" s="37"/>
      <c r="W92" s="37"/>
      <c r="X92" s="37"/>
      <c r="Y92" s="37"/>
      <c r="Z92" s="37"/>
      <c r="AA92" s="41"/>
      <c r="AB92" s="37"/>
      <c r="AC92" s="37"/>
      <c r="AD92" s="37"/>
      <c r="AE92" s="36"/>
      <c r="AF92" s="37"/>
      <c r="AG92" s="37"/>
      <c r="AH92" s="36"/>
      <c r="AI92" s="36"/>
      <c r="AJ92" s="42"/>
      <c r="AK92" s="42"/>
      <c r="AL92" s="42"/>
      <c r="AM92" s="73">
        <f t="shared" si="17"/>
        <v>0</v>
      </c>
      <c r="AN92" s="71" t="str">
        <f>+IF($I92&gt;0,VLOOKUP($I92,'Lista de Precios'!$A$3:$H$2883,4,0),"")</f>
        <v/>
      </c>
      <c r="AO92" s="68" t="str">
        <f t="shared" si="19"/>
        <v/>
      </c>
      <c r="AP92" s="7" t="str">
        <f>IF($I92&gt;0,VLOOKUP($I92,'Lista de Precios'!$A$3:$K$2883,10,0),"")</f>
        <v/>
      </c>
      <c r="AQ92" s="7" t="str">
        <f>IF($I92&gt;0,VLOOKUP($I92,'Lista de Precios'!$A$3:$M$4893,13,0),"")</f>
        <v/>
      </c>
      <c r="AR92" s="7" t="str">
        <f>IF($I92&gt;0,VLOOKUP(I92,'Lista de Precios'!$A$3:$M$2883,13,0),"")</f>
        <v/>
      </c>
      <c r="HR92" s="134"/>
      <c r="HS92" s="134"/>
      <c r="HT92" s="134"/>
      <c r="HU92" s="134"/>
      <c r="HV92" s="134"/>
      <c r="HW92" s="134"/>
      <c r="HX92" s="134"/>
      <c r="HY92" s="134"/>
      <c r="HZ92" s="134"/>
      <c r="IA92" s="134"/>
      <c r="IB92" s="134"/>
      <c r="IC92" s="134"/>
      <c r="IE92" s="134"/>
      <c r="IF92" s="134"/>
      <c r="IG92" s="134"/>
      <c r="IH92" s="134"/>
      <c r="II92" s="134"/>
      <c r="IJ92" s="134"/>
      <c r="IK92" s="134"/>
      <c r="IL92" s="134"/>
      <c r="IM92" s="134"/>
      <c r="IN92" s="135"/>
      <c r="IO92" s="135"/>
      <c r="IP92" s="135"/>
      <c r="XEP92" s="7" t="str">
        <f t="shared" si="20"/>
        <v/>
      </c>
      <c r="XEQ92" s="7" t="str">
        <f t="shared" si="21"/>
        <v/>
      </c>
      <c r="XER92" s="7" t="str">
        <f t="shared" si="22"/>
        <v/>
      </c>
      <c r="XES92" s="7" t="str">
        <f t="shared" si="23"/>
        <v/>
      </c>
    </row>
    <row r="93" spans="1:250 16370:16373" ht="23.25" customHeight="1" x14ac:dyDescent="0.25">
      <c r="A93" s="74">
        <f>IF($I93&gt;0,VLOOKUP(I93,'Lista de Precios'!$A$3:$L$2883,9,0),0)</f>
        <v>0</v>
      </c>
      <c r="B93" s="74">
        <f>IF($I93&gt;0,VLOOKUP(I93,'Lista de Precios'!$A$3:$H$2883,7,0),0)</f>
        <v>0</v>
      </c>
      <c r="C93" s="7" t="str">
        <f>IF($I93&gt;0,VLOOKUP(I93,'Lista de Precios'!$A$3:$H$2883,2,0),"")</f>
        <v/>
      </c>
      <c r="D93" s="7" t="str">
        <f>IF($I93&gt;0,VLOOKUP(I93,'Lista de Precios'!$A$3:$H$2883,3,0),"")</f>
        <v/>
      </c>
      <c r="E93" s="76" t="str">
        <f>IF($I93&gt;0,VLOOKUP(I93,'Lista de Precios'!$A$3:$H$2883,6,0),"")</f>
        <v/>
      </c>
      <c r="F93" s="76" t="str">
        <f>IF($I93&gt;0,VLOOKUP(I93,'Lista de Precios'!$A$3:$H$2883,8,0),"")</f>
        <v/>
      </c>
      <c r="G93" s="101" t="str">
        <f t="shared" si="18"/>
        <v/>
      </c>
      <c r="H93" s="20" t="s">
        <v>3</v>
      </c>
      <c r="I93" s="18"/>
      <c r="J93" s="28" t="str">
        <f t="shared" si="24"/>
        <v/>
      </c>
      <c r="K93" s="24">
        <f>+IF($I93&gt;0,VLOOKUP($I93,'Lista de Precios'!$A$3:$H$2883,5,0),0)</f>
        <v>0</v>
      </c>
      <c r="L93" s="37"/>
      <c r="M93" s="37"/>
      <c r="N93" s="37"/>
      <c r="O93" s="37"/>
      <c r="P93" s="40"/>
      <c r="Q93" s="39"/>
      <c r="R93" s="37"/>
      <c r="S93" s="37"/>
      <c r="T93" s="37"/>
      <c r="U93" s="37"/>
      <c r="V93" s="37"/>
      <c r="W93" s="37"/>
      <c r="X93" s="37"/>
      <c r="Y93" s="37"/>
      <c r="Z93" s="40"/>
      <c r="AA93" s="41"/>
      <c r="AB93" s="37"/>
      <c r="AC93" s="37"/>
      <c r="AD93" s="37"/>
      <c r="AE93" s="36"/>
      <c r="AF93" s="37"/>
      <c r="AG93" s="37"/>
      <c r="AH93" s="36"/>
      <c r="AI93" s="36"/>
      <c r="AJ93" s="42"/>
      <c r="AK93" s="42"/>
      <c r="AL93" s="42"/>
      <c r="AM93" s="73">
        <f t="shared" si="17"/>
        <v>0</v>
      </c>
      <c r="AN93" s="71" t="str">
        <f>+IF($I93&gt;0,VLOOKUP($I93,'Lista de Precios'!$A$3:$H$2883,4,0),"")</f>
        <v/>
      </c>
      <c r="AO93" s="68" t="str">
        <f t="shared" si="19"/>
        <v/>
      </c>
      <c r="AP93" s="7" t="str">
        <f>IF($I93&gt;0,VLOOKUP($I93,'Lista de Precios'!$A$3:$K$2883,10,0),"")</f>
        <v/>
      </c>
      <c r="AQ93" s="7" t="str">
        <f>IF($I93&gt;0,VLOOKUP($I93,'Lista de Precios'!$A$3:$M$4893,13,0),"")</f>
        <v/>
      </c>
      <c r="AR93" s="7" t="str">
        <f>IF($I93&gt;0,VLOOKUP(I93,'Lista de Precios'!$A$3:$M$2883,13,0),"")</f>
        <v/>
      </c>
      <c r="HR93" s="134"/>
      <c r="HS93" s="134"/>
      <c r="HT93" s="134"/>
      <c r="HU93" s="134"/>
      <c r="HV93" s="134"/>
      <c r="HW93" s="134"/>
      <c r="HX93" s="134"/>
      <c r="HY93" s="134"/>
      <c r="HZ93" s="134"/>
      <c r="IA93" s="134"/>
      <c r="IB93" s="134"/>
      <c r="IC93" s="134"/>
      <c r="IE93" s="134"/>
      <c r="IF93" s="134"/>
      <c r="IG93" s="134"/>
      <c r="IH93" s="134"/>
      <c r="II93" s="134"/>
      <c r="IJ93" s="134"/>
      <c r="IK93" s="134"/>
      <c r="IL93" s="134"/>
      <c r="IM93" s="134"/>
      <c r="IN93" s="135"/>
      <c r="IO93" s="135"/>
      <c r="IP93" s="135"/>
      <c r="XEP93" s="7" t="str">
        <f t="shared" si="20"/>
        <v/>
      </c>
      <c r="XEQ93" s="7" t="str">
        <f t="shared" si="21"/>
        <v/>
      </c>
      <c r="XER93" s="7" t="str">
        <f t="shared" si="22"/>
        <v/>
      </c>
      <c r="XES93" s="7" t="str">
        <f t="shared" si="23"/>
        <v/>
      </c>
    </row>
    <row r="94" spans="1:250 16370:16373" ht="23.25" customHeight="1" x14ac:dyDescent="0.25">
      <c r="A94" s="74">
        <f>IF($I94&gt;0,VLOOKUP(I94,'Lista de Precios'!$A$3:$L$2883,9,0),0)</f>
        <v>0</v>
      </c>
      <c r="B94" s="74">
        <f>IF($I94&gt;0,VLOOKUP(I94,'Lista de Precios'!$A$3:$H$2883,7,0),0)</f>
        <v>0</v>
      </c>
      <c r="C94" s="7" t="str">
        <f>IF($I94&gt;0,VLOOKUP(I94,'Lista de Precios'!$A$3:$H$2883,2,0),"")</f>
        <v/>
      </c>
      <c r="D94" s="7" t="str">
        <f>IF($I94&gt;0,VLOOKUP(I94,'Lista de Precios'!$A$3:$H$2883,3,0),"")</f>
        <v/>
      </c>
      <c r="E94" s="76" t="str">
        <f>IF($I94&gt;0,VLOOKUP(I94,'Lista de Precios'!$A$3:$H$2883,6,0),"")</f>
        <v/>
      </c>
      <c r="F94" s="76" t="str">
        <f>IF($I94&gt;0,VLOOKUP(I94,'Lista de Precios'!$A$3:$H$2883,8,0),"")</f>
        <v/>
      </c>
      <c r="G94" s="101" t="str">
        <f t="shared" si="18"/>
        <v/>
      </c>
      <c r="H94" s="20" t="s">
        <v>3</v>
      </c>
      <c r="I94" s="18"/>
      <c r="J94" s="28" t="str">
        <f t="shared" si="24"/>
        <v/>
      </c>
      <c r="K94" s="24">
        <f>+IF($I94&gt;0,VLOOKUP($I94,'Lista de Precios'!$A$3:$H$2883,5,0),0)</f>
        <v>0</v>
      </c>
      <c r="L94" s="37"/>
      <c r="M94" s="37"/>
      <c r="N94" s="37"/>
      <c r="O94" s="37"/>
      <c r="P94" s="40"/>
      <c r="Q94" s="39"/>
      <c r="R94" s="37"/>
      <c r="S94" s="37"/>
      <c r="T94" s="37"/>
      <c r="U94" s="37"/>
      <c r="V94" s="37"/>
      <c r="W94" s="37"/>
      <c r="X94" s="37"/>
      <c r="Y94" s="37"/>
      <c r="Z94" s="40"/>
      <c r="AA94" s="41"/>
      <c r="AB94" s="37"/>
      <c r="AC94" s="37"/>
      <c r="AD94" s="37"/>
      <c r="AE94" s="36"/>
      <c r="AF94" s="37"/>
      <c r="AG94" s="37"/>
      <c r="AH94" s="36"/>
      <c r="AI94" s="36"/>
      <c r="AJ94" s="42"/>
      <c r="AK94" s="42"/>
      <c r="AL94" s="42"/>
      <c r="AM94" s="73">
        <f t="shared" si="17"/>
        <v>0</v>
      </c>
      <c r="AN94" s="71" t="str">
        <f>+IF($I94&gt;0,VLOOKUP($I94,'Lista de Precios'!$A$3:$H$2883,4,0),"")</f>
        <v/>
      </c>
      <c r="AO94" s="68" t="str">
        <f t="shared" si="19"/>
        <v/>
      </c>
      <c r="AP94" s="7" t="str">
        <f>IF($I94&gt;0,VLOOKUP($I94,'Lista de Precios'!$A$3:$K$2883,10,0),"")</f>
        <v/>
      </c>
      <c r="AR94" s="7" t="str">
        <f>IF($I94&gt;0,VLOOKUP(I94,'Lista de Precios'!$A$3:$M$2883,13,0),"")</f>
        <v/>
      </c>
      <c r="HR94" s="134"/>
      <c r="HS94" s="134"/>
      <c r="HT94" s="134"/>
      <c r="HU94" s="134"/>
      <c r="HV94" s="134"/>
      <c r="HW94" s="134"/>
      <c r="HX94" s="134"/>
      <c r="HY94" s="134"/>
      <c r="HZ94" s="134"/>
      <c r="IA94" s="134"/>
      <c r="IB94" s="134"/>
      <c r="IC94" s="134"/>
      <c r="IE94" s="134"/>
      <c r="IF94" s="134"/>
      <c r="IG94" s="134"/>
      <c r="IH94" s="134"/>
      <c r="II94" s="134"/>
      <c r="IJ94" s="134"/>
      <c r="IK94" s="134"/>
      <c r="IL94" s="134"/>
      <c r="IM94" s="134"/>
      <c r="IN94" s="135"/>
      <c r="IO94" s="135"/>
      <c r="IP94" s="135"/>
    </row>
    <row r="95" spans="1:250 16370:16373" ht="23.25" customHeight="1" x14ac:dyDescent="0.25">
      <c r="A95" s="74">
        <f>IF($I95&gt;0,VLOOKUP(I95,'Lista de Precios'!$A$3:$L$2883,9,0),0)</f>
        <v>0</v>
      </c>
      <c r="B95" s="74">
        <f>IF($I95&gt;0,VLOOKUP(I95,'Lista de Precios'!$A$3:$H$2883,7,0),0)</f>
        <v>0</v>
      </c>
      <c r="C95" s="7" t="str">
        <f>IF($I95&gt;0,VLOOKUP(I95,'Lista de Precios'!$A$3:$H$2883,2,0),"")</f>
        <v/>
      </c>
      <c r="D95" s="7" t="str">
        <f>IF($I95&gt;0,VLOOKUP(I95,'Lista de Precios'!$A$3:$H$2883,3,0),"")</f>
        <v/>
      </c>
      <c r="E95" s="76" t="str">
        <f>IF($I95&gt;0,VLOOKUP(I95,'Lista de Precios'!$A$3:$H$2883,6,0),"")</f>
        <v/>
      </c>
      <c r="F95" s="76" t="str">
        <f>IF($I95&gt;0,VLOOKUP(I95,'Lista de Precios'!$A$3:$H$2883,8,0),"")</f>
        <v/>
      </c>
      <c r="G95" s="101" t="str">
        <f t="shared" si="18"/>
        <v/>
      </c>
      <c r="H95" s="20" t="s">
        <v>3</v>
      </c>
      <c r="I95" s="18"/>
      <c r="J95" s="28" t="str">
        <f t="shared" si="24"/>
        <v/>
      </c>
      <c r="K95" s="24">
        <f>+IF($I95&gt;0,VLOOKUP($I95,'Lista de Precios'!$A$3:$H$2883,5,0),0)</f>
        <v>0</v>
      </c>
      <c r="L95" s="37"/>
      <c r="M95" s="37"/>
      <c r="N95" s="37"/>
      <c r="O95" s="37"/>
      <c r="P95" s="40"/>
      <c r="Q95" s="39"/>
      <c r="R95" s="37"/>
      <c r="S95" s="37"/>
      <c r="T95" s="37"/>
      <c r="U95" s="37"/>
      <c r="V95" s="37"/>
      <c r="W95" s="37"/>
      <c r="X95" s="37"/>
      <c r="Y95" s="37"/>
      <c r="Z95" s="40"/>
      <c r="AA95" s="41"/>
      <c r="AB95" s="37"/>
      <c r="AC95" s="37"/>
      <c r="AD95" s="37"/>
      <c r="AE95" s="37"/>
      <c r="AF95" s="37"/>
      <c r="AG95" s="57"/>
      <c r="AH95" s="54"/>
      <c r="AI95" s="54"/>
      <c r="AJ95" s="54"/>
      <c r="AK95" s="54"/>
      <c r="AL95" s="54"/>
      <c r="AM95" s="73">
        <f t="shared" si="17"/>
        <v>0</v>
      </c>
      <c r="AN95" s="71" t="str">
        <f>+IF($I95&gt;0,VLOOKUP($I95,'Lista de Precios'!$A$3:$H$2883,4,0),"")</f>
        <v/>
      </c>
      <c r="AO95" s="68" t="str">
        <f t="shared" si="19"/>
        <v/>
      </c>
      <c r="AP95" s="7" t="str">
        <f>IF($I95&gt;0,VLOOKUP($I95,'Lista de Precios'!$A$3:$K$2883,10,0),"")</f>
        <v/>
      </c>
      <c r="AR95" s="7" t="str">
        <f>IF($I95&gt;0,VLOOKUP(I95,'Lista de Precios'!$A$3:$M$2883,13,0),"")</f>
        <v/>
      </c>
      <c r="HR95" s="134"/>
      <c r="HS95" s="134"/>
      <c r="HT95" s="134"/>
      <c r="HU95" s="134"/>
      <c r="HV95" s="134"/>
      <c r="HW95" s="134"/>
      <c r="HX95" s="134"/>
      <c r="HY95" s="134"/>
      <c r="HZ95" s="134"/>
      <c r="IA95" s="134"/>
      <c r="IB95" s="134"/>
      <c r="IC95" s="134"/>
      <c r="IE95" s="134"/>
      <c r="IF95" s="134"/>
      <c r="IG95" s="134"/>
      <c r="IH95" s="134"/>
      <c r="II95" s="134"/>
      <c r="IJ95" s="134"/>
      <c r="IK95" s="134"/>
      <c r="IL95" s="134"/>
      <c r="IM95" s="134"/>
      <c r="IN95" s="135"/>
      <c r="IO95" s="135"/>
      <c r="IP95" s="135"/>
    </row>
    <row r="96" spans="1:250 16370:16373" ht="23.25" customHeight="1" x14ac:dyDescent="0.25">
      <c r="A96" s="74">
        <f>IF($I96&gt;0,VLOOKUP(I96,'Lista de Precios'!$A$3:$L$2883,9,0),0)</f>
        <v>0</v>
      </c>
      <c r="B96" s="74">
        <f>IF($I96&gt;0,VLOOKUP(I96,'Lista de Precios'!$A$3:$H$2883,7,0),0)</f>
        <v>0</v>
      </c>
      <c r="C96" s="7" t="str">
        <f>IF($I96&gt;0,VLOOKUP(I96,'Lista de Precios'!$A$3:$H$2883,2,0),"")</f>
        <v/>
      </c>
      <c r="D96" s="7" t="str">
        <f>IF($I96&gt;0,VLOOKUP(I96,'Lista de Precios'!$A$3:$H$2883,3,0),"")</f>
        <v/>
      </c>
      <c r="E96" s="76" t="str">
        <f>IF($I96&gt;0,VLOOKUP(I96,'Lista de Precios'!$A$3:$H$2883,6,0),"")</f>
        <v/>
      </c>
      <c r="F96" s="76" t="str">
        <f>IF($I96&gt;0,VLOOKUP(I96,'Lista de Precios'!$A$3:$H$2883,8,0),"")</f>
        <v/>
      </c>
      <c r="G96" s="101" t="str">
        <f t="shared" si="18"/>
        <v/>
      </c>
      <c r="H96" s="20" t="s">
        <v>3</v>
      </c>
      <c r="I96" s="18"/>
      <c r="J96" s="28" t="str">
        <f t="shared" si="24"/>
        <v/>
      </c>
      <c r="K96" s="24">
        <f>+IF($I96&gt;0,VLOOKUP($I96,'Lista de Precios'!$A$3:$H$2883,5,0),0)</f>
        <v>0</v>
      </c>
      <c r="L96" s="37"/>
      <c r="M96" s="37"/>
      <c r="N96" s="37"/>
      <c r="O96" s="37"/>
      <c r="P96" s="40"/>
      <c r="Q96" s="39"/>
      <c r="R96" s="37"/>
      <c r="S96" s="37"/>
      <c r="T96" s="37"/>
      <c r="U96" s="37"/>
      <c r="V96" s="37"/>
      <c r="W96" s="37"/>
      <c r="X96" s="37"/>
      <c r="Y96" s="37"/>
      <c r="Z96" s="40"/>
      <c r="AA96" s="41"/>
      <c r="AB96" s="37"/>
      <c r="AC96" s="37"/>
      <c r="AD96" s="37"/>
      <c r="AE96" s="37"/>
      <c r="AF96" s="37"/>
      <c r="AG96" s="57"/>
      <c r="AH96" s="54"/>
      <c r="AI96" s="54"/>
      <c r="AJ96" s="42"/>
      <c r="AK96" s="42"/>
      <c r="AL96" s="42"/>
      <c r="AM96" s="73">
        <f t="shared" si="17"/>
        <v>0</v>
      </c>
      <c r="AN96" s="71" t="str">
        <f>+IF($I96&gt;0,VLOOKUP($I96,'Lista de Precios'!$A$3:$H$2883,4,0),"")</f>
        <v/>
      </c>
      <c r="AO96" s="68" t="str">
        <f t="shared" si="19"/>
        <v/>
      </c>
      <c r="AP96" s="7" t="str">
        <f>IF($I96&gt;0,VLOOKUP($I96,'Lista de Precios'!$A$3:$K$2883,10,0),"")</f>
        <v/>
      </c>
      <c r="AR96" s="7" t="str">
        <f>IF($I96&gt;0,VLOOKUP(I96,'Lista de Precios'!$A$3:$M$2883,13,0),"")</f>
        <v/>
      </c>
      <c r="HR96" s="134"/>
      <c r="HS96" s="134"/>
      <c r="HT96" s="134"/>
      <c r="HU96" s="134"/>
      <c r="HV96" s="134"/>
      <c r="HW96" s="134"/>
      <c r="HX96" s="134"/>
      <c r="HY96" s="134"/>
      <c r="HZ96" s="134"/>
      <c r="IA96" s="134"/>
      <c r="IB96" s="134"/>
      <c r="IC96" s="134"/>
      <c r="IE96" s="134"/>
      <c r="IF96" s="134"/>
      <c r="IG96" s="134"/>
      <c r="IH96" s="134"/>
      <c r="II96" s="134"/>
      <c r="IJ96" s="134"/>
      <c r="IK96" s="134"/>
      <c r="IL96" s="134"/>
      <c r="IM96" s="134"/>
      <c r="IN96" s="135"/>
      <c r="IO96" s="135"/>
      <c r="IP96" s="135"/>
    </row>
    <row r="97" spans="1:250" ht="23.25" customHeight="1" x14ac:dyDescent="0.25">
      <c r="A97" s="74">
        <f>IF($I97&gt;0,VLOOKUP(I97,'Lista de Precios'!$A$3:$L$2883,9,0),0)</f>
        <v>0</v>
      </c>
      <c r="B97" s="74">
        <f>IF($I97&gt;0,VLOOKUP(I97,'Lista de Precios'!$A$3:$H$2883,7,0),0)</f>
        <v>0</v>
      </c>
      <c r="C97" s="7" t="str">
        <f>IF($I97&gt;0,VLOOKUP(I97,'Lista de Precios'!$A$3:$H$2883,2,0),"")</f>
        <v/>
      </c>
      <c r="D97" s="7" t="str">
        <f>IF($I97&gt;0,VLOOKUP(I97,'Lista de Precios'!$A$3:$H$2883,3,0),"")</f>
        <v/>
      </c>
      <c r="E97" s="76" t="str">
        <f>IF($I97&gt;0,VLOOKUP(I97,'Lista de Precios'!$A$3:$H$2883,6,0),"")</f>
        <v/>
      </c>
      <c r="F97" s="76" t="str">
        <f>IF($I97&gt;0,VLOOKUP(I97,'Lista de Precios'!$A$3:$H$2883,8,0),"")</f>
        <v/>
      </c>
      <c r="G97" s="101" t="str">
        <f t="shared" si="18"/>
        <v/>
      </c>
      <c r="H97" s="20" t="s">
        <v>3</v>
      </c>
      <c r="I97" s="18"/>
      <c r="J97" s="28" t="str">
        <f t="shared" si="24"/>
        <v/>
      </c>
      <c r="K97" s="24">
        <f>+IF($I97&gt;0,VLOOKUP($I97,'Lista de Precios'!$A$3:$H$2883,5,0),0)</f>
        <v>0</v>
      </c>
      <c r="L97" s="37"/>
      <c r="M97" s="37"/>
      <c r="N97" s="37"/>
      <c r="O97" s="37"/>
      <c r="P97" s="40"/>
      <c r="Q97" s="39"/>
      <c r="R97" s="37"/>
      <c r="S97" s="37"/>
      <c r="T97" s="37"/>
      <c r="U97" s="37"/>
      <c r="V97" s="37"/>
      <c r="W97" s="37"/>
      <c r="X97" s="37"/>
      <c r="Y97" s="37"/>
      <c r="Z97" s="40"/>
      <c r="AA97" s="41"/>
      <c r="AB97" s="37"/>
      <c r="AC97" s="37"/>
      <c r="AD97" s="37"/>
      <c r="AE97" s="37"/>
      <c r="AF97" s="37"/>
      <c r="AG97" s="37"/>
      <c r="AH97" s="42"/>
      <c r="AI97" s="42"/>
      <c r="AJ97" s="43"/>
      <c r="AK97" s="43"/>
      <c r="AL97" s="43"/>
      <c r="AM97" s="73">
        <f t="shared" si="17"/>
        <v>0</v>
      </c>
      <c r="AN97" s="71" t="str">
        <f>+IF($I97&gt;0,VLOOKUP($I97,'Lista de Precios'!$A$3:$H$2883,4,0),"")</f>
        <v/>
      </c>
      <c r="AO97" s="68" t="str">
        <f t="shared" si="19"/>
        <v/>
      </c>
      <c r="AP97" s="7" t="str">
        <f>IF($I97&gt;0,VLOOKUP($I97,'Lista de Precios'!$A$3:$K$2883,10,0),"")</f>
        <v/>
      </c>
      <c r="AR97" s="7" t="str">
        <f>IF($I97&gt;0,VLOOKUP(I97,'Lista de Precios'!$A$3:$M$2883,13,0),"")</f>
        <v/>
      </c>
      <c r="HR97" s="134"/>
      <c r="HS97" s="134"/>
      <c r="HT97" s="134"/>
      <c r="HU97" s="134"/>
      <c r="HV97" s="134"/>
      <c r="HW97" s="134"/>
      <c r="HX97" s="134"/>
      <c r="HY97" s="134"/>
      <c r="HZ97" s="134"/>
      <c r="IA97" s="134"/>
      <c r="IB97" s="134"/>
      <c r="IC97" s="134"/>
      <c r="IE97" s="134"/>
      <c r="IF97" s="134"/>
      <c r="IG97" s="134"/>
      <c r="IH97" s="134"/>
      <c r="II97" s="134"/>
      <c r="IJ97" s="134"/>
      <c r="IK97" s="134"/>
      <c r="IL97" s="134"/>
      <c r="IM97" s="134"/>
      <c r="IN97" s="135"/>
      <c r="IO97" s="135"/>
      <c r="IP97" s="135"/>
    </row>
    <row r="98" spans="1:250" ht="23.25" customHeight="1" x14ac:dyDescent="0.25">
      <c r="A98" s="74">
        <f>IF($I98&gt;0,VLOOKUP(I98,'Lista de Precios'!$A$3:$L$2883,9,0),0)</f>
        <v>0</v>
      </c>
      <c r="B98" s="74">
        <f>IF($I98&gt;0,VLOOKUP(I98,'Lista de Precios'!$A$3:$H$2883,7,0),0)</f>
        <v>0</v>
      </c>
      <c r="C98" s="7" t="str">
        <f>IF($I98&gt;0,VLOOKUP(I98,'Lista de Precios'!$A$3:$H$2883,2,0),"")</f>
        <v/>
      </c>
      <c r="D98" s="7" t="str">
        <f>IF($I98&gt;0,VLOOKUP(I98,'Lista de Precios'!$A$3:$H$2883,3,0),"")</f>
        <v/>
      </c>
      <c r="E98" s="76" t="str">
        <f>IF($I98&gt;0,VLOOKUP(I98,'Lista de Precios'!$A$3:$H$2883,6,0),"")</f>
        <v/>
      </c>
      <c r="F98" s="76" t="str">
        <f>IF($I98&gt;0,VLOOKUP(I98,'Lista de Precios'!$A$3:$H$2883,8,0),"")</f>
        <v/>
      </c>
      <c r="G98" s="101" t="str">
        <f t="shared" si="18"/>
        <v/>
      </c>
      <c r="H98" s="20" t="s">
        <v>3</v>
      </c>
      <c r="I98" s="18"/>
      <c r="J98" s="28" t="str">
        <f t="shared" si="24"/>
        <v/>
      </c>
      <c r="K98" s="24">
        <f>+IF($I98&gt;0,VLOOKUP($I98,'Lista de Precios'!$A$3:$H$2883,5,0),0)</f>
        <v>0</v>
      </c>
      <c r="L98" s="36"/>
      <c r="M98" s="36"/>
      <c r="N98" s="36"/>
      <c r="O98" s="37"/>
      <c r="P98" s="38"/>
      <c r="Q98" s="39"/>
      <c r="R98" s="37"/>
      <c r="S98" s="37"/>
      <c r="T98" s="37"/>
      <c r="U98" s="37"/>
      <c r="V98" s="37"/>
      <c r="W98" s="37"/>
      <c r="X98" s="37"/>
      <c r="Y98" s="37"/>
      <c r="Z98" s="40"/>
      <c r="AA98" s="41"/>
      <c r="AB98" s="37"/>
      <c r="AC98" s="37"/>
      <c r="AD98" s="37"/>
      <c r="AE98" s="37"/>
      <c r="AF98" s="37"/>
      <c r="AG98" s="37"/>
      <c r="AH98" s="42"/>
      <c r="AI98" s="42"/>
      <c r="AJ98" s="43"/>
      <c r="AK98" s="43"/>
      <c r="AL98" s="43"/>
      <c r="AM98" s="73">
        <f t="shared" si="17"/>
        <v>0</v>
      </c>
      <c r="AN98" s="71" t="str">
        <f>+IF($I98&gt;0,VLOOKUP($I98,'Lista de Precios'!$A$3:$H$2883,4,0),"")</f>
        <v/>
      </c>
      <c r="AO98" s="68" t="str">
        <f t="shared" si="19"/>
        <v/>
      </c>
      <c r="AP98" s="7" t="str">
        <f>IF($I98&gt;0,VLOOKUP($I98,'Lista de Precios'!$A$3:$K$2883,10,0),"")</f>
        <v/>
      </c>
      <c r="AR98" s="7" t="str">
        <f>IF($I98&gt;0,VLOOKUP(I98,'Lista de Precios'!$A$3:$M$2883,13,0),"")</f>
        <v/>
      </c>
      <c r="HR98" s="134"/>
      <c r="HS98" s="134"/>
      <c r="HT98" s="134"/>
      <c r="HU98" s="134"/>
      <c r="HV98" s="134"/>
      <c r="HW98" s="134"/>
      <c r="HX98" s="134"/>
      <c r="HY98" s="134"/>
      <c r="HZ98" s="134"/>
      <c r="IA98" s="134"/>
      <c r="IB98" s="134"/>
      <c r="IC98" s="134"/>
      <c r="IE98" s="134"/>
      <c r="IF98" s="134"/>
      <c r="IG98" s="134"/>
      <c r="IH98" s="134"/>
      <c r="II98" s="134"/>
      <c r="IJ98" s="134"/>
      <c r="IK98" s="134"/>
      <c r="IL98" s="134"/>
      <c r="IM98" s="134"/>
      <c r="IN98" s="135"/>
      <c r="IO98" s="135"/>
      <c r="IP98" s="135"/>
    </row>
    <row r="99" spans="1:250" ht="23.25" customHeight="1" x14ac:dyDescent="0.25">
      <c r="A99" s="74">
        <f>IF($I99&gt;0,VLOOKUP(I99,'Lista de Precios'!$A$3:$L$2883,9,0),0)</f>
        <v>0</v>
      </c>
      <c r="B99" s="74">
        <f>IF($I99&gt;0,VLOOKUP(I99,'Lista de Precios'!$A$3:$H$2883,7,0),0)</f>
        <v>0</v>
      </c>
      <c r="C99" s="7" t="str">
        <f>IF($I99&gt;0,VLOOKUP(I99,'Lista de Precios'!$A$3:$H$2883,2,0),"")</f>
        <v/>
      </c>
      <c r="D99" s="7" t="str">
        <f>IF($I99&gt;0,VLOOKUP(I99,'Lista de Precios'!$A$3:$H$2883,3,0),"")</f>
        <v/>
      </c>
      <c r="E99" s="76" t="str">
        <f>IF($I99&gt;0,VLOOKUP(I99,'Lista de Precios'!$A$3:$H$2883,6,0),"")</f>
        <v/>
      </c>
      <c r="F99" s="76" t="str">
        <f>IF($I99&gt;0,VLOOKUP(I99,'Lista de Precios'!$A$3:$H$2883,8,0),"")</f>
        <v/>
      </c>
      <c r="G99" s="101" t="str">
        <f t="shared" si="18"/>
        <v/>
      </c>
      <c r="H99" s="20" t="s">
        <v>3</v>
      </c>
      <c r="I99" s="18"/>
      <c r="J99" s="28" t="str">
        <f t="shared" si="24"/>
        <v/>
      </c>
      <c r="K99" s="24">
        <f>+IF($I99&gt;0,VLOOKUP($I99,'Lista de Precios'!$A$3:$H$2883,5,0),0)</f>
        <v>0</v>
      </c>
      <c r="L99" s="37"/>
      <c r="M99" s="37"/>
      <c r="N99" s="37"/>
      <c r="O99" s="37"/>
      <c r="P99" s="40"/>
      <c r="Q99" s="39"/>
      <c r="R99" s="37"/>
      <c r="S99" s="37"/>
      <c r="T99" s="37"/>
      <c r="U99" s="37"/>
      <c r="V99" s="37"/>
      <c r="W99" s="37"/>
      <c r="X99" s="37"/>
      <c r="Y99" s="37"/>
      <c r="Z99" s="40"/>
      <c r="AA99" s="41"/>
      <c r="AB99" s="37"/>
      <c r="AC99" s="43"/>
      <c r="AD99" s="43"/>
      <c r="AE99" s="43"/>
      <c r="AF99" s="43"/>
      <c r="AG99" s="43"/>
      <c r="AH99" s="42"/>
      <c r="AI99" s="42"/>
      <c r="AJ99" s="42"/>
      <c r="AK99" s="42"/>
      <c r="AL99" s="43"/>
      <c r="AM99" s="73">
        <f t="shared" si="17"/>
        <v>0</v>
      </c>
      <c r="AN99" s="71" t="str">
        <f>+IF($I99&gt;0,VLOOKUP($I99,'Lista de Precios'!$A$3:$H$2883,4,0),"")</f>
        <v/>
      </c>
      <c r="AO99" s="68" t="str">
        <f t="shared" si="19"/>
        <v/>
      </c>
      <c r="AP99" s="7" t="str">
        <f>IF($I99&gt;0,VLOOKUP($I99,'Lista de Precios'!$A$3:$K$2883,10,0),"")</f>
        <v/>
      </c>
      <c r="AR99" s="7" t="str">
        <f>IF($I99&gt;0,VLOOKUP(I99,'Lista de Precios'!$A$3:$M$2883,13,0),"")</f>
        <v/>
      </c>
      <c r="HR99" s="134"/>
      <c r="HS99" s="134"/>
      <c r="HT99" s="134"/>
      <c r="HU99" s="134"/>
      <c r="HV99" s="134"/>
      <c r="HW99" s="134"/>
      <c r="HX99" s="134"/>
      <c r="HY99" s="134"/>
      <c r="HZ99" s="134"/>
      <c r="IA99" s="134"/>
      <c r="IB99" s="134"/>
      <c r="IC99" s="134"/>
      <c r="IE99" s="134"/>
      <c r="IF99" s="134"/>
      <c r="IG99" s="134"/>
      <c r="IH99" s="134"/>
      <c r="II99" s="134"/>
      <c r="IJ99" s="134"/>
      <c r="IK99" s="134"/>
      <c r="IL99" s="134"/>
      <c r="IM99" s="134"/>
      <c r="IN99" s="135"/>
      <c r="IO99" s="135"/>
      <c r="IP99" s="135"/>
    </row>
    <row r="100" spans="1:250" ht="23.25" customHeight="1" x14ac:dyDescent="0.25">
      <c r="A100" s="74">
        <f>IF($I100&gt;0,VLOOKUP(I100,'Lista de Precios'!$A$3:$L$2883,9,0),0)</f>
        <v>0</v>
      </c>
      <c r="B100" s="74">
        <f>IF($I100&gt;0,VLOOKUP(I100,'Lista de Precios'!$A$3:$H$2883,7,0),0)</f>
        <v>0</v>
      </c>
      <c r="C100" s="7" t="str">
        <f>IF($I100&gt;0,VLOOKUP(I100,'Lista de Precios'!$A$3:$H$2883,2,0),"")</f>
        <v/>
      </c>
      <c r="D100" s="7" t="str">
        <f>IF($I100&gt;0,VLOOKUP(I100,'Lista de Precios'!$A$3:$H$2883,3,0),"")</f>
        <v/>
      </c>
      <c r="E100" s="76" t="str">
        <f>IF($I100&gt;0,VLOOKUP(I100,'Lista de Precios'!$A$3:$H$2883,6,0),"")</f>
        <v/>
      </c>
      <c r="F100" s="76" t="str">
        <f>IF($I100&gt;0,VLOOKUP(I100,'Lista de Precios'!$A$3:$H$2883,8,0),"")</f>
        <v/>
      </c>
      <c r="G100" s="101" t="str">
        <f t="shared" si="18"/>
        <v/>
      </c>
      <c r="H100" s="20" t="s">
        <v>3</v>
      </c>
      <c r="I100" s="18"/>
      <c r="J100" s="28" t="str">
        <f t="shared" si="24"/>
        <v/>
      </c>
      <c r="K100" s="24">
        <f>+IF($I100&gt;0,VLOOKUP($I100,'Lista de Precios'!$A$3:$H$2883,5,0),0)</f>
        <v>0</v>
      </c>
      <c r="L100" s="36"/>
      <c r="M100" s="36"/>
      <c r="N100" s="36"/>
      <c r="O100" s="37"/>
      <c r="P100" s="38"/>
      <c r="Q100" s="45"/>
      <c r="R100" s="43"/>
      <c r="S100" s="43"/>
      <c r="T100" s="43"/>
      <c r="U100" s="43"/>
      <c r="V100" s="43"/>
      <c r="W100" s="43"/>
      <c r="X100" s="43"/>
      <c r="Y100" s="37"/>
      <c r="Z100" s="40"/>
      <c r="AA100" s="41"/>
      <c r="AB100" s="37"/>
      <c r="AC100" s="43"/>
      <c r="AD100" s="43"/>
      <c r="AE100" s="43"/>
      <c r="AF100" s="43"/>
      <c r="AG100" s="43"/>
      <c r="AH100" s="42"/>
      <c r="AI100" s="42"/>
      <c r="AJ100" s="42"/>
      <c r="AK100" s="42"/>
      <c r="AL100" s="43"/>
      <c r="AM100" s="73">
        <f t="shared" si="17"/>
        <v>0</v>
      </c>
      <c r="AN100" s="71" t="str">
        <f>+IF($I100&gt;0,VLOOKUP($I100,'Lista de Precios'!$A$3:$H$2883,4,0),"")</f>
        <v/>
      </c>
      <c r="AO100" s="68" t="str">
        <f t="shared" si="19"/>
        <v/>
      </c>
      <c r="AP100" s="7" t="str">
        <f>IF($I100&gt;0,VLOOKUP($I100,'Lista de Precios'!$A$3:$K$2883,10,0),"")</f>
        <v/>
      </c>
      <c r="AR100" s="7" t="str">
        <f>IF($I100&gt;0,VLOOKUP(I100,'Lista de Precios'!$A$3:$M$2883,13,0),"")</f>
        <v/>
      </c>
      <c r="HR100" s="134"/>
      <c r="HS100" s="134"/>
      <c r="HT100" s="134"/>
      <c r="HU100" s="134"/>
      <c r="HV100" s="134"/>
      <c r="HW100" s="134"/>
      <c r="HX100" s="134"/>
      <c r="HY100" s="134"/>
      <c r="HZ100" s="134"/>
      <c r="IA100" s="134"/>
      <c r="IB100" s="134"/>
      <c r="IC100" s="134"/>
      <c r="IE100" s="134"/>
      <c r="IF100" s="134"/>
      <c r="IG100" s="134"/>
      <c r="IH100" s="134"/>
      <c r="II100" s="134"/>
      <c r="IJ100" s="134"/>
      <c r="IK100" s="134"/>
      <c r="IL100" s="134"/>
      <c r="IM100" s="134"/>
      <c r="IN100" s="135"/>
      <c r="IO100" s="135"/>
      <c r="IP100" s="135"/>
    </row>
  </sheetData>
  <mergeCells count="6">
    <mergeCell ref="H12:I12"/>
    <mergeCell ref="D5:J5"/>
    <mergeCell ref="I7:Q8"/>
    <mergeCell ref="J9:K9"/>
    <mergeCell ref="M9:Q9"/>
    <mergeCell ref="H11:I11"/>
  </mergeCells>
  <conditionalFormatting sqref="A14:B20 A24:B24 A27:B100">
    <cfRule type="cellIs" dxfId="94" priority="45" stopIfTrue="1" operator="greaterThan">
      <formula>0</formula>
    </cfRule>
    <cfRule type="cellIs" dxfId="93" priority="46" stopIfTrue="1" operator="equal">
      <formula>0</formula>
    </cfRule>
    <cfRule type="cellIs" dxfId="92" priority="47" operator="greaterThan">
      <formula>0</formula>
    </cfRule>
    <cfRule type="cellIs" dxfId="91" priority="48" stopIfTrue="1" operator="greaterThan">
      <formula>0</formula>
    </cfRule>
    <cfRule type="cellIs" dxfId="90" priority="49" stopIfTrue="1" operator="equal">
      <formula>0</formula>
    </cfRule>
  </conditionalFormatting>
  <conditionalFormatting sqref="J14:J20 J24 J27:J100">
    <cfRule type="cellIs" dxfId="89" priority="50" stopIfTrue="1" operator="lessThan">
      <formula>E14</formula>
    </cfRule>
  </conditionalFormatting>
  <conditionalFormatting sqref="A21:B21">
    <cfRule type="cellIs" dxfId="88" priority="25" stopIfTrue="1" operator="greaterThan">
      <formula>0</formula>
    </cfRule>
    <cfRule type="cellIs" dxfId="87" priority="26" stopIfTrue="1" operator="equal">
      <formula>0</formula>
    </cfRule>
    <cfRule type="cellIs" dxfId="86" priority="27" operator="greaterThan">
      <formula>0</formula>
    </cfRule>
    <cfRule type="cellIs" dxfId="85" priority="28" stopIfTrue="1" operator="greaterThan">
      <formula>0</formula>
    </cfRule>
    <cfRule type="cellIs" dxfId="84" priority="29" stopIfTrue="1" operator="equal">
      <formula>0</formula>
    </cfRule>
  </conditionalFormatting>
  <conditionalFormatting sqref="J21">
    <cfRule type="cellIs" dxfId="83" priority="30" stopIfTrue="1" operator="lessThan">
      <formula>E21</formula>
    </cfRule>
  </conditionalFormatting>
  <conditionalFormatting sqref="A22:B22">
    <cfRule type="cellIs" dxfId="82" priority="20" stopIfTrue="1" operator="greaterThan">
      <formula>0</formula>
    </cfRule>
    <cfRule type="cellIs" dxfId="81" priority="21" stopIfTrue="1" operator="equal">
      <formula>0</formula>
    </cfRule>
    <cfRule type="cellIs" dxfId="80" priority="22" operator="greaterThan">
      <formula>0</formula>
    </cfRule>
    <cfRule type="cellIs" dxfId="79" priority="23" stopIfTrue="1" operator="greaterThan">
      <formula>0</formula>
    </cfRule>
    <cfRule type="cellIs" dxfId="78" priority="24" stopIfTrue="1" operator="equal">
      <formula>0</formula>
    </cfRule>
  </conditionalFormatting>
  <conditionalFormatting sqref="J22">
    <cfRule type="cellIs" dxfId="77" priority="19" stopIfTrue="1" operator="lessThan">
      <formula>E22</formula>
    </cfRule>
  </conditionalFormatting>
  <conditionalFormatting sqref="A23:B23">
    <cfRule type="cellIs" dxfId="76" priority="14" stopIfTrue="1" operator="greaterThan">
      <formula>0</formula>
    </cfRule>
    <cfRule type="cellIs" dxfId="75" priority="15" stopIfTrue="1" operator="equal">
      <formula>0</formula>
    </cfRule>
    <cfRule type="cellIs" dxfId="74" priority="16" operator="greaterThan">
      <formula>0</formula>
    </cfRule>
    <cfRule type="cellIs" dxfId="73" priority="17" stopIfTrue="1" operator="greaterThan">
      <formula>0</formula>
    </cfRule>
    <cfRule type="cellIs" dxfId="72" priority="18" stopIfTrue="1" operator="equal">
      <formula>0</formula>
    </cfRule>
  </conditionalFormatting>
  <conditionalFormatting sqref="J23">
    <cfRule type="cellIs" dxfId="71" priority="13" stopIfTrue="1" operator="lessThan">
      <formula>E23</formula>
    </cfRule>
  </conditionalFormatting>
  <conditionalFormatting sqref="A25:B25">
    <cfRule type="cellIs" dxfId="70" priority="8" stopIfTrue="1" operator="greaterThan">
      <formula>0</formula>
    </cfRule>
    <cfRule type="cellIs" dxfId="69" priority="9" stopIfTrue="1" operator="equal">
      <formula>0</formula>
    </cfRule>
    <cfRule type="cellIs" dxfId="68" priority="10" operator="greaterThan">
      <formula>0</formula>
    </cfRule>
    <cfRule type="cellIs" dxfId="67" priority="11" stopIfTrue="1" operator="greaterThan">
      <formula>0</formula>
    </cfRule>
    <cfRule type="cellIs" dxfId="66" priority="12" stopIfTrue="1" operator="equal">
      <formula>0</formula>
    </cfRule>
  </conditionalFormatting>
  <conditionalFormatting sqref="J25">
    <cfRule type="cellIs" dxfId="65" priority="7" stopIfTrue="1" operator="lessThan">
      <formula>E25</formula>
    </cfRule>
  </conditionalFormatting>
  <conditionalFormatting sqref="A26:B26">
    <cfRule type="cellIs" dxfId="64" priority="2" stopIfTrue="1" operator="greaterThan">
      <formula>0</formula>
    </cfRule>
    <cfRule type="cellIs" dxfId="63" priority="3" stopIfTrue="1" operator="equal">
      <formula>0</formula>
    </cfRule>
    <cfRule type="cellIs" dxfId="62" priority="4" operator="greaterThan">
      <formula>0</formula>
    </cfRule>
    <cfRule type="cellIs" dxfId="61" priority="5" stopIfTrue="1" operator="greaterThan">
      <formula>0</formula>
    </cfRule>
    <cfRule type="cellIs" dxfId="60" priority="6" stopIfTrue="1" operator="equal">
      <formula>0</formula>
    </cfRule>
  </conditionalFormatting>
  <conditionalFormatting sqref="J26">
    <cfRule type="cellIs" dxfId="59" priority="1" stopIfTrue="1" operator="lessThan">
      <formula>E26</formula>
    </cfRule>
  </conditionalFormatting>
  <printOptions horizontalCentered="1"/>
  <pageMargins left="0" right="0" top="0.39370078740157483" bottom="0.39370078740157483" header="0" footer="0"/>
  <pageSetup paperSize="5" scale="38" fitToHeight="2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pageSetUpPr fitToPage="1"/>
  </sheetPr>
  <dimension ref="A1:XES104"/>
  <sheetViews>
    <sheetView showGridLines="0" zoomScale="60" zoomScaleNormal="60" workbookViewId="0">
      <pane xSplit="11" ySplit="13" topLeftCell="L14" activePane="bottomRight" state="frozen"/>
      <selection activeCell="I14" sqref="I14"/>
      <selection pane="topRight" activeCell="I14" sqref="I14"/>
      <selection pane="bottomLeft" activeCell="I14" sqref="I14"/>
      <selection pane="bottomRight" activeCell="AI30" sqref="AI30"/>
    </sheetView>
  </sheetViews>
  <sheetFormatPr baseColWidth="10" defaultColWidth="11.42578125" defaultRowHeight="12.75" x14ac:dyDescent="0.2"/>
  <cols>
    <col min="1" max="1" width="11.42578125" style="7"/>
    <col min="2" max="2" width="8.42578125" style="7" customWidth="1"/>
    <col min="3" max="3" width="40.7109375" style="7" customWidth="1"/>
    <col min="4" max="4" width="36" style="7" bestFit="1" customWidth="1"/>
    <col min="5" max="5" width="20.28515625" style="7" bestFit="1" customWidth="1"/>
    <col min="6" max="7" width="16.42578125" style="7" customWidth="1"/>
    <col min="8" max="8" width="3.42578125" style="7" customWidth="1"/>
    <col min="9" max="9" width="13" style="7" bestFit="1" customWidth="1"/>
    <col min="10" max="10" width="17.7109375" style="7" bestFit="1" customWidth="1"/>
    <col min="11" max="11" width="4.7109375" style="7" hidden="1" customWidth="1"/>
    <col min="12" max="39" width="7.28515625" style="7" customWidth="1"/>
    <col min="40" max="40" width="16.5703125" style="7" customWidth="1"/>
    <col min="41" max="41" width="26.85546875" style="7" customWidth="1"/>
    <col min="42" max="42" width="12.7109375" style="7" hidden="1" customWidth="1"/>
    <col min="43" max="43" width="19.42578125" style="7" hidden="1" customWidth="1"/>
    <col min="44" max="44" width="11.42578125" style="7" hidden="1" customWidth="1"/>
    <col min="45" max="45" width="6.85546875" style="7" customWidth="1"/>
    <col min="46" max="16371" width="11.42578125" style="7"/>
    <col min="16372" max="16376" width="0" style="7" hidden="1" customWidth="1"/>
    <col min="16377" max="16384" width="11.42578125" style="7"/>
  </cols>
  <sheetData>
    <row r="1" spans="1:250 16370:16373" ht="27.75" customHeight="1" x14ac:dyDescent="0.2">
      <c r="B1" s="75"/>
      <c r="C1" s="84" t="str">
        <f>+'ENE 26'!$C$1</f>
        <v>NOTA DE PEDIDO - 1° SEMESTRE 2026 (Enero - Junio)</v>
      </c>
      <c r="D1" s="85"/>
      <c r="E1" s="85"/>
      <c r="F1" s="85"/>
      <c r="G1" s="85"/>
      <c r="H1" s="85"/>
      <c r="I1" s="85"/>
      <c r="J1" s="85"/>
    </row>
    <row r="2" spans="1:250 16370:16373" ht="6" customHeight="1" x14ac:dyDescent="0.2"/>
    <row r="3" spans="1:250 16370:16373" ht="20.25" x14ac:dyDescent="0.2">
      <c r="C3" s="31" t="s">
        <v>54</v>
      </c>
      <c r="D3" s="83" t="s">
        <v>2</v>
      </c>
      <c r="I3" s="32"/>
      <c r="J3" s="32"/>
    </row>
    <row r="4" spans="1:250 16370:16373" ht="6" customHeight="1" x14ac:dyDescent="0.2"/>
    <row r="5" spans="1:250 16370:16373" ht="23.25" x14ac:dyDescent="0.2">
      <c r="C5" s="31" t="s">
        <v>4</v>
      </c>
      <c r="D5" s="305" t="str">
        <f>+IF(D7="","",(VLOOKUP(D7,AUX!$A$1:$B$5610,2,FALSE)))</f>
        <v/>
      </c>
      <c r="E5" s="306"/>
      <c r="F5" s="306"/>
      <c r="G5" s="306"/>
      <c r="H5" s="306"/>
      <c r="I5" s="306"/>
      <c r="J5" s="307"/>
    </row>
    <row r="6" spans="1:250 16370:16373" ht="6" customHeight="1" thickBot="1" x14ac:dyDescent="0.25"/>
    <row r="7" spans="1:250 16370:16373" ht="23.25" x14ac:dyDescent="0.35">
      <c r="C7" s="31" t="s">
        <v>53</v>
      </c>
      <c r="D7" s="86"/>
      <c r="E7" s="33"/>
      <c r="F7" s="33"/>
      <c r="G7" s="33"/>
      <c r="H7" s="34"/>
      <c r="I7" s="314" t="s">
        <v>55</v>
      </c>
      <c r="J7" s="315"/>
      <c r="K7" s="315"/>
      <c r="L7" s="315"/>
      <c r="M7" s="315"/>
      <c r="N7" s="315"/>
      <c r="O7" s="315"/>
      <c r="P7" s="315"/>
      <c r="Q7" s="316"/>
    </row>
    <row r="8" spans="1:250 16370:16373" ht="6" customHeight="1" thickBot="1" x14ac:dyDescent="0.25">
      <c r="I8" s="317"/>
      <c r="J8" s="318"/>
      <c r="K8" s="318"/>
      <c r="L8" s="318"/>
      <c r="M8" s="318"/>
      <c r="N8" s="318"/>
      <c r="O8" s="318"/>
      <c r="P8" s="318"/>
      <c r="Q8" s="326"/>
    </row>
    <row r="9" spans="1:250 16370:16373" ht="27" customHeight="1" thickBot="1" x14ac:dyDescent="0.25">
      <c r="C9" s="31"/>
      <c r="D9" s="127" t="str">
        <f>+AUX!J8</f>
        <v>JUN 2026</v>
      </c>
      <c r="I9" s="35" t="s">
        <v>52</v>
      </c>
      <c r="J9" s="347">
        <f>+AM9</f>
        <v>452</v>
      </c>
      <c r="K9" s="348"/>
      <c r="L9" s="35" t="s">
        <v>35</v>
      </c>
      <c r="M9" s="349">
        <f>+AO9</f>
        <v>18638930.481283423</v>
      </c>
      <c r="N9" s="350"/>
      <c r="O9" s="350"/>
      <c r="P9" s="350"/>
      <c r="Q9" s="351"/>
      <c r="AM9" s="77">
        <f>SUM(AM14:AM103)</f>
        <v>452</v>
      </c>
      <c r="AN9" s="27"/>
      <c r="AO9" s="78">
        <f>SUM(AO14:AO103)</f>
        <v>18638930.481283423</v>
      </c>
    </row>
    <row r="10" spans="1:250 16370:16373" ht="6" customHeight="1" thickBot="1" x14ac:dyDescent="0.25"/>
    <row r="11" spans="1:250 16370:16373" ht="21" thickBot="1" x14ac:dyDescent="0.25">
      <c r="C11" s="1"/>
      <c r="D11" s="1"/>
      <c r="E11" s="1"/>
      <c r="F11" s="1"/>
      <c r="G11" s="1"/>
      <c r="H11" s="308" t="s">
        <v>6</v>
      </c>
      <c r="I11" s="309"/>
      <c r="J11" s="3" t="s">
        <v>51</v>
      </c>
      <c r="K11" s="4">
        <v>1</v>
      </c>
      <c r="L11" s="5" t="s">
        <v>7</v>
      </c>
      <c r="M11" s="6" t="s">
        <v>8</v>
      </c>
      <c r="N11" s="6" t="s">
        <v>9</v>
      </c>
      <c r="O11" s="6" t="s">
        <v>10</v>
      </c>
      <c r="P11" s="6" t="s">
        <v>11</v>
      </c>
      <c r="Q11" s="5" t="s">
        <v>12</v>
      </c>
      <c r="R11" s="6" t="s">
        <v>13</v>
      </c>
      <c r="S11" s="6" t="s">
        <v>14</v>
      </c>
      <c r="T11" s="6" t="s">
        <v>15</v>
      </c>
      <c r="U11" s="6" t="s">
        <v>16</v>
      </c>
      <c r="V11" s="6" t="s">
        <v>17</v>
      </c>
      <c r="W11" s="6" t="s">
        <v>18</v>
      </c>
      <c r="X11" s="6" t="s">
        <v>19</v>
      </c>
      <c r="Y11" s="6" t="s">
        <v>20</v>
      </c>
      <c r="Z11" s="6" t="s">
        <v>21</v>
      </c>
      <c r="AA11" s="5" t="s">
        <v>22</v>
      </c>
      <c r="AB11" s="6" t="s">
        <v>23</v>
      </c>
      <c r="AC11" s="6" t="s">
        <v>24</v>
      </c>
      <c r="AD11" s="6" t="s">
        <v>25</v>
      </c>
      <c r="AE11" s="6" t="s">
        <v>26</v>
      </c>
      <c r="AF11" s="6" t="s">
        <v>27</v>
      </c>
      <c r="AG11" s="6" t="s">
        <v>28</v>
      </c>
      <c r="AH11" s="6" t="s">
        <v>29</v>
      </c>
      <c r="AI11" s="6" t="s">
        <v>30</v>
      </c>
      <c r="AJ11" s="6" t="s">
        <v>31</v>
      </c>
      <c r="AK11" s="6" t="s">
        <v>32</v>
      </c>
      <c r="AL11" s="6" t="s">
        <v>33</v>
      </c>
      <c r="AM11" s="81" t="s">
        <v>34</v>
      </c>
      <c r="AN11" s="2" t="s">
        <v>5</v>
      </c>
      <c r="AO11" s="79" t="s">
        <v>35</v>
      </c>
    </row>
    <row r="12" spans="1:250 16370:16373" ht="21" thickBot="1" x14ac:dyDescent="0.25">
      <c r="H12" s="310" t="s">
        <v>37</v>
      </c>
      <c r="I12" s="311"/>
      <c r="J12" s="9" t="s">
        <v>670</v>
      </c>
      <c r="K12" s="10">
        <v>2</v>
      </c>
      <c r="L12" s="226"/>
      <c r="M12" s="189"/>
      <c r="N12" s="189"/>
      <c r="O12" s="189"/>
      <c r="P12" s="189"/>
      <c r="Q12" s="95"/>
      <c r="R12" s="189"/>
      <c r="S12" s="189"/>
      <c r="T12" s="189"/>
      <c r="U12" s="227"/>
      <c r="V12" s="189"/>
      <c r="W12" s="189"/>
      <c r="X12" s="189"/>
      <c r="Y12" s="189"/>
      <c r="Z12" s="228"/>
      <c r="AA12" s="229"/>
      <c r="AB12" s="189"/>
      <c r="AC12" s="189"/>
      <c r="AD12" s="189"/>
      <c r="AE12" s="189"/>
      <c r="AF12" s="230"/>
      <c r="AG12" s="230"/>
      <c r="AH12" s="230"/>
      <c r="AI12" s="231"/>
      <c r="AJ12" s="95"/>
      <c r="AK12" s="230"/>
      <c r="AL12" s="230"/>
      <c r="AM12" s="82" t="s">
        <v>38</v>
      </c>
      <c r="AN12" s="8" t="s">
        <v>36</v>
      </c>
      <c r="AO12" s="80" t="s">
        <v>38</v>
      </c>
      <c r="HR12" s="123"/>
      <c r="HS12" s="123"/>
      <c r="HT12" s="123"/>
      <c r="HU12" s="123"/>
      <c r="HV12" s="123"/>
      <c r="HW12" s="123"/>
      <c r="HX12" s="123"/>
      <c r="HY12" s="123"/>
      <c r="HZ12" s="123"/>
      <c r="IA12" s="123"/>
      <c r="IB12" s="123"/>
      <c r="IC12" s="123"/>
      <c r="IE12" s="123"/>
      <c r="IF12" s="123"/>
      <c r="IG12" s="123"/>
      <c r="IH12" s="123"/>
      <c r="II12" s="123"/>
      <c r="IJ12" s="123"/>
      <c r="IK12" s="123"/>
      <c r="IL12" s="123"/>
      <c r="IM12" s="123"/>
      <c r="IN12" s="123"/>
      <c r="IO12" s="123"/>
      <c r="IP12" s="123"/>
      <c r="XEP12" s="7">
        <f>+SUM(XEP14:XEP96)</f>
        <v>154</v>
      </c>
      <c r="XEQ12" s="7">
        <f t="shared" ref="XEQ12:XES12" si="0">+SUM(XEQ14:XEQ96)</f>
        <v>0</v>
      </c>
      <c r="XER12" s="7">
        <f t="shared" si="0"/>
        <v>0</v>
      </c>
      <c r="XES12" s="7">
        <f t="shared" si="0"/>
        <v>20</v>
      </c>
    </row>
    <row r="13" spans="1:250 16370:16373" ht="21" thickBot="1" x14ac:dyDescent="0.25">
      <c r="A13" s="75" t="s">
        <v>437</v>
      </c>
      <c r="B13" s="75"/>
      <c r="C13" s="75" t="s">
        <v>39</v>
      </c>
      <c r="D13" s="75" t="s">
        <v>40</v>
      </c>
      <c r="E13" s="75" t="s">
        <v>56</v>
      </c>
      <c r="F13" s="75" t="s">
        <v>373</v>
      </c>
      <c r="G13" s="75" t="s">
        <v>380</v>
      </c>
      <c r="H13" s="12"/>
      <c r="I13" s="13"/>
      <c r="J13" s="23"/>
      <c r="K13" s="14"/>
      <c r="L13" s="270"/>
      <c r="M13" s="271"/>
      <c r="N13" s="95"/>
      <c r="O13" s="96"/>
      <c r="P13" s="97"/>
      <c r="Q13" s="98"/>
      <c r="R13" s="95"/>
      <c r="S13" s="95"/>
      <c r="T13" s="95"/>
      <c r="U13" s="95"/>
      <c r="V13" s="95"/>
      <c r="W13" s="95"/>
      <c r="X13" s="95"/>
      <c r="Y13" s="96"/>
      <c r="Z13" s="97"/>
      <c r="AA13" s="99"/>
      <c r="AB13" s="95"/>
      <c r="AC13" s="95"/>
      <c r="AD13" s="95"/>
      <c r="AE13" s="95"/>
      <c r="AF13" s="95"/>
      <c r="AG13" s="95"/>
      <c r="AH13" s="95"/>
      <c r="AI13" s="100"/>
      <c r="AJ13" s="95"/>
      <c r="AK13" s="95"/>
      <c r="AL13" s="95"/>
      <c r="AM13" s="15"/>
      <c r="AN13" s="11"/>
      <c r="AO13" s="16"/>
      <c r="AP13" s="75" t="s">
        <v>442</v>
      </c>
      <c r="AQ13" s="75" t="s">
        <v>616</v>
      </c>
      <c r="IA13" s="123"/>
      <c r="IB13" s="123"/>
      <c r="IC13" s="123"/>
      <c r="IN13" s="123"/>
      <c r="IO13" s="123"/>
      <c r="IP13" s="123"/>
      <c r="XEP13" s="7" t="s">
        <v>451</v>
      </c>
      <c r="XEQ13" s="7" t="s">
        <v>617</v>
      </c>
      <c r="XER13" s="7" t="s">
        <v>618</v>
      </c>
      <c r="XES13" s="7" t="s">
        <v>453</v>
      </c>
    </row>
    <row r="14" spans="1:250 16370:16373" ht="23.25" customHeight="1" x14ac:dyDescent="0.25">
      <c r="A14" s="104" t="str">
        <f>IF($I14&gt;0,VLOOKUP(I14,'Lista de Precios'!$A$3:$L$2883,9,0),0)</f>
        <v>Mujer</v>
      </c>
      <c r="B14" s="74" t="str">
        <f>IF($I14&gt;0,VLOOKUP(I14,'Lista de Precios'!$A$3:$H$2883,7,0),0)</f>
        <v>LANZ</v>
      </c>
      <c r="C14" s="7" t="str">
        <f>IF($I14&gt;0,VLOOKUP(I14,'Lista de Precios'!$A$3:$H$2883,2,0),"")</f>
        <v>NEBULA</v>
      </c>
      <c r="D14" s="7" t="str">
        <f>IF($I14&gt;0,VLOOKUP($I14,'Lista de Precios'!$A$3:$H$2883,3,0),"")</f>
        <v>NEGRO/BEIGE ALESAN/NARANJA DUSTY</v>
      </c>
      <c r="E14" s="76" t="str">
        <f>IF($I14&gt;0,VLOOKUP(I14,'Lista de Precios'!$A$3:$H$2883,6,0),"")</f>
        <v>FEBRERO</v>
      </c>
      <c r="F14" s="76" t="str">
        <f>IF($I14&gt;0,VLOOKUP(I14,'Lista de Precios'!$A$3:$H$2883,8,0),"")</f>
        <v>35 AL 40</v>
      </c>
      <c r="G14" s="101">
        <f>IF(AN14="","",AN14*1.87)</f>
        <v>94900</v>
      </c>
      <c r="H14" s="19" t="s">
        <v>3</v>
      </c>
      <c r="I14" s="18">
        <v>52398</v>
      </c>
      <c r="J14" s="28" t="str">
        <f>+E14</f>
        <v>FEBRERO</v>
      </c>
      <c r="K14" s="24">
        <f>+IF($I14&gt;0,VLOOKUP($I14,'Lista de Precios'!$A$3:$H$2883,5,0),0)</f>
        <v>1</v>
      </c>
      <c r="L14" s="36"/>
      <c r="M14" s="36"/>
      <c r="N14" s="36"/>
      <c r="O14" s="37"/>
      <c r="P14" s="38"/>
      <c r="Q14" s="39"/>
      <c r="R14" s="37"/>
      <c r="S14" s="37"/>
      <c r="T14" s="37"/>
      <c r="U14" s="37"/>
      <c r="V14" s="37"/>
      <c r="W14" s="37"/>
      <c r="X14" s="37"/>
      <c r="Y14" s="37"/>
      <c r="Z14" s="40"/>
      <c r="AA14" s="41"/>
      <c r="AB14" s="37"/>
      <c r="AC14" s="37">
        <v>2</v>
      </c>
      <c r="AD14" s="37">
        <v>4</v>
      </c>
      <c r="AE14" s="37">
        <v>4</v>
      </c>
      <c r="AF14" s="37">
        <v>2</v>
      </c>
      <c r="AG14" s="37"/>
      <c r="AH14" s="36"/>
      <c r="AI14" s="36"/>
      <c r="AJ14" s="43"/>
      <c r="AK14" s="43"/>
      <c r="AL14" s="43"/>
      <c r="AM14" s="73">
        <f t="shared" ref="AM14:AM48" si="1">+IF(I14&gt;0,SUM(L14:AL14),0)</f>
        <v>12</v>
      </c>
      <c r="AN14" s="70">
        <f>+IF($I14&gt;0,VLOOKUP($I14,'Lista de Precios'!$A$3:$H$2883,4,0),"")</f>
        <v>50748.663101604274</v>
      </c>
      <c r="AO14" s="67">
        <f>+IF(AM14&gt;0,AN14*AM14,"")</f>
        <v>608983.95721925132</v>
      </c>
      <c r="AP14" s="7" t="str">
        <f>IF($I14&gt;0,VLOOKUP($I14,'Lista de Precios'!$A$3:$K$2883,10,0),"")</f>
        <v>Running</v>
      </c>
      <c r="AQ14" s="7" t="str">
        <f>IF($I14&gt;0,VLOOKUP($I14,'Lista de Precios'!$A$3:$M$4893,13,0),"")</f>
        <v>Running+Training</v>
      </c>
      <c r="AR14" s="7" t="str">
        <f>IF($I14&gt;0,VLOOKUP(I14,'Lista de Precios'!$A$3:$M$2883,13,0),"")</f>
        <v>Running+Training</v>
      </c>
      <c r="HR14" s="134"/>
      <c r="HS14" s="134"/>
      <c r="HT14" s="134"/>
      <c r="HU14" s="134"/>
      <c r="HV14" s="134"/>
      <c r="HW14" s="134"/>
      <c r="HX14" s="134"/>
      <c r="HY14" s="134"/>
      <c r="HZ14" s="134"/>
      <c r="IA14" s="134"/>
      <c r="IB14" s="134"/>
      <c r="IC14" s="134"/>
      <c r="IE14" s="134"/>
      <c r="IF14" s="134"/>
      <c r="IG14" s="134"/>
      <c r="IH14" s="134"/>
      <c r="II14" s="134"/>
      <c r="IJ14" s="134"/>
      <c r="IK14" s="134"/>
      <c r="IL14" s="134"/>
      <c r="IM14" s="134"/>
      <c r="IN14" s="135"/>
      <c r="IO14" s="135"/>
      <c r="IP14" s="135"/>
      <c r="XEP14" s="7" t="str">
        <f>+IF($AQ14=$XEP$13,$AM14,"")</f>
        <v/>
      </c>
      <c r="XEQ14" s="7" t="str">
        <f>+IF($AQ14=$XEQ$13,$AM14,"")</f>
        <v/>
      </c>
      <c r="XER14" s="7" t="str">
        <f>+IF($AQ14=$XER$13,$AM14,"")</f>
        <v/>
      </c>
      <c r="XES14" s="7" t="str">
        <f>+IF($AQ14=$XES$13,$AM14,"")</f>
        <v/>
      </c>
    </row>
    <row r="15" spans="1:250 16370:16373" ht="23.25" customHeight="1" x14ac:dyDescent="0.25">
      <c r="A15" s="74" t="str">
        <f>IF($I15&gt;0,VLOOKUP(I15,'Lista de Precios'!$A$3:$L$2883,9,0),0)</f>
        <v>Hombre</v>
      </c>
      <c r="B15" s="74" t="str">
        <f>IF($I15&gt;0,VLOOKUP(I15,'Lista de Precios'!$A$3:$H$2883,7,0),0)</f>
        <v>LANZ</v>
      </c>
      <c r="C15" s="7" t="str">
        <f>IF($I15&gt;0,VLOOKUP(I15,'Lista de Precios'!$A$3:$H$2883,2,0),"")</f>
        <v>NEBULA</v>
      </c>
      <c r="D15" s="7" t="str">
        <f>IF($I15&gt;0,VLOOKUP(I15,'Lista de Precios'!$A$3:$H$2883,3,0),"")</f>
        <v>GRIS MAGNET/GRIS SKY/VERDE GECKO</v>
      </c>
      <c r="E15" s="76" t="str">
        <f>IF($I15&gt;0,VLOOKUP(I15,'Lista de Precios'!$A$3:$H$2883,6,0),"")</f>
        <v>FEBRERO</v>
      </c>
      <c r="F15" s="76" t="str">
        <f>IF($I15&gt;0,VLOOKUP(I15,'Lista de Precios'!$A$3:$H$2883,8,0),"")</f>
        <v>35 AL 45</v>
      </c>
      <c r="G15" s="101">
        <f t="shared" ref="G15:G81" si="2">IF(AN15="","",AN15*1.87)</f>
        <v>94900</v>
      </c>
      <c r="H15" s="20" t="s">
        <v>3</v>
      </c>
      <c r="I15" s="18">
        <v>52397</v>
      </c>
      <c r="J15" s="28" t="str">
        <f>+E15</f>
        <v>FEBRERO</v>
      </c>
      <c r="K15" s="24">
        <f>+IF($I15&gt;0,VLOOKUP($I15,'Lista de Precios'!$A$3:$H$2883,5,0),0)</f>
        <v>1</v>
      </c>
      <c r="L15" s="36"/>
      <c r="M15" s="36"/>
      <c r="N15" s="36"/>
      <c r="O15" s="37"/>
      <c r="P15" s="38"/>
      <c r="Q15" s="39"/>
      <c r="R15" s="37"/>
      <c r="S15" s="37"/>
      <c r="T15" s="37"/>
      <c r="U15" s="37"/>
      <c r="V15" s="37"/>
      <c r="W15" s="37"/>
      <c r="X15" s="37"/>
      <c r="Y15" s="37"/>
      <c r="Z15" s="40"/>
      <c r="AA15" s="41"/>
      <c r="AB15" s="37"/>
      <c r="AC15" s="37"/>
      <c r="AD15" s="37"/>
      <c r="AE15" s="37">
        <v>4</v>
      </c>
      <c r="AF15" s="37">
        <v>4</v>
      </c>
      <c r="AG15" s="37">
        <v>6</v>
      </c>
      <c r="AH15" s="36">
        <v>4</v>
      </c>
      <c r="AI15" s="36">
        <v>2</v>
      </c>
      <c r="AJ15" s="43">
        <v>2</v>
      </c>
      <c r="AK15" s="43">
        <v>2</v>
      </c>
      <c r="AL15" s="43"/>
      <c r="AM15" s="73">
        <f t="shared" si="1"/>
        <v>24</v>
      </c>
      <c r="AN15" s="71">
        <f>+IF($I15&gt;0,VLOOKUP($I15,'Lista de Precios'!$A$3:$H$2883,4,0),"")</f>
        <v>50748.663101604274</v>
      </c>
      <c r="AO15" s="68">
        <f t="shared" ref="AO15:AO81" si="3">+IF(AM15&gt;0,AN15*AM15,"")</f>
        <v>1217967.9144385026</v>
      </c>
      <c r="AP15" s="7" t="str">
        <f>IF($I15&gt;0,VLOOKUP($I15,'Lista de Precios'!$A$3:$K$2883,10,0),"")</f>
        <v>Running</v>
      </c>
      <c r="AQ15" s="7" t="str">
        <f>IF($I15&gt;0,VLOOKUP($I15,'Lista de Precios'!$A$3:$M$4893,13,0),"")</f>
        <v>Running+Training</v>
      </c>
      <c r="AR15" s="7" t="str">
        <f>IF($I15&gt;0,VLOOKUP(I15,'Lista de Precios'!$A$3:$M$2883,13,0),"")</f>
        <v>Running+Training</v>
      </c>
      <c r="HR15" s="134"/>
      <c r="HS15" s="134"/>
      <c r="HT15" s="134"/>
      <c r="HU15" s="134"/>
      <c r="HV15" s="134"/>
      <c r="HW15" s="134"/>
      <c r="HX15" s="134"/>
      <c r="HY15" s="134"/>
      <c r="HZ15" s="134"/>
      <c r="IA15" s="134"/>
      <c r="IB15" s="134"/>
      <c r="IC15" s="134"/>
      <c r="IE15" s="134"/>
      <c r="IF15" s="134"/>
      <c r="IG15" s="134"/>
      <c r="IH15" s="134"/>
      <c r="II15" s="134"/>
      <c r="IJ15" s="134"/>
      <c r="IK15" s="134"/>
      <c r="IL15" s="134"/>
      <c r="IM15" s="134"/>
      <c r="IN15" s="135"/>
      <c r="IO15" s="135"/>
      <c r="IP15" s="135"/>
      <c r="XEP15" s="7" t="str">
        <f t="shared" ref="XEP15:XEP81" si="4">+IF($AQ15=$XEP$13,$AM15,"")</f>
        <v/>
      </c>
      <c r="XEQ15" s="7" t="str">
        <f t="shared" ref="XEQ15:XEQ81" si="5">+IF($AQ15=$XEQ$13,$AM15,"")</f>
        <v/>
      </c>
      <c r="XER15" s="7" t="str">
        <f t="shared" ref="XER15:XER81" si="6">+IF($AQ15=$XER$13,$AM15,"")</f>
        <v/>
      </c>
      <c r="XES15" s="7" t="str">
        <f t="shared" ref="XES15:XES81" si="7">+IF($AQ15=$XES$13,$AM15,"")</f>
        <v/>
      </c>
    </row>
    <row r="16" spans="1:250 16370:16373" ht="23.25" customHeight="1" x14ac:dyDescent="0.25">
      <c r="A16" s="74" t="str">
        <f>IF($I16&gt;0,VLOOKUP(I16,'Lista de Precios'!$A$3:$L$2883,9,0),0)</f>
        <v>Mujer</v>
      </c>
      <c r="B16" s="74" t="str">
        <f>IF($I16&gt;0,VLOOKUP(I16,'Lista de Precios'!$A$3:$H$2883,7,0),0)</f>
        <v>CONT</v>
      </c>
      <c r="C16" s="7" t="str">
        <f>IF($I16&gt;0,VLOOKUP(I16,'Lista de Precios'!$A$3:$H$2883,2,0),"")</f>
        <v>FAST 2.0</v>
      </c>
      <c r="D16" s="7" t="str">
        <f>IF($I16&gt;0,VLOOKUP(I16,'Lista de Precios'!$A$3:$H$2883,3,0),"")</f>
        <v>NEGRO/DORADO</v>
      </c>
      <c r="E16" s="76" t="str">
        <f>IF($I16&gt;0,VLOOKUP(I16,'Lista de Precios'!$A$3:$H$2883,6,0),"")</f>
        <v>FEBRERO</v>
      </c>
      <c r="F16" s="76" t="str">
        <f>IF($I16&gt;0,VLOOKUP(I16,'Lista de Precios'!$A$3:$H$2883,8,0),"")</f>
        <v>35 AL 40</v>
      </c>
      <c r="G16" s="101">
        <f t="shared" si="2"/>
        <v>74900</v>
      </c>
      <c r="H16" s="20" t="s">
        <v>3</v>
      </c>
      <c r="I16" s="18">
        <v>26443</v>
      </c>
      <c r="J16" s="28" t="str">
        <f t="shared" ref="J16:J82" si="8">+E16</f>
        <v>FEBRERO</v>
      </c>
      <c r="K16" s="24">
        <f>+IF($I16&gt;0,VLOOKUP($I16,'Lista de Precios'!$A$3:$H$2883,5,0),0)</f>
        <v>1</v>
      </c>
      <c r="L16" s="36"/>
      <c r="M16" s="36"/>
      <c r="N16" s="36"/>
      <c r="O16" s="37"/>
      <c r="P16" s="38"/>
      <c r="Q16" s="39"/>
      <c r="R16" s="37"/>
      <c r="S16" s="37"/>
      <c r="T16" s="37"/>
      <c r="U16" s="37"/>
      <c r="V16" s="37"/>
      <c r="W16" s="37"/>
      <c r="X16" s="37"/>
      <c r="Y16" s="37"/>
      <c r="Z16" s="40"/>
      <c r="AA16" s="41"/>
      <c r="AB16" s="37"/>
      <c r="AC16" s="37">
        <v>4</v>
      </c>
      <c r="AD16" s="37">
        <v>6</v>
      </c>
      <c r="AE16" s="37">
        <v>6</v>
      </c>
      <c r="AF16" s="37">
        <v>4</v>
      </c>
      <c r="AG16" s="37"/>
      <c r="AH16" s="36"/>
      <c r="AI16" s="36"/>
      <c r="AJ16" s="43"/>
      <c r="AK16" s="43"/>
      <c r="AL16" s="43"/>
      <c r="AM16" s="73">
        <f t="shared" si="1"/>
        <v>20</v>
      </c>
      <c r="AN16" s="71">
        <f>+IF($I16&gt;0,VLOOKUP($I16,'Lista de Precios'!$A$3:$H$2883,4,0),"")</f>
        <v>40053.475935828872</v>
      </c>
      <c r="AO16" s="68">
        <f t="shared" si="3"/>
        <v>801069.51871657744</v>
      </c>
      <c r="AP16" s="7" t="str">
        <f>IF($I16&gt;0,VLOOKUP($I16,'Lista de Precios'!$A$3:$K$2883,10,0),"")</f>
        <v>Running</v>
      </c>
      <c r="AQ16" s="7" t="str">
        <f>IF($I16&gt;0,VLOOKUP($I16,'Lista de Precios'!$A$3:$M$4893,13,0),"")</f>
        <v>Running+Training</v>
      </c>
      <c r="AR16" s="7" t="str">
        <f>IF($I16&gt;0,VLOOKUP(I16,'Lista de Precios'!$A$3:$M$2883,13,0),"")</f>
        <v>Running+Training</v>
      </c>
      <c r="HR16" s="134"/>
      <c r="HS16" s="134"/>
      <c r="HT16" s="134"/>
      <c r="HU16" s="134"/>
      <c r="HV16" s="134"/>
      <c r="HW16" s="134"/>
      <c r="HX16" s="134"/>
      <c r="HY16" s="134"/>
      <c r="HZ16" s="134"/>
      <c r="IA16" s="134"/>
      <c r="IB16" s="134"/>
      <c r="IC16" s="134"/>
      <c r="IE16" s="134"/>
      <c r="IF16" s="134"/>
      <c r="IG16" s="134"/>
      <c r="IH16" s="134"/>
      <c r="II16" s="134"/>
      <c r="IJ16" s="134"/>
      <c r="IK16" s="134"/>
      <c r="IL16" s="134"/>
      <c r="IM16" s="134"/>
      <c r="IN16" s="135"/>
      <c r="IO16" s="135"/>
      <c r="IP16" s="135"/>
      <c r="XEP16" s="7" t="str">
        <f t="shared" si="4"/>
        <v/>
      </c>
      <c r="XEQ16" s="7" t="str">
        <f t="shared" si="5"/>
        <v/>
      </c>
      <c r="XER16" s="7" t="str">
        <f t="shared" si="6"/>
        <v/>
      </c>
      <c r="XES16" s="7" t="str">
        <f t="shared" si="7"/>
        <v/>
      </c>
    </row>
    <row r="17" spans="1:250 16369:16373" ht="23.25" customHeight="1" x14ac:dyDescent="0.25">
      <c r="A17" s="74" t="str">
        <f>IF($I17&gt;0,VLOOKUP(I17,'Lista de Precios'!$A$3:$L$2883,9,0),0)</f>
        <v>Mujer</v>
      </c>
      <c r="B17" s="74" t="str">
        <f>IF($I17&gt;0,VLOOKUP(I17,'Lista de Precios'!$A$3:$H$2883,7,0),0)</f>
        <v>LANZ</v>
      </c>
      <c r="C17" s="7" t="str">
        <f>IF($I17&gt;0,VLOOKUP(I17,'Lista de Precios'!$A$3:$H$2883,2,0),"")</f>
        <v>KALYAN</v>
      </c>
      <c r="D17" s="7" t="str">
        <f>IF($I17&gt;0,VLOOKUP(I17,'Lista de Precios'!$A$3:$H$2883,3,0),"")</f>
        <v>NEGRO/FUCSIA DIVA</v>
      </c>
      <c r="E17" s="76" t="str">
        <f>IF($I17&gt;0,VLOOKUP(I17,'Lista de Precios'!$A$3:$H$2883,6,0),"")</f>
        <v>MARZO</v>
      </c>
      <c r="F17" s="76" t="str">
        <f>IF($I17&gt;0,VLOOKUP(I17,'Lista de Precios'!$A$3:$H$2883,8,0),"")</f>
        <v>35 AL 40</v>
      </c>
      <c r="G17" s="101">
        <f t="shared" si="2"/>
        <v>59900</v>
      </c>
      <c r="H17" s="20" t="s">
        <v>3</v>
      </c>
      <c r="I17" s="18">
        <v>27342</v>
      </c>
      <c r="J17" s="28" t="str">
        <f t="shared" si="8"/>
        <v>MARZO</v>
      </c>
      <c r="K17" s="24">
        <f>+IF($I17&gt;0,VLOOKUP($I17,'Lista de Precios'!$A$3:$H$2883,5,0),0)</f>
        <v>1</v>
      </c>
      <c r="L17" s="36"/>
      <c r="M17" s="36"/>
      <c r="N17" s="36"/>
      <c r="O17" s="37"/>
      <c r="P17" s="38"/>
      <c r="Q17" s="39"/>
      <c r="R17" s="37"/>
      <c r="S17" s="37"/>
      <c r="T17" s="37"/>
      <c r="U17" s="37"/>
      <c r="V17" s="37"/>
      <c r="W17" s="37"/>
      <c r="X17" s="37"/>
      <c r="Y17" s="37"/>
      <c r="Z17" s="40"/>
      <c r="AA17" s="41"/>
      <c r="AB17" s="37"/>
      <c r="AC17" s="37"/>
      <c r="AD17" s="37">
        <v>6</v>
      </c>
      <c r="AE17" s="37">
        <v>6</v>
      </c>
      <c r="AF17" s="37">
        <v>4</v>
      </c>
      <c r="AG17" s="37"/>
      <c r="AH17" s="36"/>
      <c r="AI17" s="36"/>
      <c r="AJ17" s="43"/>
      <c r="AK17" s="43"/>
      <c r="AL17" s="43"/>
      <c r="AM17" s="73">
        <f t="shared" si="1"/>
        <v>16</v>
      </c>
      <c r="AN17" s="71">
        <f>+IF($I17&gt;0,VLOOKUP($I17,'Lista de Precios'!$A$3:$H$2883,4,0),"")</f>
        <v>32032.085561497326</v>
      </c>
      <c r="AO17" s="68">
        <f t="shared" si="3"/>
        <v>512513.36898395722</v>
      </c>
      <c r="AP17" s="7" t="str">
        <f>IF($I17&gt;0,VLOOKUP($I17,'Lista de Precios'!$A$3:$K$2883,10,0),"")</f>
        <v>Running</v>
      </c>
      <c r="AQ17" s="7" t="str">
        <f>IF($I17&gt;0,VLOOKUP($I17,'Lista de Precios'!$A$3:$M$4893,13,0),"")</f>
        <v>Running+Training</v>
      </c>
      <c r="AR17" s="7" t="str">
        <f>IF($I17&gt;0,VLOOKUP(I17,'Lista de Precios'!$A$3:$M$2883,13,0),"")</f>
        <v>Running+Training</v>
      </c>
      <c r="HR17" s="134"/>
      <c r="HS17" s="134"/>
      <c r="HT17" s="134"/>
      <c r="HU17" s="134"/>
      <c r="HV17" s="134"/>
      <c r="HW17" s="134"/>
      <c r="HX17" s="134"/>
      <c r="HY17" s="134"/>
      <c r="HZ17" s="134"/>
      <c r="IA17" s="134"/>
      <c r="IB17" s="134"/>
      <c r="IC17" s="134"/>
      <c r="IE17" s="134"/>
      <c r="IF17" s="134"/>
      <c r="IG17" s="134"/>
      <c r="IH17" s="134"/>
      <c r="II17" s="134"/>
      <c r="IJ17" s="134"/>
      <c r="IK17" s="134"/>
      <c r="IL17" s="134"/>
      <c r="IM17" s="134"/>
      <c r="IN17" s="135"/>
      <c r="IO17" s="135"/>
      <c r="IP17" s="135"/>
      <c r="XEP17" s="7" t="str">
        <f t="shared" si="4"/>
        <v/>
      </c>
      <c r="XEQ17" s="7" t="str">
        <f t="shared" si="5"/>
        <v/>
      </c>
      <c r="XER17" s="7" t="str">
        <f t="shared" si="6"/>
        <v/>
      </c>
      <c r="XES17" s="7" t="str">
        <f t="shared" si="7"/>
        <v/>
      </c>
    </row>
    <row r="18" spans="1:250 16369:16373" ht="23.25" customHeight="1" x14ac:dyDescent="0.25">
      <c r="A18" s="74" t="str">
        <f>IF($I18&gt;0,VLOOKUP(I18,'Lista de Precios'!$A$3:$L$2883,9,0),0)</f>
        <v>Mujer</v>
      </c>
      <c r="B18" s="74" t="str">
        <f>IF($I18&gt;0,VLOOKUP(I18,'Lista de Precios'!$A$3:$H$2883,7,0),0)</f>
        <v>LANZ</v>
      </c>
      <c r="C18" s="7" t="str">
        <f>IF($I18&gt;0,VLOOKUP(I18,'Lista de Precios'!$A$3:$H$2883,2,0),"")</f>
        <v>KALYAN</v>
      </c>
      <c r="D18" s="7" t="str">
        <f>IF($I18&gt;0,VLOOKUP(I18,'Lista de Precios'!$A$3:$H$2883,3,0),"")</f>
        <v>VIOLETA HUCKLE/ROSA GRAY</v>
      </c>
      <c r="E18" s="76" t="str">
        <f>IF($I18&gt;0,VLOOKUP(I18,'Lista de Precios'!$A$3:$H$2883,6,0),"")</f>
        <v>MARZO</v>
      </c>
      <c r="F18" s="76" t="str">
        <f>IF($I18&gt;0,VLOOKUP(I18,'Lista de Precios'!$A$3:$H$2883,8,0),"")</f>
        <v>35 AL 40</v>
      </c>
      <c r="G18" s="101">
        <f t="shared" si="2"/>
        <v>59900</v>
      </c>
      <c r="H18" s="20" t="s">
        <v>3</v>
      </c>
      <c r="I18" s="18">
        <v>27341</v>
      </c>
      <c r="J18" s="28" t="str">
        <f t="shared" si="8"/>
        <v>MARZO</v>
      </c>
      <c r="K18" s="24">
        <f>+IF($I18&gt;0,VLOOKUP($I18,'Lista de Precios'!$A$3:$H$2883,5,0),0)</f>
        <v>1</v>
      </c>
      <c r="L18" s="36"/>
      <c r="M18" s="36"/>
      <c r="N18" s="36"/>
      <c r="O18" s="37"/>
      <c r="P18" s="38"/>
      <c r="Q18" s="39"/>
      <c r="R18" s="37"/>
      <c r="S18" s="37"/>
      <c r="T18" s="37"/>
      <c r="U18" s="37"/>
      <c r="V18" s="37"/>
      <c r="W18" s="37"/>
      <c r="X18" s="37"/>
      <c r="Y18" s="37"/>
      <c r="Z18" s="40"/>
      <c r="AA18" s="41"/>
      <c r="AB18" s="37"/>
      <c r="AC18" s="37"/>
      <c r="AD18" s="37">
        <v>4</v>
      </c>
      <c r="AE18" s="37">
        <v>4</v>
      </c>
      <c r="AF18" s="37">
        <v>2</v>
      </c>
      <c r="AG18" s="37"/>
      <c r="AH18" s="42"/>
      <c r="AI18" s="42"/>
      <c r="AJ18" s="43"/>
      <c r="AK18" s="43"/>
      <c r="AL18" s="43"/>
      <c r="AM18" s="73">
        <f t="shared" si="1"/>
        <v>10</v>
      </c>
      <c r="AN18" s="71">
        <f>+IF($I18&gt;0,VLOOKUP($I18,'Lista de Precios'!$A$3:$H$2883,4,0),"")</f>
        <v>32032.085561497326</v>
      </c>
      <c r="AO18" s="68">
        <f t="shared" si="3"/>
        <v>320320.85561497323</v>
      </c>
      <c r="AP18" s="7" t="str">
        <f>IF($I18&gt;0,VLOOKUP($I18,'Lista de Precios'!$A$3:$K$2883,10,0),"")</f>
        <v>Running</v>
      </c>
      <c r="AQ18" s="7" t="str">
        <f>IF($I18&gt;0,VLOOKUP($I18,'Lista de Precios'!$A$3:$M$4893,13,0),"")</f>
        <v>Running+Training</v>
      </c>
      <c r="AR18" s="7" t="str">
        <f>IF($I18&gt;0,VLOOKUP(I18,'Lista de Precios'!$A$3:$M$2883,13,0),"")</f>
        <v>Running+Training</v>
      </c>
      <c r="HR18" s="134"/>
      <c r="HS18" s="134"/>
      <c r="HT18" s="134"/>
      <c r="HU18" s="134"/>
      <c r="HV18" s="134"/>
      <c r="HW18" s="134"/>
      <c r="HX18" s="134"/>
      <c r="HY18" s="134"/>
      <c r="HZ18" s="134"/>
      <c r="IA18" s="134"/>
      <c r="IB18" s="134"/>
      <c r="IC18" s="134"/>
      <c r="IE18" s="134"/>
      <c r="IF18" s="134"/>
      <c r="IG18" s="134"/>
      <c r="IH18" s="134"/>
      <c r="II18" s="134"/>
      <c r="IJ18" s="134"/>
      <c r="IK18" s="134"/>
      <c r="IL18" s="134"/>
      <c r="IM18" s="134"/>
      <c r="IN18" s="135"/>
      <c r="IO18" s="135"/>
      <c r="IP18" s="135"/>
      <c r="XEP18" s="7" t="str">
        <f t="shared" si="4"/>
        <v/>
      </c>
      <c r="XEQ18" s="7" t="str">
        <f t="shared" si="5"/>
        <v/>
      </c>
      <c r="XER18" s="7" t="str">
        <f t="shared" si="6"/>
        <v/>
      </c>
      <c r="XES18" s="7" t="str">
        <f t="shared" si="7"/>
        <v/>
      </c>
    </row>
    <row r="19" spans="1:250 16369:16373" ht="23.25" customHeight="1" x14ac:dyDescent="0.25">
      <c r="A19" s="74" t="str">
        <f>IF($I19&gt;0,VLOOKUP(I19,'Lista de Precios'!$A$3:$L$2883,9,0),0)</f>
        <v>Hombre</v>
      </c>
      <c r="B19" s="74" t="str">
        <f>IF($I19&gt;0,VLOOKUP(I19,'Lista de Precios'!$A$3:$H$2883,7,0),0)</f>
        <v>LANZ</v>
      </c>
      <c r="C19" s="7" t="str">
        <f>IF($I19&gt;0,VLOOKUP(I19,'Lista de Precios'!$A$3:$H$2883,2,0),"")</f>
        <v>KALYAN</v>
      </c>
      <c r="D19" s="7" t="str">
        <f>IF($I19&gt;0,VLOOKUP(I19,'Lista de Precios'!$A$3:$H$2883,3,0),"")</f>
        <v>GRIS CITY/AMARILLO SAFE</v>
      </c>
      <c r="E19" s="76" t="str">
        <f>IF($I19&gt;0,VLOOKUP(I19,'Lista de Precios'!$A$3:$H$2883,6,0),"")</f>
        <v>MARZO</v>
      </c>
      <c r="F19" s="76" t="str">
        <f>IF($I19&gt;0,VLOOKUP(I19,'Lista de Precios'!$A$3:$H$2883,8,0),"")</f>
        <v>35 AL 45</v>
      </c>
      <c r="G19" s="101">
        <f t="shared" si="2"/>
        <v>59900</v>
      </c>
      <c r="H19" s="20" t="s">
        <v>3</v>
      </c>
      <c r="I19" s="18">
        <v>27340</v>
      </c>
      <c r="J19" s="28" t="str">
        <f t="shared" si="8"/>
        <v>MARZO</v>
      </c>
      <c r="K19" s="24">
        <f>+IF($I19&gt;0,VLOOKUP($I19,'Lista de Precios'!$A$3:$H$2883,5,0),0)</f>
        <v>1</v>
      </c>
      <c r="L19" s="36"/>
      <c r="M19" s="36"/>
      <c r="N19" s="36"/>
      <c r="O19" s="37"/>
      <c r="P19" s="38"/>
      <c r="Q19" s="39"/>
      <c r="R19" s="37"/>
      <c r="S19" s="37"/>
      <c r="T19" s="37"/>
      <c r="U19" s="37"/>
      <c r="V19" s="37"/>
      <c r="W19" s="37"/>
      <c r="X19" s="37"/>
      <c r="Y19" s="37"/>
      <c r="Z19" s="40"/>
      <c r="AA19" s="41"/>
      <c r="AB19" s="37"/>
      <c r="AC19" s="37"/>
      <c r="AD19" s="37"/>
      <c r="AE19" s="37"/>
      <c r="AF19" s="37">
        <v>2</v>
      </c>
      <c r="AG19" s="37">
        <v>4</v>
      </c>
      <c r="AH19" s="42">
        <v>2</v>
      </c>
      <c r="AI19" s="42">
        <v>2</v>
      </c>
      <c r="AJ19" s="43">
        <v>2</v>
      </c>
      <c r="AK19" s="43">
        <v>2</v>
      </c>
      <c r="AL19" s="43"/>
      <c r="AM19" s="73">
        <f t="shared" si="1"/>
        <v>14</v>
      </c>
      <c r="AN19" s="71">
        <f>+IF($I19&gt;0,VLOOKUP($I19,'Lista de Precios'!$A$3:$H$2883,4,0),"")</f>
        <v>32032.085561497326</v>
      </c>
      <c r="AO19" s="68">
        <f t="shared" si="3"/>
        <v>448449.19786096259</v>
      </c>
      <c r="AP19" s="7" t="str">
        <f>IF($I19&gt;0,VLOOKUP($I19,'Lista de Precios'!$A$3:$K$2883,10,0),"")</f>
        <v>Running</v>
      </c>
      <c r="AQ19" s="7" t="str">
        <f>IF($I19&gt;0,VLOOKUP($I19,'Lista de Precios'!$A$3:$M$4893,13,0),"")</f>
        <v>Running+Training</v>
      </c>
      <c r="AR19" s="7" t="str">
        <f>IF($I19&gt;0,VLOOKUP(I19,'Lista de Precios'!$A$3:$M$2883,13,0),"")</f>
        <v>Running+Training</v>
      </c>
      <c r="HR19" s="134"/>
      <c r="HS19" s="134"/>
      <c r="HT19" s="134"/>
      <c r="HU19" s="134"/>
      <c r="HV19" s="134"/>
      <c r="HW19" s="134"/>
      <c r="HX19" s="134"/>
      <c r="HY19" s="134"/>
      <c r="HZ19" s="134"/>
      <c r="IA19" s="134"/>
      <c r="IB19" s="134"/>
      <c r="IC19" s="134"/>
      <c r="IE19" s="134"/>
      <c r="IF19" s="134"/>
      <c r="IG19" s="134"/>
      <c r="IH19" s="134"/>
      <c r="II19" s="134"/>
      <c r="IJ19" s="134"/>
      <c r="IK19" s="134"/>
      <c r="IL19" s="134"/>
      <c r="IM19" s="134"/>
      <c r="IN19" s="135"/>
      <c r="IO19" s="135"/>
      <c r="IP19" s="135"/>
      <c r="XEP19" s="7" t="str">
        <f t="shared" si="4"/>
        <v/>
      </c>
      <c r="XEQ19" s="7" t="str">
        <f t="shared" si="5"/>
        <v/>
      </c>
      <c r="XER19" s="7" t="str">
        <f t="shared" si="6"/>
        <v/>
      </c>
      <c r="XES19" s="7" t="str">
        <f t="shared" si="7"/>
        <v/>
      </c>
    </row>
    <row r="20" spans="1:250 16369:16373" ht="23.25" customHeight="1" x14ac:dyDescent="0.25">
      <c r="A20" s="74"/>
      <c r="B20" s="74"/>
      <c r="E20" s="76"/>
      <c r="F20" s="76"/>
      <c r="G20" s="101"/>
      <c r="H20" s="20"/>
      <c r="I20" s="18"/>
      <c r="J20" s="28"/>
      <c r="K20" s="24"/>
      <c r="L20" s="36"/>
      <c r="M20" s="36"/>
      <c r="N20" s="36"/>
      <c r="O20" s="37"/>
      <c r="P20" s="38"/>
      <c r="Q20" s="39"/>
      <c r="R20" s="37"/>
      <c r="S20" s="37"/>
      <c r="T20" s="37"/>
      <c r="U20" s="37"/>
      <c r="V20" s="37"/>
      <c r="W20" s="37"/>
      <c r="X20" s="37"/>
      <c r="Y20" s="37"/>
      <c r="Z20" s="40"/>
      <c r="AA20" s="41"/>
      <c r="AB20" s="37"/>
      <c r="AC20" s="37"/>
      <c r="AD20" s="37"/>
      <c r="AE20" s="37"/>
      <c r="AF20" s="37"/>
      <c r="AG20" s="37"/>
      <c r="AH20" s="42"/>
      <c r="AI20" s="42"/>
      <c r="AJ20" s="43"/>
      <c r="AK20" s="43"/>
      <c r="AL20" s="43"/>
      <c r="AM20" s="73"/>
      <c r="AN20" s="71"/>
      <c r="AO20" s="68"/>
      <c r="HR20" s="134"/>
      <c r="HS20" s="134"/>
      <c r="HT20" s="134"/>
      <c r="HU20" s="134"/>
      <c r="HV20" s="134"/>
      <c r="HW20" s="134"/>
      <c r="HX20" s="134"/>
      <c r="HY20" s="134"/>
      <c r="HZ20" s="134"/>
      <c r="IA20" s="134"/>
      <c r="IB20" s="134"/>
      <c r="IC20" s="134"/>
      <c r="IE20" s="134"/>
      <c r="IF20" s="134"/>
      <c r="IG20" s="134"/>
      <c r="IH20" s="134"/>
      <c r="II20" s="134"/>
      <c r="IJ20" s="134"/>
      <c r="IK20" s="134"/>
      <c r="IL20" s="134"/>
      <c r="IM20" s="134"/>
      <c r="IN20" s="135"/>
      <c r="IO20" s="135"/>
      <c r="IP20" s="135"/>
    </row>
    <row r="21" spans="1:250 16369:16373" ht="23.25" customHeight="1" x14ac:dyDescent="0.25">
      <c r="A21" s="74" t="str">
        <f>IF($I21&gt;0,VLOOKUP(I21,'Lista de Precios'!$A$3:$L$2883,9,0),0)</f>
        <v>Hombre</v>
      </c>
      <c r="B21" s="74" t="str">
        <f>IF($I21&gt;0,VLOOKUP(I21,'Lista de Precios'!$A$3:$H$2883,7,0),0)</f>
        <v>CONT</v>
      </c>
      <c r="C21" s="7" t="str">
        <f>IF($I21&gt;0,VLOOKUP(I21,'Lista de Precios'!$A$3:$H$2883,2,0),"")</f>
        <v>SQUAT II</v>
      </c>
      <c r="D21" s="7" t="str">
        <f>IF($I21&gt;0,VLOOKUP(I21,'Lista de Precios'!$A$3:$H$2883,3,0),"")</f>
        <v>NEGRO/CORAL FIERY/GRIS MAGNET</v>
      </c>
      <c r="E21" s="76" t="str">
        <f>IF($I21&gt;0,VLOOKUP(I21,'Lista de Precios'!$A$3:$H$2883,6,0),"")</f>
        <v>ENERO</v>
      </c>
      <c r="F21" s="76" t="str">
        <f>IF($I21&gt;0,VLOOKUP(I21,'Lista de Precios'!$A$3:$H$2883,8,0),"")</f>
        <v>35 AL 46</v>
      </c>
      <c r="G21" s="101">
        <f t="shared" ref="G21:G22" si="9">IF(AN21="","",AN21*1.87)</f>
        <v>74900</v>
      </c>
      <c r="H21" s="20" t="s">
        <v>3</v>
      </c>
      <c r="I21" s="18">
        <v>52245</v>
      </c>
      <c r="J21" s="28" t="str">
        <f t="shared" ref="J21:J22" si="10">+E21</f>
        <v>ENERO</v>
      </c>
      <c r="K21" s="24">
        <f>+IF($I21&gt;0,VLOOKUP($I21,'Lista de Precios'!$A$3:$H$2883,5,0),0)</f>
        <v>1</v>
      </c>
      <c r="L21" s="36"/>
      <c r="M21" s="36"/>
      <c r="N21" s="36"/>
      <c r="O21" s="37"/>
      <c r="P21" s="38"/>
      <c r="Q21" s="39"/>
      <c r="R21" s="37"/>
      <c r="S21" s="37"/>
      <c r="T21" s="37"/>
      <c r="U21" s="37"/>
      <c r="V21" s="37"/>
      <c r="W21" s="37"/>
      <c r="X21" s="37"/>
      <c r="Y21" s="37"/>
      <c r="Z21" s="40"/>
      <c r="AA21" s="41"/>
      <c r="AB21" s="37">
        <v>4</v>
      </c>
      <c r="AC21" s="37">
        <v>8</v>
      </c>
      <c r="AD21" s="37">
        <v>8</v>
      </c>
      <c r="AE21" s="37">
        <v>12</v>
      </c>
      <c r="AF21" s="37">
        <v>12</v>
      </c>
      <c r="AG21" s="37">
        <v>8</v>
      </c>
      <c r="AH21" s="42">
        <v>6</v>
      </c>
      <c r="AI21" s="42">
        <v>6</v>
      </c>
      <c r="AJ21" s="43">
        <v>4</v>
      </c>
      <c r="AK21" s="43">
        <v>2</v>
      </c>
      <c r="AL21" s="43"/>
      <c r="AM21" s="73">
        <f t="shared" ref="AM21:AM22" si="11">+IF(I21&gt;0,SUM(L21:AL21),0)</f>
        <v>70</v>
      </c>
      <c r="AN21" s="71">
        <f>+IF($I21&gt;0,VLOOKUP($I21,'Lista de Precios'!$A$3:$H$2883,4,0),"")</f>
        <v>40053.475935828872</v>
      </c>
      <c r="AO21" s="68">
        <f t="shared" ref="AO21:AO22" si="12">+IF(AM21&gt;0,AN21*AM21,"")</f>
        <v>2803743.315508021</v>
      </c>
      <c r="AP21" s="7" t="str">
        <f>IF($I21&gt;0,VLOOKUP($I21,'Lista de Precios'!$A$3:$K$2883,10,0),"")</f>
        <v>Training</v>
      </c>
      <c r="AQ21" s="7" t="str">
        <f>IF($I21&gt;0,VLOOKUP($I21,'Lista de Precios'!$A$3:$M$4893,13,0),"")</f>
        <v>Running+Training</v>
      </c>
      <c r="AR21" s="7" t="str">
        <f>IF($I21&gt;0,VLOOKUP(I21,'Lista de Precios'!$A$3:$M$2883,13,0),"")</f>
        <v>Running+Training</v>
      </c>
      <c r="HR21" s="134"/>
      <c r="HS21" s="134"/>
      <c r="HT21" s="134"/>
      <c r="HU21" s="134"/>
      <c r="HV21" s="134"/>
      <c r="HW21" s="134"/>
      <c r="HX21" s="134"/>
      <c r="HY21" s="134"/>
      <c r="HZ21" s="134"/>
      <c r="IA21" s="134"/>
      <c r="IB21" s="134"/>
      <c r="IC21" s="134"/>
      <c r="IE21" s="134"/>
      <c r="IF21" s="134"/>
      <c r="IG21" s="134"/>
      <c r="IH21" s="134"/>
      <c r="II21" s="134"/>
      <c r="IJ21" s="134"/>
      <c r="IK21" s="134"/>
      <c r="IL21" s="134"/>
      <c r="IM21" s="134"/>
      <c r="IN21" s="135"/>
      <c r="IO21" s="135"/>
      <c r="IP21" s="135"/>
      <c r="XEP21" s="7" t="str">
        <f t="shared" si="4"/>
        <v/>
      </c>
      <c r="XEQ21" s="7" t="str">
        <f t="shared" si="5"/>
        <v/>
      </c>
      <c r="XER21" s="7" t="str">
        <f t="shared" si="6"/>
        <v/>
      </c>
      <c r="XES21" s="7" t="str">
        <f t="shared" si="7"/>
        <v/>
      </c>
    </row>
    <row r="22" spans="1:250 16369:16373" ht="23.25" customHeight="1" x14ac:dyDescent="0.25">
      <c r="A22" s="74" t="str">
        <f>IF($I22&gt;0,VLOOKUP(I22,'Lista de Precios'!$A$3:$L$2883,9,0),0)</f>
        <v>Mujer</v>
      </c>
      <c r="B22" s="74" t="str">
        <f>IF($I22&gt;0,VLOOKUP(I22,'Lista de Precios'!$A$3:$H$2883,7,0),0)</f>
        <v>CONT</v>
      </c>
      <c r="C22" s="7" t="str">
        <f>IF($I22&gt;0,VLOOKUP(I22,'Lista de Precios'!$A$3:$H$2883,2,0),"")</f>
        <v>SQUAT II</v>
      </c>
      <c r="D22" s="7" t="str">
        <f>IF($I22&gt;0,VLOOKUP(I22,'Lista de Precios'!$A$3:$H$2883,3,0),"")</f>
        <v>ROSA CHALK/ROSA ICING/NEGRO</v>
      </c>
      <c r="E22" s="76" t="str">
        <f>IF($I22&gt;0,VLOOKUP(I22,'Lista de Precios'!$A$3:$H$2883,6,0),"")</f>
        <v>ENERO</v>
      </c>
      <c r="F22" s="76" t="str">
        <f>IF($I22&gt;0,VLOOKUP(I22,'Lista de Precios'!$A$3:$H$2883,8,0),"")</f>
        <v>35 AL 40</v>
      </c>
      <c r="G22" s="101">
        <f t="shared" si="9"/>
        <v>74900</v>
      </c>
      <c r="H22" s="20" t="s">
        <v>3</v>
      </c>
      <c r="I22" s="18">
        <v>52247</v>
      </c>
      <c r="J22" s="28" t="str">
        <f t="shared" si="10"/>
        <v>ENERO</v>
      </c>
      <c r="K22" s="24">
        <f>+IF($I22&gt;0,VLOOKUP($I22,'Lista de Precios'!$A$3:$H$2883,5,0),0)</f>
        <v>1</v>
      </c>
      <c r="L22" s="36"/>
      <c r="M22" s="36"/>
      <c r="N22" s="36"/>
      <c r="O22" s="37"/>
      <c r="P22" s="38"/>
      <c r="Q22" s="39"/>
      <c r="R22" s="37"/>
      <c r="S22" s="37"/>
      <c r="T22" s="37"/>
      <c r="U22" s="37"/>
      <c r="V22" s="37"/>
      <c r="W22" s="37"/>
      <c r="X22" s="37"/>
      <c r="Y22" s="37"/>
      <c r="Z22" s="40"/>
      <c r="AA22" s="41"/>
      <c r="AB22" s="37"/>
      <c r="AC22" s="37">
        <v>8</v>
      </c>
      <c r="AD22" s="37">
        <v>8</v>
      </c>
      <c r="AE22" s="37">
        <v>12</v>
      </c>
      <c r="AF22" s="37">
        <v>6</v>
      </c>
      <c r="AG22" s="37"/>
      <c r="AH22" s="42"/>
      <c r="AI22" s="42"/>
      <c r="AJ22" s="43"/>
      <c r="AK22" s="43"/>
      <c r="AL22" s="43"/>
      <c r="AM22" s="73">
        <f t="shared" si="11"/>
        <v>34</v>
      </c>
      <c r="AN22" s="71">
        <f>+IF($I22&gt;0,VLOOKUP($I22,'Lista de Precios'!$A$3:$H$2883,4,0),"")</f>
        <v>40053.475935828872</v>
      </c>
      <c r="AO22" s="68">
        <f t="shared" si="12"/>
        <v>1361818.1818181816</v>
      </c>
      <c r="AP22" s="7" t="str">
        <f>IF($I22&gt;0,VLOOKUP($I22,'Lista de Precios'!$A$3:$K$2883,10,0),"")</f>
        <v>Training</v>
      </c>
      <c r="AQ22" s="7" t="str">
        <f>IF($I22&gt;0,VLOOKUP($I22,'Lista de Precios'!$A$3:$M$4893,13,0),"")</f>
        <v>Running+Training</v>
      </c>
      <c r="AR22" s="7" t="str">
        <f>IF($I22&gt;0,VLOOKUP(I22,'Lista de Precios'!$A$3:$M$2883,13,0),"")</f>
        <v>Running+Training</v>
      </c>
      <c r="HR22" s="134"/>
      <c r="HS22" s="134"/>
      <c r="HT22" s="134"/>
      <c r="HU22" s="134"/>
      <c r="HV22" s="134"/>
      <c r="HW22" s="134"/>
      <c r="HX22" s="134"/>
      <c r="HY22" s="134"/>
      <c r="HZ22" s="134"/>
      <c r="IA22" s="134"/>
      <c r="IB22" s="134"/>
      <c r="IC22" s="134"/>
      <c r="IE22" s="134"/>
      <c r="IF22" s="134"/>
      <c r="IG22" s="134"/>
      <c r="IH22" s="134"/>
      <c r="II22" s="134"/>
      <c r="IJ22" s="134"/>
      <c r="IK22" s="134"/>
      <c r="IL22" s="134"/>
      <c r="IM22" s="134"/>
      <c r="IN22" s="135"/>
      <c r="IO22" s="135"/>
      <c r="IP22" s="135"/>
      <c r="XEP22" s="7" t="str">
        <f t="shared" si="4"/>
        <v/>
      </c>
      <c r="XEQ22" s="7" t="str">
        <f t="shared" si="5"/>
        <v/>
      </c>
      <c r="XER22" s="7" t="str">
        <f t="shared" si="6"/>
        <v/>
      </c>
      <c r="XES22" s="7" t="str">
        <f t="shared" si="7"/>
        <v/>
      </c>
    </row>
    <row r="23" spans="1:250 16369:16373" ht="23.25" customHeight="1" x14ac:dyDescent="0.25">
      <c r="A23" s="74">
        <f>IF($I23&gt;0,VLOOKUP(I23,'Lista de Precios'!$A$3:$L$2883,9,0),0)</f>
        <v>0</v>
      </c>
      <c r="B23" s="74">
        <f>IF($I23&gt;0,VLOOKUP(I23,'Lista de Precios'!$A$3:$H$2883,7,0),0)</f>
        <v>0</v>
      </c>
      <c r="C23" s="7" t="str">
        <f>IF($I23&gt;0,VLOOKUP(I23,'Lista de Precios'!$A$3:$H$2883,2,0),"")</f>
        <v/>
      </c>
      <c r="D23" s="7" t="str">
        <f>IF($I23&gt;0,VLOOKUP(I23,'Lista de Precios'!$A$3:$H$2883,3,0),"")</f>
        <v/>
      </c>
      <c r="E23" s="76" t="str">
        <f>IF($I23&gt;0,VLOOKUP(I23,'Lista de Precios'!$A$3:$H$2883,6,0),"")</f>
        <v/>
      </c>
      <c r="F23" s="76" t="str">
        <f>IF($I23&gt;0,VLOOKUP(I23,'Lista de Precios'!$A$3:$H$2883,8,0),"")</f>
        <v/>
      </c>
      <c r="G23" s="101" t="str">
        <f t="shared" si="2"/>
        <v/>
      </c>
      <c r="H23" s="20" t="s">
        <v>3</v>
      </c>
      <c r="I23" s="18"/>
      <c r="J23" s="28" t="str">
        <f t="shared" si="8"/>
        <v/>
      </c>
      <c r="K23" s="24">
        <f>+IF($I23&gt;0,VLOOKUP($I23,'Lista de Precios'!$A$3:$H$2883,5,0),0)</f>
        <v>0</v>
      </c>
      <c r="L23" s="36"/>
      <c r="M23" s="36"/>
      <c r="N23" s="36"/>
      <c r="O23" s="37"/>
      <c r="P23" s="38"/>
      <c r="Q23" s="39"/>
      <c r="R23" s="37"/>
      <c r="S23" s="37"/>
      <c r="T23" s="37"/>
      <c r="U23" s="37"/>
      <c r="V23" s="37"/>
      <c r="W23" s="37"/>
      <c r="X23" s="37"/>
      <c r="Y23" s="37"/>
      <c r="Z23" s="40"/>
      <c r="AA23" s="41"/>
      <c r="AB23" s="37"/>
      <c r="AC23" s="37"/>
      <c r="AD23" s="37"/>
      <c r="AE23" s="37"/>
      <c r="AF23" s="37"/>
      <c r="AG23" s="37"/>
      <c r="AH23" s="42"/>
      <c r="AI23" s="42"/>
      <c r="AJ23" s="43"/>
      <c r="AK23" s="43"/>
      <c r="AL23" s="43"/>
      <c r="AM23" s="73">
        <f t="shared" si="1"/>
        <v>0</v>
      </c>
      <c r="AN23" s="71" t="str">
        <f>+IF($I23&gt;0,VLOOKUP($I23,'Lista de Precios'!$A$3:$H$2883,4,0),"")</f>
        <v/>
      </c>
      <c r="AO23" s="68" t="str">
        <f t="shared" si="3"/>
        <v/>
      </c>
      <c r="AP23" s="7" t="str">
        <f>IF($I23&gt;0,VLOOKUP($I23,'Lista de Precios'!$A$3:$K$2883,10,0),"")</f>
        <v/>
      </c>
      <c r="AQ23" s="7" t="str">
        <f>IF($I23&gt;0,VLOOKUP($I23,'Lista de Precios'!$A$3:$M$4893,13,0),"")</f>
        <v/>
      </c>
      <c r="AR23" s="7" t="str">
        <f>IF($I23&gt;0,VLOOKUP(I23,'Lista de Precios'!$A$3:$M$2883,13,0),"")</f>
        <v/>
      </c>
      <c r="HR23" s="134"/>
      <c r="HS23" s="134"/>
      <c r="HT23" s="134"/>
      <c r="HU23" s="134"/>
      <c r="HV23" s="134"/>
      <c r="HW23" s="134"/>
      <c r="HX23" s="134"/>
      <c r="HY23" s="134"/>
      <c r="HZ23" s="134"/>
      <c r="IA23" s="134"/>
      <c r="IB23" s="134"/>
      <c r="IC23" s="134"/>
      <c r="IE23" s="134"/>
      <c r="IF23" s="134"/>
      <c r="IG23" s="134"/>
      <c r="IH23" s="134"/>
      <c r="II23" s="134"/>
      <c r="IJ23" s="134"/>
      <c r="IK23" s="134"/>
      <c r="IL23" s="134"/>
      <c r="IM23" s="134"/>
      <c r="IN23" s="135"/>
      <c r="IO23" s="135"/>
      <c r="IP23" s="135"/>
      <c r="XEP23" s="7" t="str">
        <f t="shared" si="4"/>
        <v/>
      </c>
      <c r="XEQ23" s="7" t="str">
        <f t="shared" si="5"/>
        <v/>
      </c>
      <c r="XER23" s="7" t="str">
        <f t="shared" si="6"/>
        <v/>
      </c>
      <c r="XES23" s="7" t="str">
        <f t="shared" si="7"/>
        <v/>
      </c>
    </row>
    <row r="24" spans="1:250 16369:16373" ht="23.25" customHeight="1" x14ac:dyDescent="0.25">
      <c r="A24" s="74" t="str">
        <f>IF($I24&gt;0,VLOOKUP(I24,'Lista de Precios'!$A$3:$L$2883,9,0),0)</f>
        <v>Hombre</v>
      </c>
      <c r="B24" s="74" t="str">
        <f>IF($I24&gt;0,VLOOKUP(I24,'Lista de Precios'!$A$3:$H$2883,7,0),0)</f>
        <v>CONT</v>
      </c>
      <c r="C24" s="7" t="str">
        <f>IF($I24&gt;0,VLOOKUP(I24,'Lista de Precios'!$A$3:$H$2883,2,0),"")</f>
        <v>GONDOR II</v>
      </c>
      <c r="D24" s="7" t="str">
        <f>IF($I24&gt;0,VLOOKUP(I24,'Lista de Precios'!$A$3:$H$2883,3,0),"")</f>
        <v>OLIVA NIGHT</v>
      </c>
      <c r="E24" s="76" t="str">
        <f>IF($I24&gt;0,VLOOKUP(I24,'Lista de Precios'!$A$3:$H$2883,6,0),"")</f>
        <v>FEBRERO</v>
      </c>
      <c r="F24" s="76" t="str">
        <f>IF($I24&gt;0,VLOOKUP(I24,'Lista de Precios'!$A$3:$H$2883,8,0),"")</f>
        <v>35 AL 46</v>
      </c>
      <c r="G24" s="101">
        <f t="shared" si="2"/>
        <v>72900</v>
      </c>
      <c r="H24" s="20" t="s">
        <v>3</v>
      </c>
      <c r="I24" s="18">
        <v>25816</v>
      </c>
      <c r="J24" s="28" t="str">
        <f t="shared" si="8"/>
        <v>FEBRERO</v>
      </c>
      <c r="K24" s="24">
        <f>+IF($I24&gt;0,VLOOKUP($I24,'Lista de Precios'!$A$3:$H$2883,5,0),0)</f>
        <v>1</v>
      </c>
      <c r="L24" s="36"/>
      <c r="M24" s="36"/>
      <c r="N24" s="36"/>
      <c r="O24" s="37"/>
      <c r="P24" s="38"/>
      <c r="Q24" s="39"/>
      <c r="R24" s="37"/>
      <c r="S24" s="37"/>
      <c r="T24" s="37"/>
      <c r="U24" s="37"/>
      <c r="V24" s="37"/>
      <c r="W24" s="37"/>
      <c r="X24" s="37"/>
      <c r="Y24" s="37"/>
      <c r="Z24" s="40"/>
      <c r="AA24" s="41"/>
      <c r="AB24" s="37"/>
      <c r="AC24" s="37"/>
      <c r="AD24" s="37">
        <v>6</v>
      </c>
      <c r="AE24" s="37">
        <v>6</v>
      </c>
      <c r="AF24" s="37">
        <v>8</v>
      </c>
      <c r="AG24" s="37">
        <v>4</v>
      </c>
      <c r="AH24" s="42">
        <v>6</v>
      </c>
      <c r="AI24" s="42">
        <v>4</v>
      </c>
      <c r="AJ24" s="43">
        <v>4</v>
      </c>
      <c r="AK24" s="43">
        <v>2</v>
      </c>
      <c r="AL24" s="43"/>
      <c r="AM24" s="73">
        <f t="shared" si="1"/>
        <v>40</v>
      </c>
      <c r="AN24" s="71">
        <f>+IF($I24&gt;0,VLOOKUP($I24,'Lista de Precios'!$A$3:$H$2883,4,0),"")</f>
        <v>38983.957219251337</v>
      </c>
      <c r="AO24" s="68">
        <f t="shared" si="3"/>
        <v>1559358.2887700535</v>
      </c>
      <c r="AP24" s="7" t="str">
        <f>IF($I24&gt;0,VLOOKUP($I24,'Lista de Precios'!$A$3:$K$2883,10,0),"")</f>
        <v>Outdoor</v>
      </c>
      <c r="AQ24" s="7" t="str">
        <f>IF($I24&gt;0,VLOOKUP($I24,'Lista de Precios'!$A$3:$M$4893,13,0),"")</f>
        <v>Multideporte</v>
      </c>
      <c r="AR24" s="7" t="str">
        <f>IF($I24&gt;0,VLOOKUP(I24,'Lista de Precios'!$A$3:$M$2883,13,0),"")</f>
        <v>Multideporte</v>
      </c>
      <c r="HR24" s="134"/>
      <c r="HS24" s="134"/>
      <c r="HT24" s="134"/>
      <c r="HU24" s="134"/>
      <c r="HV24" s="134"/>
      <c r="HW24" s="134"/>
      <c r="HX24" s="134"/>
      <c r="HY24" s="134"/>
      <c r="HZ24" s="134"/>
      <c r="IA24" s="134"/>
      <c r="IB24" s="134"/>
      <c r="IC24" s="134"/>
      <c r="IE24" s="134"/>
      <c r="IF24" s="134"/>
      <c r="IG24" s="134"/>
      <c r="IH24" s="134"/>
      <c r="II24" s="134"/>
      <c r="IJ24" s="134"/>
      <c r="IK24" s="134"/>
      <c r="IL24" s="134"/>
      <c r="IM24" s="134"/>
      <c r="IN24" s="135"/>
      <c r="IO24" s="135"/>
      <c r="IP24" s="135"/>
      <c r="XEP24" s="7" t="str">
        <f t="shared" si="4"/>
        <v/>
      </c>
      <c r="XEQ24" s="7" t="str">
        <f t="shared" si="5"/>
        <v/>
      </c>
      <c r="XER24" s="7" t="str">
        <f t="shared" si="6"/>
        <v/>
      </c>
      <c r="XES24" s="7" t="str">
        <f t="shared" si="7"/>
        <v/>
      </c>
    </row>
    <row r="25" spans="1:250 16369:16373" ht="23.25" customHeight="1" x14ac:dyDescent="0.25">
      <c r="A25" s="74" t="str">
        <f>IF($I25&gt;0,VLOOKUP(I25,'Lista de Precios'!$A$3:$L$2883,9,0),0)</f>
        <v>Hombre</v>
      </c>
      <c r="B25" s="74" t="str">
        <f>IF($I25&gt;0,VLOOKUP(I25,'Lista de Precios'!$A$3:$H$2883,7,0),0)</f>
        <v>LANZ</v>
      </c>
      <c r="C25" s="7" t="str">
        <f>IF($I25&gt;0,VLOOKUP(I25,'Lista de Precios'!$A$3:$H$2883,2,0),"")</f>
        <v>TARSH</v>
      </c>
      <c r="D25" s="7" t="str">
        <f>IF($I25&gt;0,VLOOKUP(I25,'Lista de Precios'!$A$3:$H$2883,3,0),"")</f>
        <v>SMOKE GRAY/PAGEANT BLUE/DAFFODIL</v>
      </c>
      <c r="E25" s="76" t="str">
        <f>IF($I25&gt;0,VLOOKUP(I25,'Lista de Precios'!$A$3:$H$2883,6,0),"")</f>
        <v>FEBRERO</v>
      </c>
      <c r="F25" s="76" t="str">
        <f>IF($I25&gt;0,VLOOKUP(I25,'Lista de Precios'!$A$3:$H$2883,8,0),"")</f>
        <v>35 AL 45</v>
      </c>
      <c r="G25" s="101">
        <f t="shared" si="2"/>
        <v>62899.999999999993</v>
      </c>
      <c r="H25" s="20" t="s">
        <v>3</v>
      </c>
      <c r="I25" s="18">
        <v>25768</v>
      </c>
      <c r="J25" s="28" t="str">
        <f t="shared" si="8"/>
        <v>FEBRERO</v>
      </c>
      <c r="K25" s="24">
        <f>+IF($I25&gt;0,VLOOKUP($I25,'Lista de Precios'!$A$3:$H$2883,5,0),0)</f>
        <v>1</v>
      </c>
      <c r="L25" s="36"/>
      <c r="M25" s="36"/>
      <c r="N25" s="36"/>
      <c r="O25" s="37"/>
      <c r="P25" s="38"/>
      <c r="Q25" s="39"/>
      <c r="R25" s="37"/>
      <c r="S25" s="37"/>
      <c r="T25" s="37"/>
      <c r="U25" s="37"/>
      <c r="V25" s="37"/>
      <c r="W25" s="37"/>
      <c r="X25" s="37"/>
      <c r="Y25" s="37"/>
      <c r="Z25" s="40"/>
      <c r="AA25" s="41"/>
      <c r="AB25" s="37"/>
      <c r="AC25" s="37"/>
      <c r="AD25" s="37"/>
      <c r="AE25" s="37"/>
      <c r="AF25" s="37"/>
      <c r="AG25" s="37">
        <v>6</v>
      </c>
      <c r="AH25" s="42">
        <v>8</v>
      </c>
      <c r="AI25" s="42">
        <v>4</v>
      </c>
      <c r="AJ25" s="43">
        <v>4</v>
      </c>
      <c r="AK25" s="43"/>
      <c r="AL25" s="43"/>
      <c r="AM25" s="73">
        <f t="shared" si="1"/>
        <v>22</v>
      </c>
      <c r="AN25" s="71">
        <f>+IF($I25&gt;0,VLOOKUP($I25,'Lista de Precios'!$A$3:$H$2883,4,0),"")</f>
        <v>33636.363636363632</v>
      </c>
      <c r="AO25" s="68">
        <f t="shared" si="3"/>
        <v>739999.99999999988</v>
      </c>
      <c r="AP25" s="7" t="str">
        <f>IF($I25&gt;0,VLOOKUP($I25,'Lista de Precios'!$A$3:$K$2883,10,0),"")</f>
        <v>Outdoor</v>
      </c>
      <c r="AQ25" s="7" t="str">
        <f>IF($I25&gt;0,VLOOKUP($I25,'Lista de Precios'!$A$3:$M$4893,13,0),"")</f>
        <v>Multideporte</v>
      </c>
      <c r="AR25" s="7" t="str">
        <f>IF($I25&gt;0,VLOOKUP(I25,'Lista de Precios'!$A$3:$M$2883,13,0),"")</f>
        <v>Multideporte</v>
      </c>
      <c r="HR25" s="134"/>
      <c r="HS25" s="134"/>
      <c r="HT25" s="134"/>
      <c r="HU25" s="134"/>
      <c r="HV25" s="134"/>
      <c r="HW25" s="134"/>
      <c r="HX25" s="134"/>
      <c r="HY25" s="134"/>
      <c r="HZ25" s="134"/>
      <c r="IA25" s="134"/>
      <c r="IB25" s="134"/>
      <c r="IC25" s="134"/>
      <c r="IE25" s="134"/>
      <c r="IF25" s="134"/>
      <c r="IG25" s="134"/>
      <c r="IH25" s="134"/>
      <c r="II25" s="134"/>
      <c r="IJ25" s="134"/>
      <c r="IK25" s="134"/>
      <c r="IL25" s="134"/>
      <c r="IM25" s="134"/>
      <c r="IN25" s="135"/>
      <c r="IO25" s="135"/>
      <c r="IP25" s="135"/>
      <c r="XEP25" s="7" t="str">
        <f t="shared" si="4"/>
        <v/>
      </c>
      <c r="XEQ25" s="7" t="str">
        <f t="shared" si="5"/>
        <v/>
      </c>
      <c r="XER25" s="7" t="str">
        <f t="shared" si="6"/>
        <v/>
      </c>
      <c r="XES25" s="7" t="str">
        <f t="shared" si="7"/>
        <v/>
      </c>
    </row>
    <row r="26" spans="1:250 16369:16373" ht="23.25" customHeight="1" x14ac:dyDescent="0.25">
      <c r="A26" s="74" t="str">
        <f>IF($I26&gt;0,VLOOKUP(I26,'Lista de Precios'!$A$3:$L$2883,9,0),0)</f>
        <v>Hombre</v>
      </c>
      <c r="B26" s="74" t="str">
        <f>IF($I26&gt;0,VLOOKUP(I26,'Lista de Precios'!$A$3:$H$2883,7,0),0)</f>
        <v>LANZ</v>
      </c>
      <c r="C26" s="7" t="str">
        <f>IF($I26&gt;0,VLOOKUP(I26,'Lista de Precios'!$A$3:$H$2883,2,0),"")</f>
        <v>TARSH</v>
      </c>
      <c r="D26" s="7" t="str">
        <f>IF($I26&gt;0,VLOOKUP(I26,'Lista de Precios'!$A$3:$H$2883,3,0),"")</f>
        <v>GRIS CITY/NEGRO/BEIGE ANTIQUE</v>
      </c>
      <c r="E26" s="76" t="str">
        <f>IF($I26&gt;0,VLOOKUP(I26,'Lista de Precios'!$A$3:$H$2883,6,0),"")</f>
        <v>FEBRERO</v>
      </c>
      <c r="F26" s="76" t="str">
        <f>IF($I26&gt;0,VLOOKUP(I26,'Lista de Precios'!$A$3:$H$2883,8,0),"")</f>
        <v>35 AL 45</v>
      </c>
      <c r="G26" s="101">
        <f t="shared" si="2"/>
        <v>62899.999999999993</v>
      </c>
      <c r="H26" s="20" t="s">
        <v>3</v>
      </c>
      <c r="I26" s="18">
        <v>25767</v>
      </c>
      <c r="J26" s="28" t="str">
        <f t="shared" si="8"/>
        <v>FEBRERO</v>
      </c>
      <c r="K26" s="24">
        <f>+IF($I26&gt;0,VLOOKUP($I26,'Lista de Precios'!$A$3:$H$2883,5,0),0)</f>
        <v>1</v>
      </c>
      <c r="L26" s="36"/>
      <c r="M26" s="36"/>
      <c r="N26" s="36"/>
      <c r="O26" s="37"/>
      <c r="P26" s="38"/>
      <c r="Q26" s="39"/>
      <c r="R26" s="37"/>
      <c r="S26" s="37"/>
      <c r="T26" s="37"/>
      <c r="U26" s="37"/>
      <c r="V26" s="37"/>
      <c r="W26" s="37"/>
      <c r="X26" s="37"/>
      <c r="Y26" s="37"/>
      <c r="Z26" s="40"/>
      <c r="AA26" s="41"/>
      <c r="AB26" s="37"/>
      <c r="AC26" s="37"/>
      <c r="AD26" s="37"/>
      <c r="AE26" s="37"/>
      <c r="AF26" s="37"/>
      <c r="AG26" s="37">
        <v>4</v>
      </c>
      <c r="AH26" s="42">
        <v>6</v>
      </c>
      <c r="AI26" s="42">
        <v>4</v>
      </c>
      <c r="AJ26" s="43">
        <v>2</v>
      </c>
      <c r="AK26" s="43"/>
      <c r="AL26" s="43"/>
      <c r="AM26" s="73">
        <f t="shared" si="1"/>
        <v>16</v>
      </c>
      <c r="AN26" s="71">
        <f>+IF($I26&gt;0,VLOOKUP($I26,'Lista de Precios'!$A$3:$H$2883,4,0),"")</f>
        <v>33636.363636363632</v>
      </c>
      <c r="AO26" s="68">
        <f t="shared" si="3"/>
        <v>538181.81818181812</v>
      </c>
      <c r="AP26" s="7" t="str">
        <f>IF($I26&gt;0,VLOOKUP($I26,'Lista de Precios'!$A$3:$K$2883,10,0),"")</f>
        <v>Outdoor</v>
      </c>
      <c r="AQ26" s="7" t="str">
        <f>IF($I26&gt;0,VLOOKUP($I26,'Lista de Precios'!$A$3:$M$4893,13,0),"")</f>
        <v>Multideporte</v>
      </c>
      <c r="AR26" s="7" t="str">
        <f>IF($I26&gt;0,VLOOKUP(I26,'Lista de Precios'!$A$3:$M$2883,13,0),"")</f>
        <v>Multideporte</v>
      </c>
      <c r="HR26" s="134"/>
      <c r="HS26" s="134"/>
      <c r="HT26" s="134"/>
      <c r="HU26" s="134"/>
      <c r="HV26" s="134"/>
      <c r="HW26" s="134"/>
      <c r="HX26" s="134"/>
      <c r="HY26" s="134"/>
      <c r="HZ26" s="134"/>
      <c r="IA26" s="134"/>
      <c r="IB26" s="134"/>
      <c r="IC26" s="134"/>
      <c r="IE26" s="134"/>
      <c r="IF26" s="134"/>
      <c r="IG26" s="134"/>
      <c r="IH26" s="134"/>
      <c r="II26" s="134"/>
      <c r="IJ26" s="134"/>
      <c r="IK26" s="134"/>
      <c r="IL26" s="134"/>
      <c r="IM26" s="134"/>
      <c r="IN26" s="135"/>
      <c r="IO26" s="135"/>
      <c r="IP26" s="135"/>
      <c r="XEP26" s="7" t="str">
        <f t="shared" si="4"/>
        <v/>
      </c>
      <c r="XEQ26" s="7" t="str">
        <f t="shared" si="5"/>
        <v/>
      </c>
      <c r="XER26" s="7" t="str">
        <f t="shared" si="6"/>
        <v/>
      </c>
      <c r="XES26" s="7" t="str">
        <f t="shared" si="7"/>
        <v/>
      </c>
    </row>
    <row r="27" spans="1:250 16369:16373" ht="23.25" customHeight="1" x14ac:dyDescent="0.25">
      <c r="A27" s="74" t="str">
        <f>IF($I27&gt;0,VLOOKUP(I27,'Lista de Precios'!$A$3:$L$2883,9,0),0)</f>
        <v>Kids</v>
      </c>
      <c r="B27" s="74" t="str">
        <f>IF($I27&gt;0,VLOOKUP(I27,'Lista de Precios'!$A$3:$H$2883,7,0),0)</f>
        <v>CONT</v>
      </c>
      <c r="C27" s="7" t="str">
        <f>IF($I27&gt;0,VLOOKUP(I27,'Lista de Precios'!$A$3:$H$2883,2,0),"")</f>
        <v>GONDOR III KIDS</v>
      </c>
      <c r="D27" s="7" t="str">
        <f>IF($I27&gt;0,VLOOKUP(I27,'Lista de Precios'!$A$3:$H$2883,3,0),"")</f>
        <v>NEGRO / BLANCO</v>
      </c>
      <c r="E27" s="76" t="str">
        <f>IF($I27&gt;0,VLOOKUP(I27,'Lista de Precios'!$A$3:$H$2883,6,0),"")</f>
        <v>ENERO</v>
      </c>
      <c r="F27" s="76" t="str">
        <f>IF($I27&gt;0,VLOOKUP(I27,'Lista de Precios'!$A$3:$H$2883,8,0),"")</f>
        <v>25 AL 34</v>
      </c>
      <c r="G27" s="101">
        <f t="shared" si="2"/>
        <v>62899.999999999993</v>
      </c>
      <c r="H27" s="20" t="s">
        <v>3</v>
      </c>
      <c r="I27" s="18">
        <v>25600</v>
      </c>
      <c r="J27" s="28" t="str">
        <f t="shared" si="8"/>
        <v>ENERO</v>
      </c>
      <c r="K27" s="24">
        <f>+IF($I27&gt;0,VLOOKUP($I27,'Lista de Precios'!$A$3:$H$2883,5,0),0)</f>
        <v>1</v>
      </c>
      <c r="L27" s="36"/>
      <c r="M27" s="36"/>
      <c r="N27" s="36"/>
      <c r="O27" s="37"/>
      <c r="P27" s="38"/>
      <c r="Q27" s="39"/>
      <c r="R27" s="37">
        <v>4</v>
      </c>
      <c r="S27" s="37">
        <v>4</v>
      </c>
      <c r="T27" s="37">
        <v>4</v>
      </c>
      <c r="U27" s="37">
        <v>2</v>
      </c>
      <c r="V27" s="37"/>
      <c r="W27" s="37"/>
      <c r="X27" s="37">
        <v>2</v>
      </c>
      <c r="Y27" s="37"/>
      <c r="Z27" s="40">
        <v>4</v>
      </c>
      <c r="AA27" s="41"/>
      <c r="AB27" s="37"/>
      <c r="AC27" s="37"/>
      <c r="AD27" s="37"/>
      <c r="AE27" s="37"/>
      <c r="AF27" s="37"/>
      <c r="AG27" s="37"/>
      <c r="AH27" s="42"/>
      <c r="AI27" s="42"/>
      <c r="AJ27" s="43"/>
      <c r="AK27" s="43"/>
      <c r="AL27" s="43"/>
      <c r="AM27" s="73">
        <f t="shared" si="1"/>
        <v>20</v>
      </c>
      <c r="AN27" s="71">
        <f>+IF($I27&gt;0,VLOOKUP($I27,'Lista de Precios'!$A$3:$H$2883,4,0),"")</f>
        <v>33636.363636363632</v>
      </c>
      <c r="AO27" s="68">
        <f t="shared" si="3"/>
        <v>672727.27272727271</v>
      </c>
      <c r="AP27" s="7" t="str">
        <f>IF($I27&gt;0,VLOOKUP($I27,'Lista de Precios'!$A$3:$K$2883,10,0),"")</f>
        <v>Outdoor</v>
      </c>
      <c r="AQ27" s="7" t="str">
        <f>IF($I27&gt;0,VLOOKUP($I27,'Lista de Precios'!$A$3:$M$4893,13,0),"")</f>
        <v>Kids</v>
      </c>
      <c r="AR27" s="7" t="str">
        <f>IF($I27&gt;0,VLOOKUP(I27,'Lista de Precios'!$A$3:$M$2883,13,0),"")</f>
        <v>Kids</v>
      </c>
      <c r="HR27" s="134"/>
      <c r="HS27" s="134"/>
      <c r="HT27" s="134"/>
      <c r="HU27" s="134"/>
      <c r="HV27" s="134"/>
      <c r="HW27" s="134"/>
      <c r="HX27" s="134"/>
      <c r="HY27" s="134"/>
      <c r="HZ27" s="134"/>
      <c r="IA27" s="134"/>
      <c r="IB27" s="134"/>
      <c r="IC27" s="134"/>
      <c r="IE27" s="134"/>
      <c r="IF27" s="134"/>
      <c r="IG27" s="134"/>
      <c r="IH27" s="134"/>
      <c r="II27" s="134"/>
      <c r="IJ27" s="134"/>
      <c r="IK27" s="134"/>
      <c r="IL27" s="134"/>
      <c r="IM27" s="134"/>
      <c r="IN27" s="135"/>
      <c r="IO27" s="135"/>
      <c r="IP27" s="135"/>
      <c r="XEP27" s="7" t="str">
        <f t="shared" si="4"/>
        <v/>
      </c>
      <c r="XEQ27" s="7" t="str">
        <f t="shared" si="5"/>
        <v/>
      </c>
      <c r="XER27" s="7" t="str">
        <f t="shared" si="6"/>
        <v/>
      </c>
      <c r="XES27" s="7">
        <f t="shared" si="7"/>
        <v>20</v>
      </c>
    </row>
    <row r="28" spans="1:250 16369:16373" ht="23.25" customHeight="1" x14ac:dyDescent="0.25">
      <c r="A28" s="74">
        <f>IF($I28&gt;0,VLOOKUP(I28,'Lista de Precios'!$A$3:$L$2883,9,0),0)</f>
        <v>0</v>
      </c>
      <c r="B28" s="74">
        <f>IF($I28&gt;0,VLOOKUP(I28,'Lista de Precios'!$A$3:$H$2883,7,0),0)</f>
        <v>0</v>
      </c>
      <c r="C28" s="7" t="str">
        <f>IF($I28&gt;0,VLOOKUP(I28,'Lista de Precios'!$A$3:$H$2883,2,0),"")</f>
        <v/>
      </c>
      <c r="D28" s="7" t="str">
        <f>IF($I28&gt;0,VLOOKUP(I28,'Lista de Precios'!$A$3:$H$2883,3,0),"")</f>
        <v/>
      </c>
      <c r="E28" s="76" t="str">
        <f>IF($I28&gt;0,VLOOKUP(I28,'Lista de Precios'!$A$3:$H$2883,6,0),"")</f>
        <v/>
      </c>
      <c r="F28" s="76" t="str">
        <f>IF($I28&gt;0,VLOOKUP(I28,'Lista de Precios'!$A$3:$H$2883,8,0),"")</f>
        <v/>
      </c>
      <c r="G28" s="101" t="str">
        <f t="shared" si="2"/>
        <v/>
      </c>
      <c r="H28" s="20" t="s">
        <v>3</v>
      </c>
      <c r="I28" s="18"/>
      <c r="J28" s="28" t="str">
        <f t="shared" si="8"/>
        <v/>
      </c>
      <c r="K28" s="24"/>
      <c r="L28" s="37"/>
      <c r="M28" s="37"/>
      <c r="N28" s="37"/>
      <c r="O28" s="37"/>
      <c r="P28" s="40"/>
      <c r="Q28" s="39"/>
      <c r="R28" s="37"/>
      <c r="S28" s="37"/>
      <c r="T28" s="37"/>
      <c r="U28" s="37"/>
      <c r="V28" s="37"/>
      <c r="W28" s="37"/>
      <c r="X28" s="37"/>
      <c r="Y28" s="37"/>
      <c r="Z28" s="40"/>
      <c r="AA28" s="41"/>
      <c r="AB28" s="37"/>
      <c r="AC28" s="37"/>
      <c r="AD28" s="37"/>
      <c r="AE28" s="37"/>
      <c r="AF28" s="37"/>
      <c r="AG28" s="37"/>
      <c r="AH28" s="36"/>
      <c r="AI28" s="36"/>
      <c r="AJ28" s="36"/>
      <c r="AK28" s="42"/>
      <c r="AL28" s="42"/>
      <c r="AM28" s="73">
        <f t="shared" ref="AM28" si="13">+IF(I28&gt;0,SUM(L28:AL28),0)</f>
        <v>0</v>
      </c>
      <c r="AN28" s="71" t="str">
        <f>+IF($I28&gt;0,VLOOKUP($I28,'Lista de Precios'!$A$3:$H$2883,4,0),"")</f>
        <v/>
      </c>
      <c r="AO28" s="68" t="str">
        <f t="shared" si="3"/>
        <v/>
      </c>
      <c r="AP28" s="7" t="str">
        <f>IF($I28&gt;0,VLOOKUP($I28,'Lista de Precios'!$A$3:$K$2883,10,0),"")</f>
        <v/>
      </c>
      <c r="AQ28" s="7" t="str">
        <f>IF($I28&gt;0,VLOOKUP($I28,'Lista de Precios'!$A$3:$M$49893,13,0),"")</f>
        <v/>
      </c>
      <c r="HQ28" s="134"/>
      <c r="HR28" s="134"/>
      <c r="HS28" s="134"/>
      <c r="HT28" s="134"/>
      <c r="HU28" s="134"/>
      <c r="HV28" s="134"/>
      <c r="HW28" s="134"/>
      <c r="HX28" s="134"/>
      <c r="HY28" s="134"/>
      <c r="HZ28" s="134"/>
      <c r="IA28" s="134"/>
      <c r="IB28" s="134"/>
      <c r="ID28" s="134"/>
      <c r="IE28" s="134"/>
      <c r="IF28" s="134"/>
      <c r="IG28" s="134"/>
      <c r="IH28" s="134"/>
      <c r="II28" s="134"/>
      <c r="IJ28" s="134"/>
      <c r="IK28" s="134"/>
      <c r="IL28" s="134"/>
      <c r="IM28" s="135"/>
      <c r="IN28" s="135"/>
      <c r="IO28" s="135"/>
      <c r="XEO28" s="7">
        <f t="shared" ref="XEO28" si="14">+IF($AQ28=$XEO$13,$AM28,"")</f>
        <v>0</v>
      </c>
      <c r="XEP28" s="7" t="str">
        <f t="shared" si="4"/>
        <v/>
      </c>
      <c r="XEQ28" s="7" t="str">
        <f t="shared" si="5"/>
        <v/>
      </c>
      <c r="XER28" s="7" t="str">
        <f t="shared" si="6"/>
        <v/>
      </c>
    </row>
    <row r="29" spans="1:250 16369:16373" ht="23.25" customHeight="1" x14ac:dyDescent="0.25">
      <c r="A29" s="74" t="str">
        <f>IF($I29&gt;0,VLOOKUP(I29,'Lista de Precios'!$A$3:$L$2883,9,0),0)</f>
        <v>Unisex</v>
      </c>
      <c r="B29" s="74" t="str">
        <f>IF($I29&gt;0,VLOOKUP(I29,'Lista de Precios'!$A$3:$H$2883,7,0),0)</f>
        <v>CONT</v>
      </c>
      <c r="C29" s="7" t="str">
        <f>IF($I29&gt;0,VLOOKUP(I29,'Lista de Precios'!$A$3:$H$2883,2,0),"")</f>
        <v>VALLARTA</v>
      </c>
      <c r="D29" s="7" t="str">
        <f>IF($I29&gt;0,VLOOKUP(I29,'Lista de Precios'!$A$3:$H$2883,3,0),"")</f>
        <v>OLIVA SAGE/GRIS CITY/GRIS PEARL</v>
      </c>
      <c r="E29" s="76" t="str">
        <f>IF($I29&gt;0,VLOOKUP(I29,'Lista de Precios'!$A$3:$H$2883,6,0),"")</f>
        <v>ENERO</v>
      </c>
      <c r="F29" s="76" t="str">
        <f>IF($I29&gt;0,VLOOKUP(I29,'Lista de Precios'!$A$3:$H$2883,8,0),"")</f>
        <v>35 AL 45</v>
      </c>
      <c r="G29" s="101">
        <f t="shared" si="2"/>
        <v>88900</v>
      </c>
      <c r="H29" s="20" t="s">
        <v>3</v>
      </c>
      <c r="I29" s="18">
        <v>26896</v>
      </c>
      <c r="J29" s="28" t="str">
        <f t="shared" si="8"/>
        <v>ENERO</v>
      </c>
      <c r="K29" s="24">
        <f>+IF($I29&gt;0,VLOOKUP($I29,'Lista de Precios'!$A$3:$H$2883,5,0),0)</f>
        <v>1</v>
      </c>
      <c r="L29" s="36"/>
      <c r="M29" s="36"/>
      <c r="N29" s="36"/>
      <c r="O29" s="37"/>
      <c r="P29" s="38"/>
      <c r="Q29" s="39"/>
      <c r="R29" s="37"/>
      <c r="S29" s="37"/>
      <c r="T29" s="37"/>
      <c r="U29" s="37"/>
      <c r="V29" s="37"/>
      <c r="W29" s="37"/>
      <c r="X29" s="37"/>
      <c r="Y29" s="37"/>
      <c r="Z29" s="40"/>
      <c r="AA29" s="41"/>
      <c r="AB29" s="37"/>
      <c r="AC29" s="37">
        <v>4</v>
      </c>
      <c r="AD29" s="37">
        <v>6</v>
      </c>
      <c r="AE29" s="37">
        <v>8</v>
      </c>
      <c r="AF29" s="37">
        <v>12</v>
      </c>
      <c r="AG29" s="37">
        <v>8</v>
      </c>
      <c r="AH29" s="42">
        <v>8</v>
      </c>
      <c r="AI29" s="42">
        <v>4</v>
      </c>
      <c r="AJ29" s="43">
        <v>2</v>
      </c>
      <c r="AK29" s="43">
        <v>2</v>
      </c>
      <c r="AL29" s="43"/>
      <c r="AM29" s="73">
        <f t="shared" si="1"/>
        <v>54</v>
      </c>
      <c r="AN29" s="71">
        <f>+IF($I29&gt;0,VLOOKUP($I29,'Lista de Precios'!$A$3:$H$2883,4,0),"")</f>
        <v>47540.106951871654</v>
      </c>
      <c r="AO29" s="68">
        <f t="shared" si="3"/>
        <v>2567165.7754010693</v>
      </c>
      <c r="AP29" s="7" t="str">
        <f>IF($I29&gt;0,VLOOKUP($I29,'Lista de Precios'!$A$3:$K$2883,10,0),"")</f>
        <v>Casual</v>
      </c>
      <c r="AQ29" s="7" t="str">
        <f>IF($I29&gt;0,VLOOKUP($I29,'Lista de Precios'!$A$3:$M$4893,13,0),"")</f>
        <v>Casual</v>
      </c>
      <c r="AR29" s="7" t="str">
        <f>IF($I29&gt;0,VLOOKUP(I29,'Lista de Precios'!$A$3:$M$2883,13,0),"")</f>
        <v>Casual</v>
      </c>
      <c r="HR29" s="134"/>
      <c r="HS29" s="134"/>
      <c r="HT29" s="134"/>
      <c r="HU29" s="134"/>
      <c r="HV29" s="134"/>
      <c r="HW29" s="134"/>
      <c r="HX29" s="134"/>
      <c r="HY29" s="134"/>
      <c r="HZ29" s="134"/>
      <c r="IA29" s="134"/>
      <c r="IB29" s="134"/>
      <c r="IC29" s="134"/>
      <c r="IE29" s="134"/>
      <c r="IF29" s="134"/>
      <c r="IG29" s="134"/>
      <c r="IH29" s="134"/>
      <c r="II29" s="134"/>
      <c r="IJ29" s="134"/>
      <c r="IK29" s="134"/>
      <c r="IL29" s="134"/>
      <c r="IM29" s="134"/>
      <c r="IN29" s="135"/>
      <c r="IO29" s="135"/>
      <c r="IP29" s="135"/>
      <c r="XEP29" s="7">
        <f t="shared" si="4"/>
        <v>54</v>
      </c>
      <c r="XEQ29" s="7" t="str">
        <f t="shared" si="5"/>
        <v/>
      </c>
      <c r="XER29" s="7" t="str">
        <f t="shared" si="6"/>
        <v/>
      </c>
      <c r="XES29" s="7" t="str">
        <f t="shared" si="7"/>
        <v/>
      </c>
    </row>
    <row r="30" spans="1:250 16369:16373" ht="23.25" customHeight="1" x14ac:dyDescent="0.25">
      <c r="A30" s="74" t="str">
        <f>IF($I30&gt;0,VLOOKUP(I30,'Lista de Precios'!$A$3:$L$2883,9,0),0)</f>
        <v>Unisex</v>
      </c>
      <c r="B30" s="74" t="str">
        <f>IF($I30&gt;0,VLOOKUP(I30,'Lista de Precios'!$A$3:$H$2883,7,0),0)</f>
        <v>CONT</v>
      </c>
      <c r="C30" s="7" t="str">
        <f>IF($I30&gt;0,VLOOKUP(I30,'Lista de Precios'!$A$3:$H$2883,2,0),"")</f>
        <v>VANTE</v>
      </c>
      <c r="D30" s="7" t="str">
        <f>IF($I30&gt;0,VLOOKUP(I30,'Lista de Precios'!$A$3:$H$2883,3,0),"")</f>
        <v>VERDE LAUREL/BEIGE BIRCH</v>
      </c>
      <c r="E30" s="76" t="str">
        <f>IF($I30&gt;0,VLOOKUP(I30,'Lista de Precios'!$A$3:$H$2883,6,0),"")</f>
        <v>ENERO</v>
      </c>
      <c r="F30" s="76" t="str">
        <f>IF($I30&gt;0,VLOOKUP(I30,'Lista de Precios'!$A$3:$H$2883,8,0),"")</f>
        <v>35 AL 46</v>
      </c>
      <c r="G30" s="101">
        <f t="shared" si="2"/>
        <v>83900</v>
      </c>
      <c r="H30" s="20" t="s">
        <v>3</v>
      </c>
      <c r="I30" s="18">
        <v>26926</v>
      </c>
      <c r="J30" s="28" t="str">
        <f t="shared" si="8"/>
        <v>ENERO</v>
      </c>
      <c r="K30" s="24">
        <f>+IF($I30&gt;0,VLOOKUP($I30,'Lista de Precios'!$A$3:$H$2883,5,0),0)</f>
        <v>1</v>
      </c>
      <c r="L30" s="36"/>
      <c r="M30" s="36"/>
      <c r="N30" s="36"/>
      <c r="O30" s="37"/>
      <c r="P30" s="38"/>
      <c r="Q30" s="39"/>
      <c r="R30" s="37"/>
      <c r="S30" s="37"/>
      <c r="T30" s="37"/>
      <c r="U30" s="37"/>
      <c r="V30" s="37"/>
      <c r="W30" s="37"/>
      <c r="X30" s="37"/>
      <c r="Y30" s="37"/>
      <c r="Z30" s="40"/>
      <c r="AA30" s="41">
        <v>2</v>
      </c>
      <c r="AB30" s="37">
        <v>2</v>
      </c>
      <c r="AC30" s="37">
        <v>4</v>
      </c>
      <c r="AD30" s="37">
        <v>8</v>
      </c>
      <c r="AE30" s="37">
        <v>8</v>
      </c>
      <c r="AF30" s="37">
        <v>12</v>
      </c>
      <c r="AG30" s="37">
        <v>8</v>
      </c>
      <c r="AH30" s="42">
        <v>6</v>
      </c>
      <c r="AI30" s="42"/>
      <c r="AJ30" s="43"/>
      <c r="AK30" s="43"/>
      <c r="AL30" s="43"/>
      <c r="AM30" s="73">
        <f t="shared" si="1"/>
        <v>50</v>
      </c>
      <c r="AN30" s="71">
        <f>+IF($I30&gt;0,VLOOKUP($I30,'Lista de Precios'!$A$3:$H$2883,4,0),"")</f>
        <v>44866.310160427805</v>
      </c>
      <c r="AO30" s="68">
        <f t="shared" si="3"/>
        <v>2243315.5080213901</v>
      </c>
      <c r="AP30" s="7" t="str">
        <f>IF($I30&gt;0,VLOOKUP($I30,'Lista de Precios'!$A$3:$K$2883,10,0),"")</f>
        <v>Casual</v>
      </c>
      <c r="AQ30" s="7" t="str">
        <f>IF($I30&gt;0,VLOOKUP($I30,'Lista de Precios'!$A$3:$M$4893,13,0),"")</f>
        <v>Casual</v>
      </c>
      <c r="AR30" s="7" t="str">
        <f>IF($I30&gt;0,VLOOKUP(I30,'Lista de Precios'!$A$3:$M$2883,13,0),"")</f>
        <v>Casual</v>
      </c>
      <c r="HR30" s="134"/>
      <c r="HS30" s="134"/>
      <c r="HT30" s="134"/>
      <c r="HU30" s="134"/>
      <c r="HV30" s="134"/>
      <c r="HW30" s="134"/>
      <c r="HX30" s="134"/>
      <c r="HY30" s="134"/>
      <c r="HZ30" s="134"/>
      <c r="IA30" s="134"/>
      <c r="IB30" s="134"/>
      <c r="IC30" s="134"/>
      <c r="IE30" s="134"/>
      <c r="IF30" s="134"/>
      <c r="IG30" s="134"/>
      <c r="IH30" s="134"/>
      <c r="II30" s="134"/>
      <c r="IJ30" s="134"/>
      <c r="IK30" s="134"/>
      <c r="IL30" s="134"/>
      <c r="IM30" s="134"/>
      <c r="IN30" s="135"/>
      <c r="IO30" s="135"/>
      <c r="IP30" s="135"/>
      <c r="XEP30" s="7">
        <f t="shared" si="4"/>
        <v>50</v>
      </c>
      <c r="XEQ30" s="7" t="str">
        <f t="shared" si="5"/>
        <v/>
      </c>
      <c r="XER30" s="7" t="str">
        <f t="shared" si="6"/>
        <v/>
      </c>
      <c r="XES30" s="7" t="str">
        <f t="shared" si="7"/>
        <v/>
      </c>
    </row>
    <row r="31" spans="1:250 16369:16373" ht="23.25" customHeight="1" x14ac:dyDescent="0.25">
      <c r="A31" s="74" t="str">
        <f>IF($I31&gt;0,VLOOKUP(I31,'Lista de Precios'!$A$3:$L$2883,9,0),0)</f>
        <v>Unisex</v>
      </c>
      <c r="B31" s="74" t="str">
        <f>IF($I31&gt;0,VLOOKUP(I31,'Lista de Precios'!$A$3:$H$2883,7,0),0)</f>
        <v>CONT</v>
      </c>
      <c r="C31" s="7" t="str">
        <f>IF($I31&gt;0,VLOOKUP(I31,'Lista de Precios'!$A$3:$H$2883,2,0),"")</f>
        <v>VANTE</v>
      </c>
      <c r="D31" s="7" t="str">
        <f>IF($I31&gt;0,VLOOKUP(I31,'Lista de Precios'!$A$3:$H$2883,3,0),"")</f>
        <v>AZUL TITAN/BEIGE BIRCH</v>
      </c>
      <c r="E31" s="76" t="str">
        <f>IF($I31&gt;0,VLOOKUP(I31,'Lista de Precios'!$A$3:$H$2883,6,0),"")</f>
        <v>ENERO</v>
      </c>
      <c r="F31" s="76" t="str">
        <f>IF($I31&gt;0,VLOOKUP(I31,'Lista de Precios'!$A$3:$H$2883,8,0),"")</f>
        <v>35 AL 46</v>
      </c>
      <c r="G31" s="101">
        <f t="shared" si="2"/>
        <v>83900</v>
      </c>
      <c r="H31" s="20" t="s">
        <v>3</v>
      </c>
      <c r="I31" s="18">
        <v>52226</v>
      </c>
      <c r="J31" s="28" t="str">
        <f t="shared" si="8"/>
        <v>ENERO</v>
      </c>
      <c r="K31" s="24">
        <f>+IF($I31&gt;0,VLOOKUP($I31,'Lista de Precios'!$A$3:$H$2883,5,0),0)</f>
        <v>1</v>
      </c>
      <c r="L31" s="36"/>
      <c r="M31" s="36"/>
      <c r="N31" s="36"/>
      <c r="O31" s="37"/>
      <c r="P31" s="38"/>
      <c r="Q31" s="39"/>
      <c r="R31" s="37"/>
      <c r="S31" s="37"/>
      <c r="T31" s="37"/>
      <c r="U31" s="37"/>
      <c r="V31" s="37"/>
      <c r="W31" s="37"/>
      <c r="X31" s="37"/>
      <c r="Y31" s="37"/>
      <c r="Z31" s="40"/>
      <c r="AA31" s="41">
        <v>2</v>
      </c>
      <c r="AB31" s="37">
        <v>2</v>
      </c>
      <c r="AC31" s="37">
        <v>4</v>
      </c>
      <c r="AD31" s="37">
        <v>8</v>
      </c>
      <c r="AE31" s="37">
        <v>8</v>
      </c>
      <c r="AF31" s="37">
        <v>12</v>
      </c>
      <c r="AG31" s="37">
        <v>8</v>
      </c>
      <c r="AH31" s="42">
        <v>6</v>
      </c>
      <c r="AI31" s="42"/>
      <c r="AJ31" s="43"/>
      <c r="AK31" s="43"/>
      <c r="AL31" s="43"/>
      <c r="AM31" s="73">
        <f t="shared" si="1"/>
        <v>50</v>
      </c>
      <c r="AN31" s="71">
        <f>+IF($I31&gt;0,VLOOKUP($I31,'Lista de Precios'!$A$3:$H$2883,4,0),"")</f>
        <v>44866.310160427805</v>
      </c>
      <c r="AO31" s="68">
        <f t="shared" si="3"/>
        <v>2243315.5080213901</v>
      </c>
      <c r="AP31" s="7" t="str">
        <f>IF($I31&gt;0,VLOOKUP($I31,'Lista de Precios'!$A$3:$K$2883,10,0),"")</f>
        <v>Casual</v>
      </c>
      <c r="AQ31" s="7" t="str">
        <f>IF($I31&gt;0,VLOOKUP($I31,'Lista de Precios'!$A$3:$M$4893,13,0),"")</f>
        <v>Casual</v>
      </c>
      <c r="AR31" s="7" t="str">
        <f>IF($I31&gt;0,VLOOKUP(I31,'Lista de Precios'!$A$3:$M$2883,13,0),"")</f>
        <v>Casual</v>
      </c>
      <c r="HR31" s="134"/>
      <c r="HS31" s="134"/>
      <c r="HT31" s="134"/>
      <c r="HU31" s="134"/>
      <c r="HV31" s="134"/>
      <c r="HW31" s="134"/>
      <c r="HX31" s="134"/>
      <c r="HY31" s="134"/>
      <c r="HZ31" s="134"/>
      <c r="IA31" s="134"/>
      <c r="IB31" s="134"/>
      <c r="IC31" s="134"/>
      <c r="IE31" s="134"/>
      <c r="IF31" s="134"/>
      <c r="IG31" s="134"/>
      <c r="IH31" s="134"/>
      <c r="II31" s="134"/>
      <c r="IJ31" s="134"/>
      <c r="IK31" s="134"/>
      <c r="IL31" s="134"/>
      <c r="IM31" s="134"/>
      <c r="IN31" s="135"/>
      <c r="IO31" s="135"/>
      <c r="IP31" s="135"/>
      <c r="XEP31" s="7">
        <f t="shared" si="4"/>
        <v>50</v>
      </c>
      <c r="XEQ31" s="7" t="str">
        <f t="shared" si="5"/>
        <v/>
      </c>
      <c r="XER31" s="7" t="str">
        <f t="shared" si="6"/>
        <v/>
      </c>
      <c r="XES31" s="7" t="str">
        <f t="shared" si="7"/>
        <v/>
      </c>
    </row>
    <row r="32" spans="1:250 16369:16373" ht="23.25" customHeight="1" x14ac:dyDescent="0.25">
      <c r="A32" s="74">
        <f>IF($I32&gt;0,VLOOKUP(I32,'Lista de Precios'!$A$3:$L$2883,9,0),0)</f>
        <v>0</v>
      </c>
      <c r="B32" s="74">
        <f>IF($I32&gt;0,VLOOKUP(I32,'Lista de Precios'!$A$3:$H$2883,7,0),0)</f>
        <v>0</v>
      </c>
      <c r="C32" s="7" t="str">
        <f>IF($I32&gt;0,VLOOKUP(I32,'Lista de Precios'!$A$3:$H$2883,2,0),"")</f>
        <v/>
      </c>
      <c r="D32" s="7" t="str">
        <f>IF($I32&gt;0,VLOOKUP(I32,'Lista de Precios'!$A$3:$H$2883,3,0),"")</f>
        <v/>
      </c>
      <c r="E32" s="76" t="str">
        <f>IF($I32&gt;0,VLOOKUP(I32,'Lista de Precios'!$A$3:$H$2883,6,0),"")</f>
        <v/>
      </c>
      <c r="F32" s="76" t="str">
        <f>IF($I32&gt;0,VLOOKUP(I32,'Lista de Precios'!$A$3:$H$2883,8,0),"")</f>
        <v/>
      </c>
      <c r="G32" s="101" t="str">
        <f t="shared" si="2"/>
        <v/>
      </c>
      <c r="H32" s="20" t="s">
        <v>3</v>
      </c>
      <c r="I32" s="18"/>
      <c r="J32" s="28" t="str">
        <f t="shared" si="8"/>
        <v/>
      </c>
      <c r="K32" s="24">
        <f>+IF($I32&gt;0,VLOOKUP($I32,'Lista de Precios'!$A$3:$H$2883,5,0),0)</f>
        <v>0</v>
      </c>
      <c r="L32" s="37"/>
      <c r="M32" s="37"/>
      <c r="N32" s="37"/>
      <c r="O32" s="37"/>
      <c r="P32" s="40"/>
      <c r="Q32" s="39"/>
      <c r="R32" s="37"/>
      <c r="S32" s="37"/>
      <c r="T32" s="37"/>
      <c r="U32" s="37"/>
      <c r="V32" s="37"/>
      <c r="W32" s="37"/>
      <c r="X32" s="37"/>
      <c r="Y32" s="37"/>
      <c r="Z32" s="40"/>
      <c r="AA32" s="41"/>
      <c r="AB32" s="37"/>
      <c r="AC32" s="37"/>
      <c r="AD32" s="37"/>
      <c r="AE32" s="37"/>
      <c r="AF32" s="43"/>
      <c r="AG32" s="43"/>
      <c r="AH32" s="42"/>
      <c r="AI32" s="42"/>
      <c r="AJ32" s="42"/>
      <c r="AK32" s="42"/>
      <c r="AL32" s="43"/>
      <c r="AM32" s="73">
        <f t="shared" si="1"/>
        <v>0</v>
      </c>
      <c r="AN32" s="71" t="str">
        <f>+IF($I32&gt;0,VLOOKUP($I32,'Lista de Precios'!$A$3:$H$2883,4,0),"")</f>
        <v/>
      </c>
      <c r="AO32" s="68" t="str">
        <f t="shared" si="3"/>
        <v/>
      </c>
      <c r="AP32" s="7" t="str">
        <f>IF($I32&gt;0,VLOOKUP($I32,'Lista de Precios'!$A$3:$K$2883,10,0),"")</f>
        <v/>
      </c>
      <c r="AQ32" s="7" t="str">
        <f>IF($I32&gt;0,VLOOKUP($I32,'Lista de Precios'!$A$3:$M$4893,13,0),"")</f>
        <v/>
      </c>
      <c r="AR32" s="7" t="str">
        <f>IF($I32&gt;0,VLOOKUP(I32,'Lista de Precios'!$A$3:$M$2883,13,0),"")</f>
        <v/>
      </c>
      <c r="HR32" s="134"/>
      <c r="HS32" s="134"/>
      <c r="HT32" s="134"/>
      <c r="HU32" s="134"/>
      <c r="HV32" s="134"/>
      <c r="HW32" s="134"/>
      <c r="HX32" s="134"/>
      <c r="HY32" s="134"/>
      <c r="HZ32" s="134"/>
      <c r="IA32" s="134"/>
      <c r="IB32" s="134"/>
      <c r="IC32" s="134"/>
      <c r="IE32" s="134"/>
      <c r="IF32" s="134"/>
      <c r="IG32" s="134"/>
      <c r="IH32" s="134"/>
      <c r="II32" s="134"/>
      <c r="IJ32" s="134"/>
      <c r="IK32" s="134"/>
      <c r="IL32" s="134"/>
      <c r="IM32" s="134"/>
      <c r="IN32" s="135"/>
      <c r="IO32" s="135"/>
      <c r="IP32" s="135"/>
      <c r="XEP32" s="7" t="str">
        <f t="shared" si="4"/>
        <v/>
      </c>
      <c r="XEQ32" s="7" t="str">
        <f t="shared" si="5"/>
        <v/>
      </c>
      <c r="XER32" s="7" t="str">
        <f t="shared" si="6"/>
        <v/>
      </c>
      <c r="XES32" s="7" t="str">
        <f t="shared" si="7"/>
        <v/>
      </c>
    </row>
    <row r="33" spans="1:250 16370:16373" ht="23.25" customHeight="1" x14ac:dyDescent="0.25">
      <c r="A33" s="74">
        <f>IF($I33&gt;0,VLOOKUP(I33,'Lista de Precios'!$A$3:$L$2883,9,0),0)</f>
        <v>0</v>
      </c>
      <c r="B33" s="74">
        <f>IF($I33&gt;0,VLOOKUP(I33,'Lista de Precios'!$A$3:$H$2883,7,0),0)</f>
        <v>0</v>
      </c>
      <c r="C33" s="7" t="str">
        <f>IF($I33&gt;0,VLOOKUP(I33,'Lista de Precios'!$A$3:$H$2883,2,0),"")</f>
        <v/>
      </c>
      <c r="D33" s="7" t="str">
        <f>IF($I33&gt;0,VLOOKUP(I33,'Lista de Precios'!$A$3:$H$2883,3,0),"")</f>
        <v/>
      </c>
      <c r="E33" s="76" t="str">
        <f>IF($I33&gt;0,VLOOKUP(I33,'Lista de Precios'!$A$3:$H$2883,6,0),"")</f>
        <v/>
      </c>
      <c r="F33" s="76" t="str">
        <f>IF($I33&gt;0,VLOOKUP(I33,'Lista de Precios'!$A$3:$H$2883,8,0),"")</f>
        <v/>
      </c>
      <c r="G33" s="101" t="str">
        <f t="shared" si="2"/>
        <v/>
      </c>
      <c r="H33" s="20" t="s">
        <v>3</v>
      </c>
      <c r="I33" s="18"/>
      <c r="J33" s="28" t="str">
        <f t="shared" si="8"/>
        <v/>
      </c>
      <c r="K33" s="24">
        <f>+IF($I33&gt;0,VLOOKUP($I33,'Lista de Precios'!$A$3:$H$2883,5,0),0)</f>
        <v>0</v>
      </c>
      <c r="L33" s="36"/>
      <c r="M33" s="36"/>
      <c r="N33" s="36"/>
      <c r="O33" s="37"/>
      <c r="P33" s="38"/>
      <c r="Q33" s="45"/>
      <c r="R33" s="43"/>
      <c r="S33" s="43"/>
      <c r="T33" s="43"/>
      <c r="U33" s="43"/>
      <c r="V33" s="43"/>
      <c r="W33" s="43"/>
      <c r="X33" s="43"/>
      <c r="Y33" s="37"/>
      <c r="Z33" s="40"/>
      <c r="AA33" s="41"/>
      <c r="AB33" s="37"/>
      <c r="AC33" s="37"/>
      <c r="AD33" s="37"/>
      <c r="AE33" s="37"/>
      <c r="AF33" s="43"/>
      <c r="AG33" s="43"/>
      <c r="AH33" s="42"/>
      <c r="AI33" s="42"/>
      <c r="AJ33" s="42"/>
      <c r="AK33" s="42"/>
      <c r="AL33" s="43"/>
      <c r="AM33" s="73">
        <f t="shared" si="1"/>
        <v>0</v>
      </c>
      <c r="AN33" s="71" t="str">
        <f>+IF($I33&gt;0,VLOOKUP($I33,'Lista de Precios'!$A$3:$H$2883,4,0),"")</f>
        <v/>
      </c>
      <c r="AO33" s="68" t="str">
        <f t="shared" si="3"/>
        <v/>
      </c>
      <c r="AP33" s="7" t="str">
        <f>IF($I33&gt;0,VLOOKUP($I33,'Lista de Precios'!$A$3:$K$2883,10,0),"")</f>
        <v/>
      </c>
      <c r="AQ33" s="7" t="str">
        <f>IF($I33&gt;0,VLOOKUP($I33,'Lista de Precios'!$A$3:$M$4893,13,0),"")</f>
        <v/>
      </c>
      <c r="AR33" s="7" t="str">
        <f>IF($I33&gt;0,VLOOKUP(I33,'Lista de Precios'!$A$3:$M$2883,13,0),"")</f>
        <v/>
      </c>
      <c r="HR33" s="134"/>
      <c r="HS33" s="134"/>
      <c r="HT33" s="134"/>
      <c r="HU33" s="134"/>
      <c r="HV33" s="134"/>
      <c r="HW33" s="134"/>
      <c r="HX33" s="134"/>
      <c r="HY33" s="134"/>
      <c r="HZ33" s="134"/>
      <c r="IA33" s="134"/>
      <c r="IB33" s="134"/>
      <c r="IC33" s="134"/>
      <c r="IE33" s="134"/>
      <c r="IF33" s="134"/>
      <c r="IG33" s="134"/>
      <c r="IH33" s="134"/>
      <c r="II33" s="134"/>
      <c r="IJ33" s="134"/>
      <c r="IK33" s="134"/>
      <c r="IL33" s="134"/>
      <c r="IM33" s="134"/>
      <c r="IN33" s="135"/>
      <c r="IO33" s="135"/>
      <c r="IP33" s="135"/>
      <c r="XEP33" s="7" t="str">
        <f t="shared" si="4"/>
        <v/>
      </c>
      <c r="XEQ33" s="7" t="str">
        <f t="shared" si="5"/>
        <v/>
      </c>
      <c r="XER33" s="7" t="str">
        <f t="shared" si="6"/>
        <v/>
      </c>
      <c r="XES33" s="7" t="str">
        <f t="shared" si="7"/>
        <v/>
      </c>
    </row>
    <row r="34" spans="1:250 16370:16373" ht="23.25" customHeight="1" x14ac:dyDescent="0.25">
      <c r="A34" s="74">
        <f>IF($I34&gt;0,VLOOKUP(I34,'Lista de Precios'!$A$3:$L$2883,9,0),0)</f>
        <v>0</v>
      </c>
      <c r="B34" s="74">
        <f>IF($I34&gt;0,VLOOKUP(I34,'Lista de Precios'!$A$3:$H$2883,7,0),0)</f>
        <v>0</v>
      </c>
      <c r="C34" s="7" t="str">
        <f>IF($I34&gt;0,VLOOKUP(I34,'Lista de Precios'!$A$3:$H$2883,2,0),"")</f>
        <v/>
      </c>
      <c r="D34" s="7" t="str">
        <f>IF($I34&gt;0,VLOOKUP(I34,'Lista de Precios'!$A$3:$H$2883,3,0),"")</f>
        <v/>
      </c>
      <c r="E34" s="76" t="str">
        <f>IF($I34&gt;0,VLOOKUP(I34,'Lista de Precios'!$A$3:$H$2883,6,0),"")</f>
        <v/>
      </c>
      <c r="F34" s="76" t="str">
        <f>IF($I34&gt;0,VLOOKUP(I34,'Lista de Precios'!$A$3:$H$2883,8,0),"")</f>
        <v/>
      </c>
      <c r="G34" s="101" t="str">
        <f t="shared" si="2"/>
        <v/>
      </c>
      <c r="H34" s="20" t="s">
        <v>3</v>
      </c>
      <c r="I34" s="18"/>
      <c r="J34" s="28" t="str">
        <f t="shared" si="8"/>
        <v/>
      </c>
      <c r="K34" s="24">
        <f>+IF($I34&gt;0,VLOOKUP($I34,'Lista de Precios'!$A$3:$H$2883,5,0),0)</f>
        <v>0</v>
      </c>
      <c r="L34" s="42"/>
      <c r="M34" s="42"/>
      <c r="N34" s="42"/>
      <c r="O34" s="43"/>
      <c r="P34" s="46"/>
      <c r="Q34" s="45"/>
      <c r="R34" s="43"/>
      <c r="S34" s="43"/>
      <c r="T34" s="43"/>
      <c r="U34" s="43"/>
      <c r="V34" s="43"/>
      <c r="W34" s="43"/>
      <c r="X34" s="43"/>
      <c r="Y34" s="37"/>
      <c r="Z34" s="40"/>
      <c r="AA34" s="41"/>
      <c r="AB34" s="37"/>
      <c r="AC34" s="37"/>
      <c r="AD34" s="37"/>
      <c r="AE34" s="37"/>
      <c r="AF34" s="43"/>
      <c r="AG34" s="43"/>
      <c r="AH34" s="42"/>
      <c r="AI34" s="42"/>
      <c r="AJ34" s="42"/>
      <c r="AK34" s="42"/>
      <c r="AL34" s="43"/>
      <c r="AM34" s="73">
        <f t="shared" si="1"/>
        <v>0</v>
      </c>
      <c r="AN34" s="71" t="str">
        <f>+IF($I34&gt;0,VLOOKUP($I34,'Lista de Precios'!$A$3:$H$2883,4,0),"")</f>
        <v/>
      </c>
      <c r="AO34" s="68" t="str">
        <f t="shared" si="3"/>
        <v/>
      </c>
      <c r="AP34" s="7" t="str">
        <f>IF($I34&gt;0,VLOOKUP($I34,'Lista de Precios'!$A$3:$K$2883,10,0),"")</f>
        <v/>
      </c>
      <c r="AQ34" s="7" t="str">
        <f>IF($I34&gt;0,VLOOKUP($I34,'Lista de Precios'!$A$3:$M$4893,13,0),"")</f>
        <v/>
      </c>
      <c r="AR34" s="7" t="str">
        <f>IF($I34&gt;0,VLOOKUP(I34,'Lista de Precios'!$A$3:$M$2883,13,0),"")</f>
        <v/>
      </c>
      <c r="HR34" s="134"/>
      <c r="HS34" s="134"/>
      <c r="HT34" s="134"/>
      <c r="HU34" s="134"/>
      <c r="HV34" s="134"/>
      <c r="HW34" s="134"/>
      <c r="HX34" s="134"/>
      <c r="HY34" s="134"/>
      <c r="HZ34" s="134"/>
      <c r="IA34" s="134"/>
      <c r="IB34" s="134"/>
      <c r="IC34" s="134"/>
      <c r="IE34" s="134"/>
      <c r="IF34" s="134"/>
      <c r="IG34" s="134"/>
      <c r="IH34" s="134"/>
      <c r="II34" s="134"/>
      <c r="IJ34" s="134"/>
      <c r="IK34" s="134"/>
      <c r="IL34" s="134"/>
      <c r="IM34" s="134"/>
      <c r="IN34" s="135"/>
      <c r="IO34" s="135"/>
      <c r="IP34" s="135"/>
      <c r="XEP34" s="7" t="str">
        <f t="shared" si="4"/>
        <v/>
      </c>
      <c r="XEQ34" s="7" t="str">
        <f t="shared" si="5"/>
        <v/>
      </c>
      <c r="XER34" s="7" t="str">
        <f t="shared" si="6"/>
        <v/>
      </c>
      <c r="XES34" s="7" t="str">
        <f t="shared" si="7"/>
        <v/>
      </c>
    </row>
    <row r="35" spans="1:250 16370:16373" ht="23.25" customHeight="1" x14ac:dyDescent="0.25">
      <c r="A35" s="74">
        <f>IF($I35&gt;0,VLOOKUP(I35,'Lista de Precios'!$A$3:$L$2883,9,0),0)</f>
        <v>0</v>
      </c>
      <c r="B35" s="74">
        <f>IF($I35&gt;0,VLOOKUP(I35,'Lista de Precios'!$A$3:$H$2883,7,0),0)</f>
        <v>0</v>
      </c>
      <c r="C35" s="7" t="str">
        <f>IF($I35&gt;0,VLOOKUP(I35,'Lista de Precios'!$A$3:$H$2883,2,0),"")</f>
        <v/>
      </c>
      <c r="D35" s="7" t="str">
        <f>IF($I35&gt;0,VLOOKUP(I35,'Lista de Precios'!$A$3:$H$2883,3,0),"")</f>
        <v/>
      </c>
      <c r="E35" s="76" t="str">
        <f>IF($I35&gt;0,VLOOKUP(I35,'Lista de Precios'!$A$3:$H$2883,6,0),"")</f>
        <v/>
      </c>
      <c r="F35" s="76" t="str">
        <f>IF($I35&gt;0,VLOOKUP(I35,'Lista de Precios'!$A$3:$H$2883,8,0),"")</f>
        <v/>
      </c>
      <c r="G35" s="101" t="str">
        <f t="shared" si="2"/>
        <v/>
      </c>
      <c r="H35" s="20" t="s">
        <v>3</v>
      </c>
      <c r="I35" s="18"/>
      <c r="J35" s="28" t="str">
        <f t="shared" si="8"/>
        <v/>
      </c>
      <c r="K35" s="24">
        <f>+IF($I35&gt;0,VLOOKUP($I35,'Lista de Precios'!$A$3:$H$2883,5,0),0)</f>
        <v>0</v>
      </c>
      <c r="L35" s="43"/>
      <c r="M35" s="43"/>
      <c r="N35" s="43"/>
      <c r="O35" s="43"/>
      <c r="P35" s="44"/>
      <c r="Q35" s="45"/>
      <c r="R35" s="43"/>
      <c r="S35" s="43"/>
      <c r="T35" s="43"/>
      <c r="U35" s="43"/>
      <c r="V35" s="43"/>
      <c r="W35" s="43"/>
      <c r="X35" s="43"/>
      <c r="Y35" s="37"/>
      <c r="Z35" s="40"/>
      <c r="AA35" s="41"/>
      <c r="AB35" s="37"/>
      <c r="AC35" s="37"/>
      <c r="AD35" s="37"/>
      <c r="AE35" s="37"/>
      <c r="AF35" s="43"/>
      <c r="AG35" s="43"/>
      <c r="AH35" s="42"/>
      <c r="AI35" s="42"/>
      <c r="AJ35" s="42"/>
      <c r="AK35" s="42"/>
      <c r="AL35" s="43"/>
      <c r="AM35" s="73">
        <f t="shared" si="1"/>
        <v>0</v>
      </c>
      <c r="AN35" s="71" t="str">
        <f>+IF($I35&gt;0,VLOOKUP($I35,'Lista de Precios'!$A$3:$H$2883,4,0),"")</f>
        <v/>
      </c>
      <c r="AO35" s="68" t="str">
        <f t="shared" si="3"/>
        <v/>
      </c>
      <c r="AP35" s="7" t="str">
        <f>IF($I35&gt;0,VLOOKUP($I35,'Lista de Precios'!$A$3:$K$2883,10,0),"")</f>
        <v/>
      </c>
      <c r="AQ35" s="7" t="str">
        <f>IF($I35&gt;0,VLOOKUP($I35,'Lista de Precios'!$A$3:$M$4893,13,0),"")</f>
        <v/>
      </c>
      <c r="AR35" s="7" t="str">
        <f>IF($I35&gt;0,VLOOKUP(I35,'Lista de Precios'!$A$3:$M$2883,13,0),"")</f>
        <v/>
      </c>
      <c r="HR35" s="134"/>
      <c r="HS35" s="134"/>
      <c r="HT35" s="134"/>
      <c r="HU35" s="134"/>
      <c r="HV35" s="134"/>
      <c r="HW35" s="134"/>
      <c r="HX35" s="134"/>
      <c r="HY35" s="134"/>
      <c r="HZ35" s="134"/>
      <c r="IA35" s="134"/>
      <c r="IB35" s="134"/>
      <c r="IC35" s="134"/>
      <c r="IE35" s="134"/>
      <c r="IF35" s="134"/>
      <c r="IG35" s="134"/>
      <c r="IH35" s="134"/>
      <c r="II35" s="134"/>
      <c r="IJ35" s="134"/>
      <c r="IK35" s="134"/>
      <c r="IL35" s="134"/>
      <c r="IM35" s="134"/>
      <c r="IN35" s="135"/>
      <c r="IO35" s="135"/>
      <c r="IP35" s="135"/>
      <c r="XEP35" s="7" t="str">
        <f t="shared" si="4"/>
        <v/>
      </c>
      <c r="XEQ35" s="7" t="str">
        <f t="shared" si="5"/>
        <v/>
      </c>
      <c r="XER35" s="7" t="str">
        <f t="shared" si="6"/>
        <v/>
      </c>
      <c r="XES35" s="7" t="str">
        <f t="shared" si="7"/>
        <v/>
      </c>
    </row>
    <row r="36" spans="1:250 16370:16373" ht="23.25" customHeight="1" x14ac:dyDescent="0.25">
      <c r="A36" s="74">
        <f>IF($I36&gt;0,VLOOKUP(I36,'Lista de Precios'!$A$3:$L$2883,9,0),0)</f>
        <v>0</v>
      </c>
      <c r="B36" s="74">
        <f>IF($I36&gt;0,VLOOKUP(I36,'Lista de Precios'!$A$3:$H$2883,7,0),0)</f>
        <v>0</v>
      </c>
      <c r="C36" s="7" t="str">
        <f>IF($I36&gt;0,VLOOKUP(I36,'Lista de Precios'!$A$3:$H$2883,2,0),"")</f>
        <v/>
      </c>
      <c r="D36" s="7" t="str">
        <f>IF($I36&gt;0,VLOOKUP(I36,'Lista de Precios'!$A$3:$H$2883,3,0),"")</f>
        <v/>
      </c>
      <c r="E36" s="76" t="str">
        <f>IF($I36&gt;0,VLOOKUP(I36,'Lista de Precios'!$A$3:$H$2883,6,0),"")</f>
        <v/>
      </c>
      <c r="F36" s="76" t="str">
        <f>IF($I36&gt;0,VLOOKUP(I36,'Lista de Precios'!$A$3:$H$2883,8,0),"")</f>
        <v/>
      </c>
      <c r="G36" s="101" t="str">
        <f t="shared" si="2"/>
        <v/>
      </c>
      <c r="H36" s="20" t="s">
        <v>3</v>
      </c>
      <c r="I36" s="18"/>
      <c r="J36" s="28" t="str">
        <f t="shared" si="8"/>
        <v/>
      </c>
      <c r="K36" s="24">
        <f>+IF($I36&gt;0,VLOOKUP($I36,'Lista de Precios'!$A$3:$H$2883,5,0),0)</f>
        <v>0</v>
      </c>
      <c r="L36" s="43"/>
      <c r="M36" s="43"/>
      <c r="N36" s="43"/>
      <c r="O36" s="37"/>
      <c r="P36" s="44"/>
      <c r="Q36" s="39"/>
      <c r="R36" s="37"/>
      <c r="S36" s="37"/>
      <c r="T36" s="37"/>
      <c r="U36" s="37"/>
      <c r="V36" s="37"/>
      <c r="W36" s="37"/>
      <c r="X36" s="37"/>
      <c r="Y36" s="37"/>
      <c r="Z36" s="40"/>
      <c r="AA36" s="41"/>
      <c r="AB36" s="37"/>
      <c r="AC36" s="37"/>
      <c r="AD36" s="37"/>
      <c r="AE36" s="37"/>
      <c r="AF36" s="43"/>
      <c r="AG36" s="43"/>
      <c r="AH36" s="42"/>
      <c r="AI36" s="42"/>
      <c r="AJ36" s="42"/>
      <c r="AK36" s="42"/>
      <c r="AL36" s="43"/>
      <c r="AM36" s="73">
        <f t="shared" si="1"/>
        <v>0</v>
      </c>
      <c r="AN36" s="71" t="str">
        <f>+IF($I36&gt;0,VLOOKUP($I36,'Lista de Precios'!$A$3:$H$2883,4,0),"")</f>
        <v/>
      </c>
      <c r="AO36" s="68" t="str">
        <f t="shared" si="3"/>
        <v/>
      </c>
      <c r="AP36" s="7" t="str">
        <f>IF($I36&gt;0,VLOOKUP($I36,'Lista de Precios'!$A$3:$K$2883,10,0),"")</f>
        <v/>
      </c>
      <c r="AQ36" s="7" t="str">
        <f>IF($I36&gt;0,VLOOKUP($I36,'Lista de Precios'!$A$3:$M$4893,13,0),"")</f>
        <v/>
      </c>
      <c r="AR36" s="7" t="str">
        <f>IF($I36&gt;0,VLOOKUP(I36,'Lista de Precios'!$A$3:$M$2883,13,0),"")</f>
        <v/>
      </c>
      <c r="HR36" s="134"/>
      <c r="HS36" s="134"/>
      <c r="HT36" s="134"/>
      <c r="HU36" s="134"/>
      <c r="HV36" s="134"/>
      <c r="HW36" s="134"/>
      <c r="HX36" s="134"/>
      <c r="HY36" s="134"/>
      <c r="HZ36" s="134"/>
      <c r="IA36" s="134"/>
      <c r="IB36" s="134"/>
      <c r="IC36" s="134"/>
      <c r="IE36" s="134"/>
      <c r="IF36" s="134"/>
      <c r="IG36" s="134"/>
      <c r="IH36" s="134"/>
      <c r="II36" s="134"/>
      <c r="IJ36" s="134"/>
      <c r="IK36" s="134"/>
      <c r="IL36" s="134"/>
      <c r="IM36" s="134"/>
      <c r="IN36" s="135"/>
      <c r="IO36" s="135"/>
      <c r="IP36" s="135"/>
      <c r="XEP36" s="7" t="str">
        <f t="shared" si="4"/>
        <v/>
      </c>
      <c r="XEQ36" s="7" t="str">
        <f t="shared" si="5"/>
        <v/>
      </c>
      <c r="XER36" s="7" t="str">
        <f t="shared" si="6"/>
        <v/>
      </c>
      <c r="XES36" s="7" t="str">
        <f t="shared" si="7"/>
        <v/>
      </c>
    </row>
    <row r="37" spans="1:250 16370:16373" ht="23.25" customHeight="1" x14ac:dyDescent="0.25">
      <c r="A37" s="74">
        <f>IF($I37&gt;0,VLOOKUP(I37,'Lista de Precios'!$A$3:$L$2883,9,0),0)</f>
        <v>0</v>
      </c>
      <c r="B37" s="74">
        <f>IF($I37&gt;0,VLOOKUP(I37,'Lista de Precios'!$A$3:$H$2883,7,0),0)</f>
        <v>0</v>
      </c>
      <c r="C37" s="7" t="str">
        <f>IF($I37&gt;0,VLOOKUP(I37,'Lista de Precios'!$A$3:$H$2883,2,0),"")</f>
        <v/>
      </c>
      <c r="D37" s="7" t="str">
        <f>IF($I37&gt;0,VLOOKUP(I37,'Lista de Precios'!$A$3:$H$2883,3,0),"")</f>
        <v/>
      </c>
      <c r="E37" s="76" t="str">
        <f>IF($I37&gt;0,VLOOKUP(I37,'Lista de Precios'!$A$3:$H$2883,6,0),"")</f>
        <v/>
      </c>
      <c r="F37" s="76" t="str">
        <f>IF($I37&gt;0,VLOOKUP(I37,'Lista de Precios'!$A$3:$H$2883,8,0),"")</f>
        <v/>
      </c>
      <c r="G37" s="101" t="str">
        <f t="shared" si="2"/>
        <v/>
      </c>
      <c r="H37" s="20" t="s">
        <v>3</v>
      </c>
      <c r="I37" s="18"/>
      <c r="J37" s="28" t="str">
        <f t="shared" si="8"/>
        <v/>
      </c>
      <c r="K37" s="24">
        <f>+IF($I37&gt;0,VLOOKUP($I37,'Lista de Precios'!$A$3:$H$2883,5,0),0)</f>
        <v>0</v>
      </c>
      <c r="L37" s="43"/>
      <c r="M37" s="43"/>
      <c r="N37" s="43"/>
      <c r="O37" s="43"/>
      <c r="P37" s="44"/>
      <c r="Q37" s="45"/>
      <c r="R37" s="43"/>
      <c r="S37" s="43"/>
      <c r="T37" s="43"/>
      <c r="U37" s="43"/>
      <c r="V37" s="43"/>
      <c r="W37" s="43"/>
      <c r="X37" s="43"/>
      <c r="Y37" s="37"/>
      <c r="Z37" s="40"/>
      <c r="AA37" s="41"/>
      <c r="AB37" s="37"/>
      <c r="AC37" s="37"/>
      <c r="AD37" s="37"/>
      <c r="AE37" s="37"/>
      <c r="AF37" s="37"/>
      <c r="AG37" s="43"/>
      <c r="AH37" s="42"/>
      <c r="AI37" s="42"/>
      <c r="AJ37" s="49"/>
      <c r="AK37" s="49"/>
      <c r="AL37" s="49"/>
      <c r="AM37" s="73">
        <f t="shared" si="1"/>
        <v>0</v>
      </c>
      <c r="AN37" s="71" t="str">
        <f>+IF($I37&gt;0,VLOOKUP($I37,'Lista de Precios'!$A$3:$H$2883,4,0),"")</f>
        <v/>
      </c>
      <c r="AO37" s="68" t="str">
        <f t="shared" si="3"/>
        <v/>
      </c>
      <c r="AP37" s="7" t="str">
        <f>IF($I37&gt;0,VLOOKUP($I37,'Lista de Precios'!$A$3:$K$2883,10,0),"")</f>
        <v/>
      </c>
      <c r="AQ37" s="7" t="str">
        <f>IF($I37&gt;0,VLOOKUP($I37,'Lista de Precios'!$A$3:$M$4893,13,0),"")</f>
        <v/>
      </c>
      <c r="AR37" s="7" t="str">
        <f>IF($I37&gt;0,VLOOKUP(I37,'Lista de Precios'!$A$3:$M$2883,13,0),"")</f>
        <v/>
      </c>
      <c r="HR37" s="134"/>
      <c r="HS37" s="134"/>
      <c r="HT37" s="134"/>
      <c r="HU37" s="134"/>
      <c r="HV37" s="134"/>
      <c r="HW37" s="134"/>
      <c r="HX37" s="134"/>
      <c r="HY37" s="134"/>
      <c r="HZ37" s="134"/>
      <c r="IA37" s="134"/>
      <c r="IB37" s="134"/>
      <c r="IC37" s="134"/>
      <c r="IE37" s="134"/>
      <c r="IF37" s="134"/>
      <c r="IG37" s="134"/>
      <c r="IH37" s="134"/>
      <c r="II37" s="134"/>
      <c r="IJ37" s="134"/>
      <c r="IK37" s="134"/>
      <c r="IL37" s="134"/>
      <c r="IM37" s="134"/>
      <c r="IN37" s="135"/>
      <c r="IO37" s="135"/>
      <c r="IP37" s="135"/>
      <c r="XEP37" s="7" t="str">
        <f t="shared" si="4"/>
        <v/>
      </c>
      <c r="XEQ37" s="7" t="str">
        <f t="shared" si="5"/>
        <v/>
      </c>
      <c r="XER37" s="7" t="str">
        <f t="shared" si="6"/>
        <v/>
      </c>
      <c r="XES37" s="7" t="str">
        <f t="shared" si="7"/>
        <v/>
      </c>
    </row>
    <row r="38" spans="1:250 16370:16373" ht="23.25" customHeight="1" x14ac:dyDescent="0.25">
      <c r="A38" s="74">
        <f>IF($I38&gt;0,VLOOKUP(I38,'Lista de Precios'!$A$3:$L$2883,9,0),0)</f>
        <v>0</v>
      </c>
      <c r="B38" s="74">
        <f>IF($I38&gt;0,VLOOKUP(I38,'Lista de Precios'!$A$3:$H$2883,7,0),0)</f>
        <v>0</v>
      </c>
      <c r="C38" s="7" t="str">
        <f>IF($I38&gt;0,VLOOKUP(I38,'Lista de Precios'!$A$3:$H$2883,2,0),"")</f>
        <v/>
      </c>
      <c r="D38" s="7" t="str">
        <f>IF($I38&gt;0,VLOOKUP(I38,'Lista de Precios'!$A$3:$H$2883,3,0),"")</f>
        <v/>
      </c>
      <c r="E38" s="76" t="str">
        <f>IF($I38&gt;0,VLOOKUP(I38,'Lista de Precios'!$A$3:$H$2883,6,0),"")</f>
        <v/>
      </c>
      <c r="F38" s="76" t="str">
        <f>IF($I38&gt;0,VLOOKUP(I38,'Lista de Precios'!$A$3:$H$2883,8,0),"")</f>
        <v/>
      </c>
      <c r="G38" s="101" t="str">
        <f t="shared" si="2"/>
        <v/>
      </c>
      <c r="H38" s="20" t="s">
        <v>3</v>
      </c>
      <c r="I38" s="18"/>
      <c r="J38" s="28" t="str">
        <f t="shared" si="8"/>
        <v/>
      </c>
      <c r="K38" s="24">
        <f>+IF($I38&gt;0,VLOOKUP($I38,'Lista de Precios'!$A$3:$H$2883,5,0),0)</f>
        <v>0</v>
      </c>
      <c r="L38" s="48"/>
      <c r="M38" s="48"/>
      <c r="N38" s="48"/>
      <c r="O38" s="48"/>
      <c r="P38" s="47"/>
      <c r="Q38" s="50"/>
      <c r="R38" s="43"/>
      <c r="S38" s="43"/>
      <c r="T38" s="43"/>
      <c r="U38" s="43"/>
      <c r="V38" s="43"/>
      <c r="W38" s="43"/>
      <c r="X38" s="43"/>
      <c r="Y38" s="37"/>
      <c r="Z38" s="40"/>
      <c r="AA38" s="41"/>
      <c r="AB38" s="37"/>
      <c r="AC38" s="37"/>
      <c r="AD38" s="37"/>
      <c r="AE38" s="37"/>
      <c r="AF38" s="37"/>
      <c r="AG38" s="43"/>
      <c r="AH38" s="42"/>
      <c r="AI38" s="42"/>
      <c r="AJ38" s="49"/>
      <c r="AK38" s="49"/>
      <c r="AL38" s="48"/>
      <c r="AM38" s="73">
        <f t="shared" si="1"/>
        <v>0</v>
      </c>
      <c r="AN38" s="71" t="str">
        <f>+IF($I38&gt;0,VLOOKUP($I38,'Lista de Precios'!$A$3:$H$2883,4,0),"")</f>
        <v/>
      </c>
      <c r="AO38" s="68" t="str">
        <f t="shared" si="3"/>
        <v/>
      </c>
      <c r="AP38" s="7" t="str">
        <f>IF($I38&gt;0,VLOOKUP($I38,'Lista de Precios'!$A$3:$K$2883,10,0),"")</f>
        <v/>
      </c>
      <c r="AQ38" s="7" t="str">
        <f>IF($I38&gt;0,VLOOKUP($I38,'Lista de Precios'!$A$3:$M$4893,13,0),"")</f>
        <v/>
      </c>
      <c r="AR38" s="7" t="str">
        <f>IF($I38&gt;0,VLOOKUP(I38,'Lista de Precios'!$A$3:$M$2883,13,0),"")</f>
        <v/>
      </c>
      <c r="HR38" s="134"/>
      <c r="HS38" s="134"/>
      <c r="HT38" s="134"/>
      <c r="HU38" s="134"/>
      <c r="HV38" s="134"/>
      <c r="HW38" s="134"/>
      <c r="HX38" s="134"/>
      <c r="HY38" s="134"/>
      <c r="HZ38" s="134"/>
      <c r="IA38" s="134"/>
      <c r="IB38" s="134"/>
      <c r="IC38" s="134"/>
      <c r="IE38" s="134"/>
      <c r="IF38" s="134"/>
      <c r="IG38" s="134"/>
      <c r="IH38" s="134"/>
      <c r="II38" s="134"/>
      <c r="IJ38" s="134"/>
      <c r="IK38" s="134"/>
      <c r="IL38" s="134"/>
      <c r="IM38" s="134"/>
      <c r="IN38" s="135"/>
      <c r="IO38" s="135"/>
      <c r="IP38" s="135"/>
      <c r="XEP38" s="7" t="str">
        <f t="shared" si="4"/>
        <v/>
      </c>
      <c r="XEQ38" s="7" t="str">
        <f t="shared" si="5"/>
        <v/>
      </c>
      <c r="XER38" s="7" t="str">
        <f t="shared" si="6"/>
        <v/>
      </c>
      <c r="XES38" s="7" t="str">
        <f t="shared" si="7"/>
        <v/>
      </c>
    </row>
    <row r="39" spans="1:250 16370:16373" ht="23.25" customHeight="1" x14ac:dyDescent="0.25">
      <c r="A39" s="74">
        <f>IF($I39&gt;0,VLOOKUP(I39,'Lista de Precios'!$A$3:$L$2883,9,0),0)</f>
        <v>0</v>
      </c>
      <c r="B39" s="74">
        <f>IF($I39&gt;0,VLOOKUP(I39,'Lista de Precios'!$A$3:$H$2883,7,0),0)</f>
        <v>0</v>
      </c>
      <c r="C39" s="7" t="str">
        <f>IF($I39&gt;0,VLOOKUP(I39,'Lista de Precios'!$A$3:$H$2883,2,0),"")</f>
        <v/>
      </c>
      <c r="D39" s="7" t="str">
        <f>IF($I39&gt;0,VLOOKUP(I39,'Lista de Precios'!$A$3:$H$2883,3,0),"")</f>
        <v/>
      </c>
      <c r="E39" s="76" t="str">
        <f>IF($I39&gt;0,VLOOKUP(I39,'Lista de Precios'!$A$3:$H$2883,6,0),"")</f>
        <v/>
      </c>
      <c r="F39" s="76" t="str">
        <f>IF($I39&gt;0,VLOOKUP(I39,'Lista de Precios'!$A$3:$H$2883,8,0),"")</f>
        <v/>
      </c>
      <c r="G39" s="101" t="str">
        <f t="shared" si="2"/>
        <v/>
      </c>
      <c r="H39" s="20" t="s">
        <v>3</v>
      </c>
      <c r="I39" s="18"/>
      <c r="J39" s="28" t="str">
        <f t="shared" si="8"/>
        <v/>
      </c>
      <c r="K39" s="24">
        <f>+IF($I39&gt;0,VLOOKUP($I39,'Lista de Precios'!$A$3:$H$2883,5,0),0)</f>
        <v>0</v>
      </c>
      <c r="L39" s="51"/>
      <c r="M39" s="51"/>
      <c r="N39" s="51"/>
      <c r="O39" s="48"/>
      <c r="P39" s="52"/>
      <c r="Q39" s="50"/>
      <c r="R39" s="43"/>
      <c r="S39" s="43"/>
      <c r="T39" s="43"/>
      <c r="U39" s="43"/>
      <c r="V39" s="43"/>
      <c r="W39" s="43"/>
      <c r="X39" s="43"/>
      <c r="Y39" s="43"/>
      <c r="Z39" s="44"/>
      <c r="AA39" s="41"/>
      <c r="AB39" s="37"/>
      <c r="AC39" s="37"/>
      <c r="AD39" s="37"/>
      <c r="AE39" s="37"/>
      <c r="AF39" s="48"/>
      <c r="AG39" s="54"/>
      <c r="AH39" s="54"/>
      <c r="AI39" s="54"/>
      <c r="AJ39" s="54"/>
      <c r="AK39" s="54"/>
      <c r="AL39" s="54"/>
      <c r="AM39" s="73">
        <f t="shared" si="1"/>
        <v>0</v>
      </c>
      <c r="AN39" s="71" t="str">
        <f>+IF($I39&gt;0,VLOOKUP($I39,'Lista de Precios'!$A$3:$H$2883,4,0),"")</f>
        <v/>
      </c>
      <c r="AO39" s="68" t="str">
        <f t="shared" si="3"/>
        <v/>
      </c>
      <c r="AP39" s="7" t="str">
        <f>IF($I39&gt;0,VLOOKUP($I39,'Lista de Precios'!$A$3:$K$2883,10,0),"")</f>
        <v/>
      </c>
      <c r="AQ39" s="7" t="str">
        <f>IF($I39&gt;0,VLOOKUP($I39,'Lista de Precios'!$A$3:$M$4893,13,0),"")</f>
        <v/>
      </c>
      <c r="AR39" s="7" t="str">
        <f>IF($I39&gt;0,VLOOKUP(I39,'Lista de Precios'!$A$3:$M$2883,13,0),"")</f>
        <v/>
      </c>
      <c r="HR39" s="134"/>
      <c r="HS39" s="134"/>
      <c r="HT39" s="134"/>
      <c r="HU39" s="134"/>
      <c r="HV39" s="134"/>
      <c r="HW39" s="134"/>
      <c r="HX39" s="134"/>
      <c r="HY39" s="134"/>
      <c r="HZ39" s="134"/>
      <c r="IA39" s="134"/>
      <c r="IB39" s="134"/>
      <c r="IC39" s="134"/>
      <c r="IE39" s="134"/>
      <c r="IF39" s="134"/>
      <c r="IG39" s="134"/>
      <c r="IH39" s="134"/>
      <c r="II39" s="134"/>
      <c r="IJ39" s="134"/>
      <c r="IK39" s="134"/>
      <c r="IL39" s="134"/>
      <c r="IM39" s="134"/>
      <c r="IN39" s="135"/>
      <c r="IO39" s="135"/>
      <c r="IP39" s="135"/>
      <c r="XEP39" s="7" t="str">
        <f t="shared" si="4"/>
        <v/>
      </c>
      <c r="XEQ39" s="7" t="str">
        <f t="shared" si="5"/>
        <v/>
      </c>
      <c r="XER39" s="7" t="str">
        <f t="shared" si="6"/>
        <v/>
      </c>
      <c r="XES39" s="7" t="str">
        <f t="shared" si="7"/>
        <v/>
      </c>
    </row>
    <row r="40" spans="1:250 16370:16373" ht="23.25" customHeight="1" x14ac:dyDescent="0.25">
      <c r="A40" s="74">
        <f>IF($I40&gt;0,VLOOKUP(I40,'Lista de Precios'!$A$3:$L$2883,9,0),0)</f>
        <v>0</v>
      </c>
      <c r="B40" s="74">
        <f>IF($I40&gt;0,VLOOKUP(I40,'Lista de Precios'!$A$3:$H$2883,7,0),0)</f>
        <v>0</v>
      </c>
      <c r="C40" s="7" t="str">
        <f>IF($I40&gt;0,VLOOKUP(I40,'Lista de Precios'!$A$3:$H$2883,2,0),"")</f>
        <v/>
      </c>
      <c r="D40" s="7" t="str">
        <f>IF($I40&gt;0,VLOOKUP(I40,'Lista de Precios'!$A$3:$H$2883,3,0),"")</f>
        <v/>
      </c>
      <c r="E40" s="76" t="str">
        <f>IF($I40&gt;0,VLOOKUP(I40,'Lista de Precios'!$A$3:$H$2883,6,0),"")</f>
        <v/>
      </c>
      <c r="F40" s="76" t="str">
        <f>IF($I40&gt;0,VLOOKUP(I40,'Lista de Precios'!$A$3:$H$2883,8,0),"")</f>
        <v/>
      </c>
      <c r="G40" s="101" t="str">
        <f t="shared" si="2"/>
        <v/>
      </c>
      <c r="H40" s="20" t="s">
        <v>3</v>
      </c>
      <c r="I40" s="18"/>
      <c r="J40" s="28" t="str">
        <f t="shared" si="8"/>
        <v/>
      </c>
      <c r="K40" s="24">
        <f>+IF($I40&gt;0,VLOOKUP($I40,'Lista de Precios'!$A$3:$H$2883,5,0),0)</f>
        <v>0</v>
      </c>
      <c r="L40" s="54"/>
      <c r="M40" s="54"/>
      <c r="N40" s="54"/>
      <c r="O40" s="48"/>
      <c r="P40" s="55"/>
      <c r="Q40" s="50"/>
      <c r="R40" s="43"/>
      <c r="S40" s="43"/>
      <c r="T40" s="43"/>
      <c r="U40" s="43"/>
      <c r="V40" s="43"/>
      <c r="W40" s="43"/>
      <c r="X40" s="43"/>
      <c r="Y40" s="43"/>
      <c r="Z40" s="44"/>
      <c r="AA40" s="41"/>
      <c r="AB40" s="37"/>
      <c r="AC40" s="37"/>
      <c r="AD40" s="37"/>
      <c r="AE40" s="37"/>
      <c r="AF40" s="48"/>
      <c r="AG40" s="54"/>
      <c r="AH40" s="54"/>
      <c r="AI40" s="54"/>
      <c r="AJ40" s="54"/>
      <c r="AK40" s="54"/>
      <c r="AL40" s="54"/>
      <c r="AM40" s="73">
        <f t="shared" si="1"/>
        <v>0</v>
      </c>
      <c r="AN40" s="71" t="str">
        <f>+IF($I40&gt;0,VLOOKUP($I40,'Lista de Precios'!$A$3:$H$2883,4,0),"")</f>
        <v/>
      </c>
      <c r="AO40" s="68" t="str">
        <f t="shared" si="3"/>
        <v/>
      </c>
      <c r="AP40" s="7" t="str">
        <f>IF($I40&gt;0,VLOOKUP($I40,'Lista de Precios'!$A$3:$K$2883,10,0),"")</f>
        <v/>
      </c>
      <c r="AQ40" s="7" t="str">
        <f>IF($I40&gt;0,VLOOKUP($I40,'Lista de Precios'!$A$3:$M$4893,13,0),"")</f>
        <v/>
      </c>
      <c r="AR40" s="7" t="str">
        <f>IF($I40&gt;0,VLOOKUP(I40,'Lista de Precios'!$A$3:$M$2883,13,0),"")</f>
        <v/>
      </c>
      <c r="HR40" s="134"/>
      <c r="HS40" s="134"/>
      <c r="HT40" s="134"/>
      <c r="HU40" s="134"/>
      <c r="HV40" s="134"/>
      <c r="HW40" s="134"/>
      <c r="HX40" s="134"/>
      <c r="HY40" s="134"/>
      <c r="HZ40" s="134"/>
      <c r="IA40" s="134"/>
      <c r="IB40" s="134"/>
      <c r="IC40" s="134"/>
      <c r="IE40" s="134"/>
      <c r="IF40" s="134"/>
      <c r="IG40" s="134"/>
      <c r="IH40" s="134"/>
      <c r="II40" s="134"/>
      <c r="IJ40" s="134"/>
      <c r="IK40" s="134"/>
      <c r="IL40" s="134"/>
      <c r="IM40" s="134"/>
      <c r="IN40" s="135"/>
      <c r="IO40" s="135"/>
      <c r="IP40" s="135"/>
      <c r="XEP40" s="7" t="str">
        <f t="shared" si="4"/>
        <v/>
      </c>
      <c r="XEQ40" s="7" t="str">
        <f t="shared" si="5"/>
        <v/>
      </c>
      <c r="XER40" s="7" t="str">
        <f t="shared" si="6"/>
        <v/>
      </c>
      <c r="XES40" s="7" t="str">
        <f t="shared" si="7"/>
        <v/>
      </c>
    </row>
    <row r="41" spans="1:250 16370:16373" ht="23.25" customHeight="1" x14ac:dyDescent="0.25">
      <c r="A41" s="74">
        <f>IF($I41&gt;0,VLOOKUP(I41,'Lista de Precios'!$A$3:$L$2883,9,0),0)</f>
        <v>0</v>
      </c>
      <c r="B41" s="74">
        <f>IF($I41&gt;0,VLOOKUP(I41,'Lista de Precios'!$A$3:$H$2883,7,0),0)</f>
        <v>0</v>
      </c>
      <c r="C41" s="7" t="str">
        <f>IF($I41&gt;0,VLOOKUP(I41,'Lista de Precios'!$A$3:$H$2883,2,0),"")</f>
        <v/>
      </c>
      <c r="D41" s="7" t="str">
        <f>IF($I41&gt;0,VLOOKUP(I41,'Lista de Precios'!$A$3:$H$2883,3,0),"")</f>
        <v/>
      </c>
      <c r="E41" s="76" t="str">
        <f>IF($I41&gt;0,VLOOKUP(I41,'Lista de Precios'!$A$3:$H$2883,6,0),"")</f>
        <v/>
      </c>
      <c r="F41" s="76" t="str">
        <f>IF($I41&gt;0,VLOOKUP(I41,'Lista de Precios'!$A$3:$H$2883,8,0),"")</f>
        <v/>
      </c>
      <c r="G41" s="101" t="str">
        <f t="shared" si="2"/>
        <v/>
      </c>
      <c r="H41" s="20" t="s">
        <v>3</v>
      </c>
      <c r="I41" s="18"/>
      <c r="J41" s="28" t="str">
        <f t="shared" si="8"/>
        <v/>
      </c>
      <c r="K41" s="24">
        <f>+IF($I41&gt;0,VLOOKUP($I41,'Lista de Precios'!$A$3:$H$2883,5,0),0)</f>
        <v>0</v>
      </c>
      <c r="L41" s="43"/>
      <c r="M41" s="43"/>
      <c r="N41" s="43"/>
      <c r="O41" s="48"/>
      <c r="P41" s="44"/>
      <c r="Q41" s="50"/>
      <c r="R41" s="43"/>
      <c r="S41" s="43"/>
      <c r="T41" s="43"/>
      <c r="U41" s="43"/>
      <c r="V41" s="43"/>
      <c r="W41" s="43"/>
      <c r="X41" s="43"/>
      <c r="Y41" s="43"/>
      <c r="Z41" s="44"/>
      <c r="AA41" s="41"/>
      <c r="AB41" s="37"/>
      <c r="AC41" s="37"/>
      <c r="AD41" s="37"/>
      <c r="AE41" s="37"/>
      <c r="AF41" s="48"/>
      <c r="AG41" s="43"/>
      <c r="AH41" s="42"/>
      <c r="AI41" s="42"/>
      <c r="AJ41" s="42"/>
      <c r="AK41" s="42"/>
      <c r="AL41" s="42"/>
      <c r="AM41" s="73">
        <f t="shared" si="1"/>
        <v>0</v>
      </c>
      <c r="AN41" s="71" t="str">
        <f>+IF($I41&gt;0,VLOOKUP($I41,'Lista de Precios'!$A$3:$H$2883,4,0),"")</f>
        <v/>
      </c>
      <c r="AO41" s="68" t="str">
        <f t="shared" si="3"/>
        <v/>
      </c>
      <c r="AP41" s="7" t="str">
        <f>IF($I41&gt;0,VLOOKUP($I41,'Lista de Precios'!$A$3:$K$2883,10,0),"")</f>
        <v/>
      </c>
      <c r="AQ41" s="7" t="str">
        <f>IF($I41&gt;0,VLOOKUP($I41,'Lista de Precios'!$A$3:$M$4893,13,0),"")</f>
        <v/>
      </c>
      <c r="AR41" s="7" t="str">
        <f>IF($I41&gt;0,VLOOKUP(I41,'Lista de Precios'!$A$3:$M$2883,13,0),"")</f>
        <v/>
      </c>
      <c r="HR41" s="134"/>
      <c r="HS41" s="134"/>
      <c r="HT41" s="134"/>
      <c r="HU41" s="134"/>
      <c r="HV41" s="134"/>
      <c r="HW41" s="134"/>
      <c r="HX41" s="134"/>
      <c r="HY41" s="134"/>
      <c r="HZ41" s="134"/>
      <c r="IA41" s="134"/>
      <c r="IB41" s="134"/>
      <c r="IC41" s="134"/>
      <c r="IE41" s="134"/>
      <c r="IF41" s="134"/>
      <c r="IG41" s="134"/>
      <c r="IH41" s="134"/>
      <c r="II41" s="134"/>
      <c r="IJ41" s="134"/>
      <c r="IK41" s="134"/>
      <c r="IL41" s="134"/>
      <c r="IM41" s="134"/>
      <c r="IN41" s="135"/>
      <c r="IO41" s="135"/>
      <c r="IP41" s="135"/>
      <c r="XEP41" s="7" t="str">
        <f t="shared" si="4"/>
        <v/>
      </c>
      <c r="XEQ41" s="7" t="str">
        <f t="shared" si="5"/>
        <v/>
      </c>
      <c r="XER41" s="7" t="str">
        <f t="shared" si="6"/>
        <v/>
      </c>
      <c r="XES41" s="7" t="str">
        <f t="shared" si="7"/>
        <v/>
      </c>
    </row>
    <row r="42" spans="1:250 16370:16373" ht="23.25" customHeight="1" x14ac:dyDescent="0.25">
      <c r="A42" s="74">
        <f>IF($I42&gt;0,VLOOKUP(I42,'Lista de Precios'!$A$3:$L$2883,9,0),0)</f>
        <v>0</v>
      </c>
      <c r="B42" s="74">
        <f>IF($I42&gt;0,VLOOKUP(I42,'Lista de Precios'!$A$3:$H$2883,7,0),0)</f>
        <v>0</v>
      </c>
      <c r="C42" s="7" t="str">
        <f>IF($I42&gt;0,VLOOKUP(I42,'Lista de Precios'!$A$3:$H$2883,2,0),"")</f>
        <v/>
      </c>
      <c r="D42" s="7" t="str">
        <f>IF($I42&gt;0,VLOOKUP(I42,'Lista de Precios'!$A$3:$H$2883,3,0),"")</f>
        <v/>
      </c>
      <c r="E42" s="76" t="str">
        <f>IF($I42&gt;0,VLOOKUP(I42,'Lista de Precios'!$A$3:$H$2883,6,0),"")</f>
        <v/>
      </c>
      <c r="F42" s="76" t="str">
        <f>IF($I42&gt;0,VLOOKUP(I42,'Lista de Precios'!$A$3:$H$2883,8,0),"")</f>
        <v/>
      </c>
      <c r="G42" s="101" t="str">
        <f t="shared" si="2"/>
        <v/>
      </c>
      <c r="H42" s="20" t="s">
        <v>3</v>
      </c>
      <c r="I42" s="18"/>
      <c r="J42" s="28" t="str">
        <f t="shared" si="8"/>
        <v/>
      </c>
      <c r="K42" s="24">
        <f>+IF($I42&gt;0,VLOOKUP($I42,'Lista de Precios'!$A$3:$H$2883,5,0),0)</f>
        <v>0</v>
      </c>
      <c r="L42" s="54"/>
      <c r="M42" s="54"/>
      <c r="N42" s="54"/>
      <c r="O42" s="43"/>
      <c r="P42" s="55"/>
      <c r="Q42" s="45"/>
      <c r="R42" s="43"/>
      <c r="S42" s="43"/>
      <c r="T42" s="43"/>
      <c r="U42" s="43"/>
      <c r="V42" s="43"/>
      <c r="W42" s="43"/>
      <c r="X42" s="43"/>
      <c r="Y42" s="43"/>
      <c r="Z42" s="44"/>
      <c r="AA42" s="41"/>
      <c r="AB42" s="37"/>
      <c r="AC42" s="37"/>
      <c r="AD42" s="37"/>
      <c r="AE42" s="37"/>
      <c r="AF42" s="43"/>
      <c r="AG42" s="54"/>
      <c r="AH42" s="54"/>
      <c r="AI42" s="54"/>
      <c r="AJ42" s="54"/>
      <c r="AK42" s="54"/>
      <c r="AL42" s="54"/>
      <c r="AM42" s="73">
        <f t="shared" si="1"/>
        <v>0</v>
      </c>
      <c r="AN42" s="71" t="str">
        <f>+IF($I42&gt;0,VLOOKUP($I42,'Lista de Precios'!$A$3:$H$2883,4,0),"")</f>
        <v/>
      </c>
      <c r="AO42" s="68" t="str">
        <f t="shared" si="3"/>
        <v/>
      </c>
      <c r="AP42" s="7" t="str">
        <f>IF($I42&gt;0,VLOOKUP($I42,'Lista de Precios'!$A$3:$K$2883,10,0),"")</f>
        <v/>
      </c>
      <c r="AQ42" s="7" t="str">
        <f>IF($I42&gt;0,VLOOKUP($I42,'Lista de Precios'!$A$3:$M$4893,13,0),"")</f>
        <v/>
      </c>
      <c r="AR42" s="7" t="str">
        <f>IF($I42&gt;0,VLOOKUP(I42,'Lista de Precios'!$A$3:$M$2883,13,0),"")</f>
        <v/>
      </c>
      <c r="HR42" s="134"/>
      <c r="HS42" s="134"/>
      <c r="HT42" s="134"/>
      <c r="HU42" s="134"/>
      <c r="HV42" s="134"/>
      <c r="HW42" s="134"/>
      <c r="HX42" s="134"/>
      <c r="HY42" s="134"/>
      <c r="HZ42" s="134"/>
      <c r="IA42" s="134"/>
      <c r="IB42" s="134"/>
      <c r="IC42" s="134"/>
      <c r="IE42" s="134"/>
      <c r="IF42" s="134"/>
      <c r="IG42" s="134"/>
      <c r="IH42" s="134"/>
      <c r="II42" s="134"/>
      <c r="IJ42" s="134"/>
      <c r="IK42" s="134"/>
      <c r="IL42" s="134"/>
      <c r="IM42" s="134"/>
      <c r="IN42" s="135"/>
      <c r="IO42" s="135"/>
      <c r="IP42" s="135"/>
      <c r="XEP42" s="7" t="str">
        <f t="shared" si="4"/>
        <v/>
      </c>
      <c r="XEQ42" s="7" t="str">
        <f t="shared" si="5"/>
        <v/>
      </c>
      <c r="XER42" s="7" t="str">
        <f t="shared" si="6"/>
        <v/>
      </c>
      <c r="XES42" s="7" t="str">
        <f t="shared" si="7"/>
        <v/>
      </c>
    </row>
    <row r="43" spans="1:250 16370:16373" ht="23.25" customHeight="1" x14ac:dyDescent="0.25">
      <c r="A43" s="74">
        <f>IF($I43&gt;0,VLOOKUP(I43,'Lista de Precios'!$A$3:$L$2883,9,0),0)</f>
        <v>0</v>
      </c>
      <c r="B43" s="74">
        <f>IF($I43&gt;0,VLOOKUP(I43,'Lista de Precios'!$A$3:$H$2883,7,0),0)</f>
        <v>0</v>
      </c>
      <c r="C43" s="7" t="str">
        <f>IF($I43&gt;0,VLOOKUP(I43,'Lista de Precios'!$A$3:$H$2883,2,0),"")</f>
        <v/>
      </c>
      <c r="D43" s="7" t="str">
        <f>IF($I43&gt;0,VLOOKUP(I43,'Lista de Precios'!$A$3:$H$2883,3,0),"")</f>
        <v/>
      </c>
      <c r="E43" s="76" t="str">
        <f>IF($I43&gt;0,VLOOKUP(I43,'Lista de Precios'!$A$3:$H$2883,6,0),"")</f>
        <v/>
      </c>
      <c r="F43" s="76" t="str">
        <f>IF($I43&gt;0,VLOOKUP(I43,'Lista de Precios'!$A$3:$H$2883,8,0),"")</f>
        <v/>
      </c>
      <c r="G43" s="101" t="str">
        <f t="shared" si="2"/>
        <v/>
      </c>
      <c r="H43" s="20" t="s">
        <v>3</v>
      </c>
      <c r="I43" s="18"/>
      <c r="J43" s="28" t="str">
        <f t="shared" si="8"/>
        <v/>
      </c>
      <c r="K43" s="24">
        <f>+IF($I43&gt;0,VLOOKUP($I43,'Lista de Precios'!$A$3:$H$2883,5,0),0)</f>
        <v>0</v>
      </c>
      <c r="L43" s="37"/>
      <c r="M43" s="37"/>
      <c r="N43" s="37"/>
      <c r="O43" s="37"/>
      <c r="P43" s="40"/>
      <c r="Q43" s="39"/>
      <c r="R43" s="37"/>
      <c r="S43" s="37"/>
      <c r="T43" s="37"/>
      <c r="U43" s="37"/>
      <c r="V43" s="37"/>
      <c r="W43" s="37"/>
      <c r="X43" s="37"/>
      <c r="Y43" s="37"/>
      <c r="Z43" s="40"/>
      <c r="AA43" s="41"/>
      <c r="AB43" s="37"/>
      <c r="AC43" s="37"/>
      <c r="AD43" s="37"/>
      <c r="AE43" s="37"/>
      <c r="AF43" s="37"/>
      <c r="AG43" s="37"/>
      <c r="AH43" s="36"/>
      <c r="AI43" s="36"/>
      <c r="AJ43" s="36"/>
      <c r="AK43" s="42"/>
      <c r="AL43" s="36"/>
      <c r="AM43" s="73">
        <f t="shared" si="1"/>
        <v>0</v>
      </c>
      <c r="AN43" s="71" t="str">
        <f>+IF($I43&gt;0,VLOOKUP($I43,'Lista de Precios'!$A$3:$H$2883,4,0),"")</f>
        <v/>
      </c>
      <c r="AO43" s="68" t="str">
        <f t="shared" si="3"/>
        <v/>
      </c>
      <c r="AP43" s="7" t="str">
        <f>IF($I43&gt;0,VLOOKUP($I43,'Lista de Precios'!$A$3:$K$2883,10,0),"")</f>
        <v/>
      </c>
      <c r="AQ43" s="7" t="str">
        <f>IF($I43&gt;0,VLOOKUP($I43,'Lista de Precios'!$A$3:$M$4893,13,0),"")</f>
        <v/>
      </c>
      <c r="AR43" s="7" t="str">
        <f>IF($I43&gt;0,VLOOKUP(I43,'Lista de Precios'!$A$3:$M$2883,13,0),"")</f>
        <v/>
      </c>
      <c r="HR43" s="134"/>
      <c r="HS43" s="134"/>
      <c r="HT43" s="134"/>
      <c r="HU43" s="134"/>
      <c r="HV43" s="134"/>
      <c r="HW43" s="134"/>
      <c r="HX43" s="134"/>
      <c r="HY43" s="134"/>
      <c r="HZ43" s="134"/>
      <c r="IA43" s="134"/>
      <c r="IB43" s="134"/>
      <c r="IC43" s="134"/>
      <c r="IE43" s="134"/>
      <c r="IF43" s="134"/>
      <c r="IG43" s="134"/>
      <c r="IH43" s="134"/>
      <c r="II43" s="134"/>
      <c r="IJ43" s="134"/>
      <c r="IK43" s="134"/>
      <c r="IL43" s="134"/>
      <c r="IM43" s="134"/>
      <c r="IN43" s="135"/>
      <c r="IO43" s="135"/>
      <c r="IP43" s="135"/>
      <c r="XEP43" s="7" t="str">
        <f t="shared" si="4"/>
        <v/>
      </c>
      <c r="XEQ43" s="7" t="str">
        <f t="shared" si="5"/>
        <v/>
      </c>
      <c r="XER43" s="7" t="str">
        <f t="shared" si="6"/>
        <v/>
      </c>
      <c r="XES43" s="7" t="str">
        <f t="shared" si="7"/>
        <v/>
      </c>
    </row>
    <row r="44" spans="1:250 16370:16373" ht="23.25" customHeight="1" x14ac:dyDescent="0.25">
      <c r="A44" s="74">
        <f>IF($I44&gt;0,VLOOKUP(I44,'Lista de Precios'!$A$3:$L$2883,9,0),0)</f>
        <v>0</v>
      </c>
      <c r="B44" s="74">
        <f>IF($I44&gt;0,VLOOKUP(I44,'Lista de Precios'!$A$3:$H$2883,7,0),0)</f>
        <v>0</v>
      </c>
      <c r="C44" s="7" t="str">
        <f>IF($I44&gt;0,VLOOKUP(I44,'Lista de Precios'!$A$3:$H$2883,2,0),"")</f>
        <v/>
      </c>
      <c r="D44" s="7" t="str">
        <f>IF($I44&gt;0,VLOOKUP(I44,'Lista de Precios'!$A$3:$H$2883,3,0),"")</f>
        <v/>
      </c>
      <c r="E44" s="76" t="str">
        <f>IF($I44&gt;0,VLOOKUP(I44,'Lista de Precios'!$A$3:$H$2883,6,0),"")</f>
        <v/>
      </c>
      <c r="F44" s="76" t="str">
        <f>IF($I44&gt;0,VLOOKUP(I44,'Lista de Precios'!$A$3:$H$2883,8,0),"")</f>
        <v/>
      </c>
      <c r="G44" s="101" t="str">
        <f t="shared" si="2"/>
        <v/>
      </c>
      <c r="H44" s="20" t="s">
        <v>3</v>
      </c>
      <c r="I44" s="18"/>
      <c r="J44" s="28" t="str">
        <f t="shared" si="8"/>
        <v/>
      </c>
      <c r="K44" s="24">
        <f>+IF($I44&gt;0,VLOOKUP($I44,'Lista de Precios'!$A$3:$H$2883,5,0),0)</f>
        <v>0</v>
      </c>
      <c r="L44" s="37"/>
      <c r="M44" s="37"/>
      <c r="N44" s="37"/>
      <c r="O44" s="37"/>
      <c r="P44" s="40"/>
      <c r="Q44" s="39"/>
      <c r="R44" s="37"/>
      <c r="S44" s="37"/>
      <c r="T44" s="37"/>
      <c r="U44" s="37"/>
      <c r="V44" s="37"/>
      <c r="W44" s="37"/>
      <c r="X44" s="37"/>
      <c r="Y44" s="37"/>
      <c r="Z44" s="40"/>
      <c r="AA44" s="41"/>
      <c r="AB44" s="37"/>
      <c r="AC44" s="37"/>
      <c r="AD44" s="37"/>
      <c r="AE44" s="37"/>
      <c r="AF44" s="37"/>
      <c r="AG44" s="37"/>
      <c r="AH44" s="36"/>
      <c r="AI44" s="36"/>
      <c r="AJ44" s="36"/>
      <c r="AK44" s="42"/>
      <c r="AL44" s="36"/>
      <c r="AM44" s="73">
        <f t="shared" si="1"/>
        <v>0</v>
      </c>
      <c r="AN44" s="71" t="str">
        <f>+IF($I44&gt;0,VLOOKUP($I44,'Lista de Precios'!$A$3:$H$2883,4,0),"")</f>
        <v/>
      </c>
      <c r="AO44" s="68" t="str">
        <f t="shared" si="3"/>
        <v/>
      </c>
      <c r="AP44" s="7" t="str">
        <f>IF($I44&gt;0,VLOOKUP($I44,'Lista de Precios'!$A$3:$K$2883,10,0),"")</f>
        <v/>
      </c>
      <c r="AQ44" s="7" t="str">
        <f>IF($I44&gt;0,VLOOKUP($I44,'Lista de Precios'!$A$3:$M$4893,13,0),"")</f>
        <v/>
      </c>
      <c r="AR44" s="7" t="str">
        <f>IF($I44&gt;0,VLOOKUP(I44,'Lista de Precios'!$A$3:$M$2883,13,0),"")</f>
        <v/>
      </c>
      <c r="HR44" s="134"/>
      <c r="HS44" s="134"/>
      <c r="HT44" s="134"/>
      <c r="HU44" s="134"/>
      <c r="HV44" s="134"/>
      <c r="HW44" s="134"/>
      <c r="HX44" s="134"/>
      <c r="HY44" s="134"/>
      <c r="HZ44" s="134"/>
      <c r="IA44" s="134"/>
      <c r="IB44" s="134"/>
      <c r="IC44" s="134"/>
      <c r="IE44" s="134"/>
      <c r="IF44" s="134"/>
      <c r="IG44" s="134"/>
      <c r="IH44" s="134"/>
      <c r="II44" s="134"/>
      <c r="IJ44" s="134"/>
      <c r="IK44" s="134"/>
      <c r="IL44" s="134"/>
      <c r="IM44" s="134"/>
      <c r="IN44" s="135"/>
      <c r="IO44" s="135"/>
      <c r="IP44" s="135"/>
      <c r="XEP44" s="7" t="str">
        <f t="shared" si="4"/>
        <v/>
      </c>
      <c r="XEQ44" s="7" t="str">
        <f t="shared" si="5"/>
        <v/>
      </c>
      <c r="XER44" s="7" t="str">
        <f t="shared" si="6"/>
        <v/>
      </c>
      <c r="XES44" s="7" t="str">
        <f t="shared" si="7"/>
        <v/>
      </c>
    </row>
    <row r="45" spans="1:250 16370:16373" ht="23.25" customHeight="1" x14ac:dyDescent="0.25">
      <c r="A45" s="74">
        <f>IF($I45&gt;0,VLOOKUP(I45,'Lista de Precios'!$A$3:$L$2883,9,0),0)</f>
        <v>0</v>
      </c>
      <c r="B45" s="74">
        <f>IF($I45&gt;0,VLOOKUP(I45,'Lista de Precios'!$A$3:$H$2883,7,0),0)</f>
        <v>0</v>
      </c>
      <c r="C45" s="7" t="str">
        <f>IF($I45&gt;0,VLOOKUP(I45,'Lista de Precios'!$A$3:$H$2883,2,0),"")</f>
        <v/>
      </c>
      <c r="D45" s="7" t="str">
        <f>IF($I45&gt;0,VLOOKUP(I45,'Lista de Precios'!$A$3:$H$2883,3,0),"")</f>
        <v/>
      </c>
      <c r="E45" s="76" t="str">
        <f>IF($I45&gt;0,VLOOKUP(I45,'Lista de Precios'!$A$3:$H$2883,6,0),"")</f>
        <v/>
      </c>
      <c r="F45" s="76" t="str">
        <f>IF($I45&gt;0,VLOOKUP(I45,'Lista de Precios'!$A$3:$H$2883,8,0),"")</f>
        <v/>
      </c>
      <c r="G45" s="101" t="str">
        <f t="shared" si="2"/>
        <v/>
      </c>
      <c r="H45" s="20" t="s">
        <v>3</v>
      </c>
      <c r="I45" s="18"/>
      <c r="J45" s="28" t="str">
        <f t="shared" si="8"/>
        <v/>
      </c>
      <c r="K45" s="24">
        <f>+IF($I45&gt;0,VLOOKUP($I45,'Lista de Precios'!$A$3:$H$2883,5,0),0)</f>
        <v>0</v>
      </c>
      <c r="L45" s="36"/>
      <c r="M45" s="36"/>
      <c r="N45" s="36"/>
      <c r="O45" s="37"/>
      <c r="P45" s="38"/>
      <c r="Q45" s="39"/>
      <c r="R45" s="37"/>
      <c r="S45" s="37"/>
      <c r="T45" s="37"/>
      <c r="U45" s="37"/>
      <c r="V45" s="37"/>
      <c r="W45" s="37"/>
      <c r="X45" s="37"/>
      <c r="Y45" s="37"/>
      <c r="Z45" s="40"/>
      <c r="AA45" s="41"/>
      <c r="AB45" s="37"/>
      <c r="AC45" s="37"/>
      <c r="AD45" s="37"/>
      <c r="AE45" s="37"/>
      <c r="AF45" s="37"/>
      <c r="AG45" s="37"/>
      <c r="AH45" s="36"/>
      <c r="AI45" s="36"/>
      <c r="AJ45" s="36"/>
      <c r="AK45" s="42"/>
      <c r="AL45" s="42"/>
      <c r="AM45" s="73">
        <f t="shared" si="1"/>
        <v>0</v>
      </c>
      <c r="AN45" s="71" t="str">
        <f>+IF($I45&gt;0,VLOOKUP($I45,'Lista de Precios'!$A$3:$H$2883,4,0),"")</f>
        <v/>
      </c>
      <c r="AO45" s="68" t="str">
        <f t="shared" si="3"/>
        <v/>
      </c>
      <c r="AP45" s="7" t="str">
        <f>IF($I45&gt;0,VLOOKUP($I45,'Lista de Precios'!$A$3:$K$2883,10,0),"")</f>
        <v/>
      </c>
      <c r="AQ45" s="7" t="str">
        <f>IF($I45&gt;0,VLOOKUP($I45,'Lista de Precios'!$A$3:$M$4893,13,0),"")</f>
        <v/>
      </c>
      <c r="AR45" s="7" t="str">
        <f>IF($I45&gt;0,VLOOKUP(I45,'Lista de Precios'!$A$3:$M$2883,13,0),"")</f>
        <v/>
      </c>
      <c r="HR45" s="134"/>
      <c r="HS45" s="134"/>
      <c r="HT45" s="134"/>
      <c r="HU45" s="134"/>
      <c r="HV45" s="134"/>
      <c r="HW45" s="134"/>
      <c r="HX45" s="134"/>
      <c r="HY45" s="134"/>
      <c r="HZ45" s="134"/>
      <c r="IA45" s="134"/>
      <c r="IB45" s="134"/>
      <c r="IC45" s="134"/>
      <c r="IE45" s="134"/>
      <c r="IF45" s="134"/>
      <c r="IG45" s="134"/>
      <c r="IH45" s="134"/>
      <c r="II45" s="134"/>
      <c r="IJ45" s="134"/>
      <c r="IK45" s="134"/>
      <c r="IL45" s="134"/>
      <c r="IM45" s="134"/>
      <c r="IN45" s="135"/>
      <c r="IO45" s="135"/>
      <c r="IP45" s="135"/>
      <c r="XEP45" s="7" t="str">
        <f t="shared" si="4"/>
        <v/>
      </c>
      <c r="XEQ45" s="7" t="str">
        <f t="shared" si="5"/>
        <v/>
      </c>
      <c r="XER45" s="7" t="str">
        <f t="shared" si="6"/>
        <v/>
      </c>
      <c r="XES45" s="7" t="str">
        <f t="shared" si="7"/>
        <v/>
      </c>
    </row>
    <row r="46" spans="1:250 16370:16373" ht="23.25" customHeight="1" x14ac:dyDescent="0.25">
      <c r="A46" s="74">
        <f>IF($I46&gt;0,VLOOKUP(I46,'Lista de Precios'!$A$3:$L$2883,9,0),0)</f>
        <v>0</v>
      </c>
      <c r="B46" s="74">
        <f>IF($I46&gt;0,VLOOKUP(I46,'Lista de Precios'!$A$3:$H$2883,7,0),0)</f>
        <v>0</v>
      </c>
      <c r="C46" s="7" t="str">
        <f>IF($I46&gt;0,VLOOKUP(I46,'Lista de Precios'!$A$3:$H$2883,2,0),"")</f>
        <v/>
      </c>
      <c r="D46" s="7" t="str">
        <f>IF($I46&gt;0,VLOOKUP(I46,'Lista de Precios'!$A$3:$H$2883,3,0),"")</f>
        <v/>
      </c>
      <c r="E46" s="76" t="str">
        <f>IF($I46&gt;0,VLOOKUP(I46,'Lista de Precios'!$A$3:$H$2883,6,0),"")</f>
        <v/>
      </c>
      <c r="F46" s="76" t="str">
        <f>IF($I46&gt;0,VLOOKUP(I46,'Lista de Precios'!$A$3:$H$2883,8,0),"")</f>
        <v/>
      </c>
      <c r="G46" s="101" t="str">
        <f t="shared" si="2"/>
        <v/>
      </c>
      <c r="H46" s="20" t="s">
        <v>3</v>
      </c>
      <c r="I46" s="18"/>
      <c r="J46" s="28" t="str">
        <f t="shared" si="8"/>
        <v/>
      </c>
      <c r="K46" s="24">
        <f>+IF($I46&gt;0,VLOOKUP($I46,'Lista de Precios'!$A$3:$H$2883,5,0),0)</f>
        <v>0</v>
      </c>
      <c r="L46" s="37"/>
      <c r="M46" s="37"/>
      <c r="N46" s="37"/>
      <c r="O46" s="37"/>
      <c r="P46" s="40"/>
      <c r="Q46" s="39"/>
      <c r="R46" s="37"/>
      <c r="S46" s="37"/>
      <c r="T46" s="37"/>
      <c r="U46" s="37"/>
      <c r="V46" s="37"/>
      <c r="W46" s="37"/>
      <c r="X46" s="37"/>
      <c r="Y46" s="37"/>
      <c r="Z46" s="40"/>
      <c r="AA46" s="41"/>
      <c r="AB46" s="37"/>
      <c r="AC46" s="37"/>
      <c r="AD46" s="37"/>
      <c r="AE46" s="37"/>
      <c r="AF46" s="37"/>
      <c r="AG46" s="37"/>
      <c r="AH46" s="36"/>
      <c r="AI46" s="36"/>
      <c r="AJ46" s="36"/>
      <c r="AK46" s="42"/>
      <c r="AL46" s="42"/>
      <c r="AM46" s="73">
        <f t="shared" si="1"/>
        <v>0</v>
      </c>
      <c r="AN46" s="71" t="str">
        <f>+IF($I46&gt;0,VLOOKUP($I46,'Lista de Precios'!$A$3:$H$2883,4,0),"")</f>
        <v/>
      </c>
      <c r="AO46" s="68" t="str">
        <f t="shared" si="3"/>
        <v/>
      </c>
      <c r="AP46" s="7" t="str">
        <f>IF($I46&gt;0,VLOOKUP($I46,'Lista de Precios'!$A$3:$K$2883,10,0),"")</f>
        <v/>
      </c>
      <c r="AQ46" s="7" t="str">
        <f>IF($I46&gt;0,VLOOKUP($I46,'Lista de Precios'!$A$3:$M$4893,13,0),"")</f>
        <v/>
      </c>
      <c r="AR46" s="7" t="str">
        <f>IF($I46&gt;0,VLOOKUP(I46,'Lista de Precios'!$A$3:$M$2883,13,0),"")</f>
        <v/>
      </c>
      <c r="HR46" s="134"/>
      <c r="HS46" s="134"/>
      <c r="HT46" s="134"/>
      <c r="HU46" s="134"/>
      <c r="HV46" s="134"/>
      <c r="HW46" s="134"/>
      <c r="HX46" s="134"/>
      <c r="HY46" s="134"/>
      <c r="HZ46" s="134"/>
      <c r="IA46" s="134"/>
      <c r="IB46" s="134"/>
      <c r="IC46" s="134"/>
      <c r="IE46" s="134"/>
      <c r="IF46" s="134"/>
      <c r="IG46" s="134"/>
      <c r="IH46" s="134"/>
      <c r="II46" s="134"/>
      <c r="IJ46" s="134"/>
      <c r="IK46" s="134"/>
      <c r="IL46" s="134"/>
      <c r="IM46" s="134"/>
      <c r="IN46" s="135"/>
      <c r="IO46" s="135"/>
      <c r="IP46" s="135"/>
      <c r="XEP46" s="7" t="str">
        <f t="shared" si="4"/>
        <v/>
      </c>
      <c r="XEQ46" s="7" t="str">
        <f t="shared" si="5"/>
        <v/>
      </c>
      <c r="XER46" s="7" t="str">
        <f t="shared" si="6"/>
        <v/>
      </c>
      <c r="XES46" s="7" t="str">
        <f t="shared" si="7"/>
        <v/>
      </c>
    </row>
    <row r="47" spans="1:250 16370:16373" ht="23.25" customHeight="1" x14ac:dyDescent="0.25">
      <c r="A47" s="74">
        <f>IF($I47&gt;0,VLOOKUP(I47,'Lista de Precios'!$A$3:$L$2883,9,0),0)</f>
        <v>0</v>
      </c>
      <c r="B47" s="74">
        <f>IF($I47&gt;0,VLOOKUP(I47,'Lista de Precios'!$A$3:$H$2883,7,0),0)</f>
        <v>0</v>
      </c>
      <c r="C47" s="7" t="str">
        <f>IF($I47&gt;0,VLOOKUP(I47,'Lista de Precios'!$A$3:$H$2883,2,0),"")</f>
        <v/>
      </c>
      <c r="D47" s="7" t="str">
        <f>IF($I47&gt;0,VLOOKUP(I47,'Lista de Precios'!$A$3:$H$2883,3,0),"")</f>
        <v/>
      </c>
      <c r="E47" s="76" t="str">
        <f>IF($I47&gt;0,VLOOKUP(I47,'Lista de Precios'!$A$3:$H$2883,6,0),"")</f>
        <v/>
      </c>
      <c r="F47" s="76" t="str">
        <f>IF($I47&gt;0,VLOOKUP(I47,'Lista de Precios'!$A$3:$H$2883,8,0),"")</f>
        <v/>
      </c>
      <c r="G47" s="101" t="str">
        <f t="shared" si="2"/>
        <v/>
      </c>
      <c r="H47" s="20" t="s">
        <v>3</v>
      </c>
      <c r="I47" s="18"/>
      <c r="J47" s="28" t="str">
        <f t="shared" si="8"/>
        <v/>
      </c>
      <c r="K47" s="24">
        <f>+IF($I47&gt;0,VLOOKUP($I47,'Lista de Precios'!$A$3:$H$2883,5,0),0)</f>
        <v>0</v>
      </c>
      <c r="L47" s="37"/>
      <c r="M47" s="37"/>
      <c r="N47" s="37"/>
      <c r="O47" s="37"/>
      <c r="P47" s="40"/>
      <c r="Q47" s="39"/>
      <c r="R47" s="37"/>
      <c r="S47" s="37"/>
      <c r="T47" s="37"/>
      <c r="U47" s="37"/>
      <c r="V47" s="37"/>
      <c r="W47" s="37"/>
      <c r="X47" s="37"/>
      <c r="Y47" s="37"/>
      <c r="Z47" s="40"/>
      <c r="AA47" s="41"/>
      <c r="AB47" s="37"/>
      <c r="AC47" s="37"/>
      <c r="AD47" s="37"/>
      <c r="AE47" s="37"/>
      <c r="AF47" s="37"/>
      <c r="AG47" s="37"/>
      <c r="AH47" s="36"/>
      <c r="AI47" s="36"/>
      <c r="AJ47" s="42"/>
      <c r="AK47" s="42"/>
      <c r="AL47" s="43"/>
      <c r="AM47" s="73">
        <f t="shared" si="1"/>
        <v>0</v>
      </c>
      <c r="AN47" s="71" t="str">
        <f>+IF($I47&gt;0,VLOOKUP($I47,'Lista de Precios'!$A$3:$H$2883,4,0),"")</f>
        <v/>
      </c>
      <c r="AO47" s="68" t="str">
        <f t="shared" si="3"/>
        <v/>
      </c>
      <c r="AP47" s="7" t="str">
        <f>IF($I47&gt;0,VLOOKUP($I47,'Lista de Precios'!$A$3:$K$2883,10,0),"")</f>
        <v/>
      </c>
      <c r="AQ47" s="7" t="str">
        <f>IF($I47&gt;0,VLOOKUP($I47,'Lista de Precios'!$A$3:$M$4893,13,0),"")</f>
        <v/>
      </c>
      <c r="AR47" s="7" t="str">
        <f>IF($I47&gt;0,VLOOKUP(I47,'Lista de Precios'!$A$3:$M$2883,13,0),"")</f>
        <v/>
      </c>
      <c r="HR47" s="134"/>
      <c r="HS47" s="134"/>
      <c r="HT47" s="134"/>
      <c r="HU47" s="134"/>
      <c r="HV47" s="134"/>
      <c r="HW47" s="134"/>
      <c r="HX47" s="134"/>
      <c r="HY47" s="134"/>
      <c r="HZ47" s="134"/>
      <c r="IA47" s="134"/>
      <c r="IB47" s="134"/>
      <c r="IC47" s="134"/>
      <c r="IE47" s="134"/>
      <c r="IF47" s="134"/>
      <c r="IG47" s="134"/>
      <c r="IH47" s="134"/>
      <c r="II47" s="134"/>
      <c r="IJ47" s="134"/>
      <c r="IK47" s="134"/>
      <c r="IL47" s="134"/>
      <c r="IM47" s="134"/>
      <c r="IN47" s="135"/>
      <c r="IO47" s="135"/>
      <c r="IP47" s="135"/>
      <c r="XEP47" s="7" t="str">
        <f t="shared" si="4"/>
        <v/>
      </c>
      <c r="XEQ47" s="7" t="str">
        <f t="shared" si="5"/>
        <v/>
      </c>
      <c r="XER47" s="7" t="str">
        <f t="shared" si="6"/>
        <v/>
      </c>
      <c r="XES47" s="7" t="str">
        <f t="shared" si="7"/>
        <v/>
      </c>
    </row>
    <row r="48" spans="1:250 16370:16373" ht="23.25" customHeight="1" x14ac:dyDescent="0.25">
      <c r="A48" s="74">
        <f>IF($I48&gt;0,VLOOKUP(I48,'Lista de Precios'!$A$3:$L$2883,9,0),0)</f>
        <v>0</v>
      </c>
      <c r="B48" s="74">
        <f>IF($I48&gt;0,VLOOKUP(I48,'Lista de Precios'!$A$3:$H$2883,7,0),0)</f>
        <v>0</v>
      </c>
      <c r="C48" s="7" t="str">
        <f>IF($I48&gt;0,VLOOKUP(I48,'Lista de Precios'!$A$3:$H$2883,2,0),"")</f>
        <v/>
      </c>
      <c r="D48" s="7" t="str">
        <f>IF($I48&gt;0,VLOOKUP(I48,'Lista de Precios'!$A$3:$H$2883,3,0),"")</f>
        <v/>
      </c>
      <c r="E48" s="76" t="str">
        <f>IF($I48&gt;0,VLOOKUP(I48,'Lista de Precios'!$A$3:$H$2883,6,0),"")</f>
        <v/>
      </c>
      <c r="F48" s="76" t="str">
        <f>IF($I48&gt;0,VLOOKUP(I48,'Lista de Precios'!$A$3:$H$2883,8,0),"")</f>
        <v/>
      </c>
      <c r="G48" s="101" t="str">
        <f t="shared" si="2"/>
        <v/>
      </c>
      <c r="H48" s="20" t="s">
        <v>3</v>
      </c>
      <c r="I48" s="18"/>
      <c r="J48" s="28" t="str">
        <f t="shared" si="8"/>
        <v/>
      </c>
      <c r="K48" s="24">
        <f>+IF($I48&gt;0,VLOOKUP($I48,'Lista de Precios'!$A$3:$H$2883,5,0),0)</f>
        <v>0</v>
      </c>
      <c r="L48" s="37"/>
      <c r="M48" s="37"/>
      <c r="N48" s="37"/>
      <c r="O48" s="37"/>
      <c r="P48" s="40"/>
      <c r="Q48" s="39"/>
      <c r="R48" s="37"/>
      <c r="S48" s="37"/>
      <c r="T48" s="37"/>
      <c r="U48" s="37"/>
      <c r="V48" s="37"/>
      <c r="W48" s="37"/>
      <c r="X48" s="37"/>
      <c r="Y48" s="37"/>
      <c r="Z48" s="37"/>
      <c r="AA48" s="41"/>
      <c r="AB48" s="37"/>
      <c r="AC48" s="37"/>
      <c r="AD48" s="37"/>
      <c r="AE48" s="37"/>
      <c r="AF48" s="37"/>
      <c r="AG48" s="37"/>
      <c r="AH48" s="36"/>
      <c r="AI48" s="36"/>
      <c r="AJ48" s="42"/>
      <c r="AK48" s="42"/>
      <c r="AL48" s="42"/>
      <c r="AM48" s="73">
        <f t="shared" si="1"/>
        <v>0</v>
      </c>
      <c r="AN48" s="71" t="str">
        <f>+IF($I48&gt;0,VLOOKUP($I48,'Lista de Precios'!$A$3:$H$2883,4,0),"")</f>
        <v/>
      </c>
      <c r="AO48" s="68" t="str">
        <f t="shared" si="3"/>
        <v/>
      </c>
      <c r="AP48" s="7" t="str">
        <f>IF($I48&gt;0,VLOOKUP($I48,'Lista de Precios'!$A$3:$K$2883,10,0),"")</f>
        <v/>
      </c>
      <c r="AQ48" s="7" t="str">
        <f>IF($I48&gt;0,VLOOKUP($I48,'Lista de Precios'!$A$3:$M$4893,13,0),"")</f>
        <v/>
      </c>
      <c r="AR48" s="7" t="str">
        <f>IF($I48&gt;0,VLOOKUP(I48,'Lista de Precios'!$A$3:$M$2883,13,0),"")</f>
        <v/>
      </c>
      <c r="HR48" s="134"/>
      <c r="HS48" s="134"/>
      <c r="HT48" s="134"/>
      <c r="HU48" s="134"/>
      <c r="HV48" s="134"/>
      <c r="HW48" s="134"/>
      <c r="HX48" s="134"/>
      <c r="HY48" s="134"/>
      <c r="HZ48" s="134"/>
      <c r="IA48" s="134"/>
      <c r="IB48" s="134"/>
      <c r="IC48" s="134"/>
      <c r="IE48" s="134"/>
      <c r="IF48" s="134"/>
      <c r="IG48" s="134"/>
      <c r="IH48" s="134"/>
      <c r="II48" s="134"/>
      <c r="IJ48" s="134"/>
      <c r="IK48" s="134"/>
      <c r="IL48" s="134"/>
      <c r="IM48" s="134"/>
      <c r="IN48" s="135"/>
      <c r="IO48" s="135"/>
      <c r="IP48" s="135"/>
      <c r="XEP48" s="7" t="str">
        <f t="shared" si="4"/>
        <v/>
      </c>
      <c r="XEQ48" s="7" t="str">
        <f t="shared" si="5"/>
        <v/>
      </c>
      <c r="XER48" s="7" t="str">
        <f t="shared" si="6"/>
        <v/>
      </c>
      <c r="XES48" s="7" t="str">
        <f t="shared" si="7"/>
        <v/>
      </c>
    </row>
    <row r="49" spans="1:250 16370:16373" ht="23.25" customHeight="1" x14ac:dyDescent="0.25">
      <c r="A49" s="74">
        <f>IF($I49&gt;0,VLOOKUP(I49,'Lista de Precios'!$A$3:$L$2883,9,0),0)</f>
        <v>0</v>
      </c>
      <c r="B49" s="74">
        <f>IF($I49&gt;0,VLOOKUP(I49,'Lista de Precios'!$A$3:$H$2883,7,0),0)</f>
        <v>0</v>
      </c>
      <c r="C49" s="7" t="str">
        <f>IF($I49&gt;0,VLOOKUP(I49,'Lista de Precios'!$A$3:$H$2883,2,0),"")</f>
        <v/>
      </c>
      <c r="D49" s="7" t="str">
        <f>IF($I49&gt;0,VLOOKUP(I49,'Lista de Precios'!$A$3:$H$2883,3,0),"")</f>
        <v/>
      </c>
      <c r="E49" s="76" t="str">
        <f>IF($I49&gt;0,VLOOKUP(I49,'Lista de Precios'!$A$3:$H$2883,6,0),"")</f>
        <v/>
      </c>
      <c r="F49" s="76" t="str">
        <f>IF($I49&gt;0,VLOOKUP(I49,'Lista de Precios'!$A$3:$H$2883,8,0),"")</f>
        <v/>
      </c>
      <c r="G49" s="101" t="str">
        <f t="shared" si="2"/>
        <v/>
      </c>
      <c r="H49" s="20" t="s">
        <v>3</v>
      </c>
      <c r="I49" s="18"/>
      <c r="J49" s="28" t="str">
        <f t="shared" si="8"/>
        <v/>
      </c>
      <c r="K49" s="24">
        <f>+IF($I49&gt;0,VLOOKUP($I49,'Lista de Precios'!$A$3:$H$2883,5,0),0)</f>
        <v>0</v>
      </c>
      <c r="L49" s="37"/>
      <c r="M49" s="37"/>
      <c r="N49" s="37"/>
      <c r="O49" s="37"/>
      <c r="P49" s="40"/>
      <c r="Q49" s="39"/>
      <c r="R49" s="37"/>
      <c r="S49" s="37"/>
      <c r="T49" s="37"/>
      <c r="U49" s="37"/>
      <c r="V49" s="37"/>
      <c r="W49" s="37"/>
      <c r="X49" s="37"/>
      <c r="Y49" s="37"/>
      <c r="Z49" s="40"/>
      <c r="AA49" s="41"/>
      <c r="AB49" s="37"/>
      <c r="AC49" s="37"/>
      <c r="AD49" s="37"/>
      <c r="AE49" s="37"/>
      <c r="AF49" s="37"/>
      <c r="AG49" s="37"/>
      <c r="AH49" s="36"/>
      <c r="AI49" s="36"/>
      <c r="AJ49" s="42"/>
      <c r="AK49" s="42"/>
      <c r="AL49" s="42"/>
      <c r="AM49" s="73">
        <f t="shared" ref="AM49:AM80" si="15">+IF(I49&gt;0,SUM(L49:AL49),0)</f>
        <v>0</v>
      </c>
      <c r="AN49" s="71" t="str">
        <f>+IF($I49&gt;0,VLOOKUP($I49,'Lista de Precios'!$A$3:$H$2883,4,0),"")</f>
        <v/>
      </c>
      <c r="AO49" s="68" t="str">
        <f t="shared" si="3"/>
        <v/>
      </c>
      <c r="AP49" s="7" t="str">
        <f>IF($I49&gt;0,VLOOKUP($I49,'Lista de Precios'!$A$3:$K$2883,10,0),"")</f>
        <v/>
      </c>
      <c r="AQ49" s="7" t="str">
        <f>IF($I49&gt;0,VLOOKUP($I49,'Lista de Precios'!$A$3:$M$4893,13,0),"")</f>
        <v/>
      </c>
      <c r="AR49" s="7" t="str">
        <f>IF($I49&gt;0,VLOOKUP(I49,'Lista de Precios'!$A$3:$M$2883,13,0),"")</f>
        <v/>
      </c>
      <c r="HR49" s="134"/>
      <c r="HS49" s="134"/>
      <c r="HT49" s="134"/>
      <c r="HU49" s="134"/>
      <c r="HV49" s="134"/>
      <c r="HW49" s="134"/>
      <c r="HX49" s="134"/>
      <c r="HY49" s="134"/>
      <c r="HZ49" s="134"/>
      <c r="IA49" s="134"/>
      <c r="IB49" s="134"/>
      <c r="IC49" s="134"/>
      <c r="IE49" s="134"/>
      <c r="IF49" s="134"/>
      <c r="IG49" s="134"/>
      <c r="IH49" s="134"/>
      <c r="II49" s="134"/>
      <c r="IJ49" s="134"/>
      <c r="IK49" s="134"/>
      <c r="IL49" s="134"/>
      <c r="IM49" s="134"/>
      <c r="IN49" s="135"/>
      <c r="IO49" s="135"/>
      <c r="IP49" s="135"/>
      <c r="XEP49" s="7" t="str">
        <f t="shared" si="4"/>
        <v/>
      </c>
      <c r="XEQ49" s="7" t="str">
        <f t="shared" si="5"/>
        <v/>
      </c>
      <c r="XER49" s="7" t="str">
        <f t="shared" si="6"/>
        <v/>
      </c>
      <c r="XES49" s="7" t="str">
        <f t="shared" si="7"/>
        <v/>
      </c>
    </row>
    <row r="50" spans="1:250 16370:16373" ht="23.25" customHeight="1" x14ac:dyDescent="0.25">
      <c r="A50" s="74">
        <f>IF($I50&gt;0,VLOOKUP(I50,'Lista de Precios'!$A$3:$L$2883,9,0),0)</f>
        <v>0</v>
      </c>
      <c r="B50" s="74">
        <f>IF($I50&gt;0,VLOOKUP(I50,'Lista de Precios'!$A$3:$H$2883,7,0),0)</f>
        <v>0</v>
      </c>
      <c r="C50" s="7" t="str">
        <f>IF($I50&gt;0,VLOOKUP(I50,'Lista de Precios'!$A$3:$H$2883,2,0),"")</f>
        <v/>
      </c>
      <c r="D50" s="7" t="str">
        <f>IF($I50&gt;0,VLOOKUP(I50,'Lista de Precios'!$A$3:$H$2883,3,0),"")</f>
        <v/>
      </c>
      <c r="E50" s="76" t="str">
        <f>IF($I50&gt;0,VLOOKUP(I50,'Lista de Precios'!$A$3:$H$2883,6,0),"")</f>
        <v/>
      </c>
      <c r="F50" s="76" t="str">
        <f>IF($I50&gt;0,VLOOKUP(I50,'Lista de Precios'!$A$3:$H$2883,8,0),"")</f>
        <v/>
      </c>
      <c r="G50" s="101" t="str">
        <f t="shared" si="2"/>
        <v/>
      </c>
      <c r="H50" s="20" t="s">
        <v>3</v>
      </c>
      <c r="I50" s="18"/>
      <c r="J50" s="28" t="str">
        <f t="shared" si="8"/>
        <v/>
      </c>
      <c r="K50" s="24">
        <f>+IF($I50&gt;0,VLOOKUP($I50,'Lista de Precios'!$A$3:$H$2883,5,0),0)</f>
        <v>0</v>
      </c>
      <c r="L50" s="37"/>
      <c r="M50" s="37"/>
      <c r="N50" s="37"/>
      <c r="O50" s="37"/>
      <c r="P50" s="40"/>
      <c r="Q50" s="39"/>
      <c r="R50" s="37"/>
      <c r="S50" s="37"/>
      <c r="T50" s="37"/>
      <c r="U50" s="37"/>
      <c r="V50" s="37"/>
      <c r="W50" s="37"/>
      <c r="X50" s="37"/>
      <c r="Y50" s="37"/>
      <c r="Z50" s="40"/>
      <c r="AA50" s="41"/>
      <c r="AB50" s="37"/>
      <c r="AC50" s="37"/>
      <c r="AD50" s="37"/>
      <c r="AE50" s="36"/>
      <c r="AF50" s="37"/>
      <c r="AG50" s="37"/>
      <c r="AH50" s="36"/>
      <c r="AI50" s="36"/>
      <c r="AJ50" s="42"/>
      <c r="AK50" s="42"/>
      <c r="AL50" s="42"/>
      <c r="AM50" s="73">
        <f t="shared" si="15"/>
        <v>0</v>
      </c>
      <c r="AN50" s="71" t="str">
        <f>+IF($I50&gt;0,VLOOKUP($I50,'Lista de Precios'!$A$3:$H$2883,4,0),"")</f>
        <v/>
      </c>
      <c r="AO50" s="68" t="str">
        <f t="shared" si="3"/>
        <v/>
      </c>
      <c r="AP50" s="7" t="str">
        <f>IF($I50&gt;0,VLOOKUP($I50,'Lista de Precios'!$A$3:$K$2883,10,0),"")</f>
        <v/>
      </c>
      <c r="AQ50" s="7" t="str">
        <f>IF($I50&gt;0,VLOOKUP($I50,'Lista de Precios'!$A$3:$M$4893,13,0),"")</f>
        <v/>
      </c>
      <c r="AR50" s="7" t="str">
        <f>IF($I50&gt;0,VLOOKUP(I50,'Lista de Precios'!$A$3:$M$2883,13,0),"")</f>
        <v/>
      </c>
      <c r="HR50" s="134"/>
      <c r="HS50" s="134"/>
      <c r="HT50" s="134"/>
      <c r="HU50" s="134"/>
      <c r="HV50" s="134"/>
      <c r="HW50" s="134"/>
      <c r="HX50" s="134"/>
      <c r="HY50" s="134"/>
      <c r="HZ50" s="134"/>
      <c r="IA50" s="134"/>
      <c r="IB50" s="134"/>
      <c r="IC50" s="134"/>
      <c r="IE50" s="134"/>
      <c r="IF50" s="134"/>
      <c r="IG50" s="134"/>
      <c r="IH50" s="134"/>
      <c r="II50" s="134"/>
      <c r="IJ50" s="134"/>
      <c r="IK50" s="134"/>
      <c r="IL50" s="134"/>
      <c r="IM50" s="134"/>
      <c r="IN50" s="135"/>
      <c r="IO50" s="135"/>
      <c r="IP50" s="135"/>
      <c r="XEP50" s="7" t="str">
        <f t="shared" si="4"/>
        <v/>
      </c>
      <c r="XEQ50" s="7" t="str">
        <f t="shared" si="5"/>
        <v/>
      </c>
      <c r="XER50" s="7" t="str">
        <f t="shared" si="6"/>
        <v/>
      </c>
      <c r="XES50" s="7" t="str">
        <f t="shared" si="7"/>
        <v/>
      </c>
    </row>
    <row r="51" spans="1:250 16370:16373" ht="23.25" customHeight="1" x14ac:dyDescent="0.25">
      <c r="A51" s="74">
        <f>IF($I51&gt;0,VLOOKUP(I51,'Lista de Precios'!$A$3:$L$2883,9,0),0)</f>
        <v>0</v>
      </c>
      <c r="B51" s="74">
        <f>IF($I51&gt;0,VLOOKUP(I51,'Lista de Precios'!$A$3:$H$2883,7,0),0)</f>
        <v>0</v>
      </c>
      <c r="C51" s="7" t="str">
        <f>IF($I51&gt;0,VLOOKUP(I51,'Lista de Precios'!$A$3:$H$2883,2,0),"")</f>
        <v/>
      </c>
      <c r="D51" s="7" t="str">
        <f>IF($I51&gt;0,VLOOKUP(I51,'Lista de Precios'!$A$3:$H$2883,3,0),"")</f>
        <v/>
      </c>
      <c r="E51" s="76" t="str">
        <f>IF($I51&gt;0,VLOOKUP(I51,'Lista de Precios'!$A$3:$H$2883,6,0),"")</f>
        <v/>
      </c>
      <c r="F51" s="76" t="str">
        <f>IF($I51&gt;0,VLOOKUP(I51,'Lista de Precios'!$A$3:$H$2883,8,0),"")</f>
        <v/>
      </c>
      <c r="G51" s="101" t="str">
        <f t="shared" si="2"/>
        <v/>
      </c>
      <c r="H51" s="20" t="s">
        <v>3</v>
      </c>
      <c r="I51" s="18"/>
      <c r="J51" s="28" t="str">
        <f t="shared" si="8"/>
        <v/>
      </c>
      <c r="K51" s="24">
        <f>+IF($I51&gt;0,VLOOKUP($I51,'Lista de Precios'!$A$3:$H$2883,5,0),0)</f>
        <v>0</v>
      </c>
      <c r="L51" s="37"/>
      <c r="M51" s="37"/>
      <c r="N51" s="37"/>
      <c r="O51" s="37"/>
      <c r="P51" s="40"/>
      <c r="Q51" s="39"/>
      <c r="R51" s="37"/>
      <c r="S51" s="37"/>
      <c r="T51" s="37"/>
      <c r="U51" s="37"/>
      <c r="V51" s="37"/>
      <c r="W51" s="37"/>
      <c r="X51" s="37"/>
      <c r="Y51" s="37"/>
      <c r="Z51" s="40"/>
      <c r="AA51" s="41"/>
      <c r="AB51" s="37"/>
      <c r="AC51" s="37"/>
      <c r="AD51" s="37"/>
      <c r="AE51" s="37"/>
      <c r="AF51" s="37"/>
      <c r="AG51" s="57"/>
      <c r="AH51" s="54"/>
      <c r="AI51" s="54"/>
      <c r="AJ51" s="54"/>
      <c r="AK51" s="54"/>
      <c r="AL51" s="54"/>
      <c r="AM51" s="73">
        <f t="shared" si="15"/>
        <v>0</v>
      </c>
      <c r="AN51" s="71" t="str">
        <f>+IF($I51&gt;0,VLOOKUP($I51,'Lista de Precios'!$A$3:$H$2883,4,0),"")</f>
        <v/>
      </c>
      <c r="AO51" s="68" t="str">
        <f t="shared" si="3"/>
        <v/>
      </c>
      <c r="AP51" s="7" t="str">
        <f>IF($I51&gt;0,VLOOKUP($I51,'Lista de Precios'!$A$3:$K$2883,10,0),"")</f>
        <v/>
      </c>
      <c r="AQ51" s="7" t="str">
        <f>IF($I51&gt;0,VLOOKUP($I51,'Lista de Precios'!$A$3:$M$4893,13,0),"")</f>
        <v/>
      </c>
      <c r="AR51" s="7" t="str">
        <f>IF($I51&gt;0,VLOOKUP(I51,'Lista de Precios'!$A$3:$M$2883,13,0),"")</f>
        <v/>
      </c>
      <c r="HR51" s="134"/>
      <c r="HS51" s="134"/>
      <c r="HT51" s="134"/>
      <c r="HU51" s="134"/>
      <c r="HV51" s="134"/>
      <c r="HW51" s="134"/>
      <c r="HX51" s="134"/>
      <c r="HY51" s="134"/>
      <c r="HZ51" s="134"/>
      <c r="IA51" s="134"/>
      <c r="IB51" s="134"/>
      <c r="IC51" s="134"/>
      <c r="IE51" s="134"/>
      <c r="IF51" s="134"/>
      <c r="IG51" s="134"/>
      <c r="IH51" s="134"/>
      <c r="II51" s="134"/>
      <c r="IJ51" s="134"/>
      <c r="IK51" s="134"/>
      <c r="IL51" s="134"/>
      <c r="IM51" s="134"/>
      <c r="IN51" s="135"/>
      <c r="IO51" s="135"/>
      <c r="IP51" s="135"/>
      <c r="XEP51" s="7" t="str">
        <f t="shared" si="4"/>
        <v/>
      </c>
      <c r="XEQ51" s="7" t="str">
        <f t="shared" si="5"/>
        <v/>
      </c>
      <c r="XER51" s="7" t="str">
        <f t="shared" si="6"/>
        <v/>
      </c>
      <c r="XES51" s="7" t="str">
        <f t="shared" si="7"/>
        <v/>
      </c>
    </row>
    <row r="52" spans="1:250 16370:16373" ht="23.25" customHeight="1" x14ac:dyDescent="0.25">
      <c r="A52" s="74">
        <f>IF($I52&gt;0,VLOOKUP(I52,'Lista de Precios'!$A$3:$L$2883,9,0),0)</f>
        <v>0</v>
      </c>
      <c r="B52" s="74">
        <f>IF($I52&gt;0,VLOOKUP(I52,'Lista de Precios'!$A$3:$H$2883,7,0),0)</f>
        <v>0</v>
      </c>
      <c r="C52" s="7" t="str">
        <f>IF($I52&gt;0,VLOOKUP(I52,'Lista de Precios'!$A$3:$H$2883,2,0),"")</f>
        <v/>
      </c>
      <c r="D52" s="7" t="str">
        <f>IF($I52&gt;0,VLOOKUP(I52,'Lista de Precios'!$A$3:$H$2883,3,0),"")</f>
        <v/>
      </c>
      <c r="E52" s="76" t="str">
        <f>IF($I52&gt;0,VLOOKUP(I52,'Lista de Precios'!$A$3:$H$2883,6,0),"")</f>
        <v/>
      </c>
      <c r="F52" s="76" t="str">
        <f>IF($I52&gt;0,VLOOKUP(I52,'Lista de Precios'!$A$3:$H$2883,8,0),"")</f>
        <v/>
      </c>
      <c r="G52" s="101" t="str">
        <f t="shared" si="2"/>
        <v/>
      </c>
      <c r="H52" s="20" t="s">
        <v>3</v>
      </c>
      <c r="I52" s="18"/>
      <c r="J52" s="28" t="str">
        <f t="shared" si="8"/>
        <v/>
      </c>
      <c r="K52" s="24">
        <f>+IF($I52&gt;0,VLOOKUP($I52,'Lista de Precios'!$A$3:$H$2883,5,0),0)</f>
        <v>0</v>
      </c>
      <c r="L52" s="37"/>
      <c r="M52" s="37"/>
      <c r="N52" s="37"/>
      <c r="O52" s="37"/>
      <c r="P52" s="40"/>
      <c r="Q52" s="39"/>
      <c r="R52" s="37"/>
      <c r="S52" s="37"/>
      <c r="T52" s="37"/>
      <c r="U52" s="37"/>
      <c r="V52" s="37"/>
      <c r="W52" s="37"/>
      <c r="X52" s="37"/>
      <c r="Y52" s="37"/>
      <c r="Z52" s="40"/>
      <c r="AA52" s="41"/>
      <c r="AB52" s="37"/>
      <c r="AC52" s="37"/>
      <c r="AD52" s="37"/>
      <c r="AE52" s="37"/>
      <c r="AF52" s="37"/>
      <c r="AG52" s="57"/>
      <c r="AH52" s="54"/>
      <c r="AI52" s="54"/>
      <c r="AJ52" s="42"/>
      <c r="AK52" s="42"/>
      <c r="AL52" s="42"/>
      <c r="AM52" s="73">
        <f t="shared" si="15"/>
        <v>0</v>
      </c>
      <c r="AN52" s="71" t="str">
        <f>+IF($I52&gt;0,VLOOKUP($I52,'Lista de Precios'!$A$3:$H$2883,4,0),"")</f>
        <v/>
      </c>
      <c r="AO52" s="68" t="str">
        <f t="shared" si="3"/>
        <v/>
      </c>
      <c r="AP52" s="7" t="str">
        <f>IF($I52&gt;0,VLOOKUP($I52,'Lista de Precios'!$A$3:$K$2883,10,0),"")</f>
        <v/>
      </c>
      <c r="AQ52" s="7" t="str">
        <f>IF($I52&gt;0,VLOOKUP($I52,'Lista de Precios'!$A$3:$M$4893,13,0),"")</f>
        <v/>
      </c>
      <c r="AR52" s="7" t="str">
        <f>IF($I52&gt;0,VLOOKUP(I52,'Lista de Precios'!$A$3:$M$2883,13,0),"")</f>
        <v/>
      </c>
      <c r="HR52" s="134"/>
      <c r="HS52" s="134"/>
      <c r="HT52" s="134"/>
      <c r="HU52" s="134"/>
      <c r="HV52" s="134"/>
      <c r="HW52" s="134"/>
      <c r="HX52" s="134"/>
      <c r="HY52" s="134"/>
      <c r="HZ52" s="134"/>
      <c r="IA52" s="134"/>
      <c r="IB52" s="134"/>
      <c r="IC52" s="134"/>
      <c r="IE52" s="134"/>
      <c r="IF52" s="134"/>
      <c r="IG52" s="134"/>
      <c r="IH52" s="134"/>
      <c r="II52" s="134"/>
      <c r="IJ52" s="134"/>
      <c r="IK52" s="134"/>
      <c r="IL52" s="134"/>
      <c r="IM52" s="134"/>
      <c r="IN52" s="135"/>
      <c r="IO52" s="135"/>
      <c r="IP52" s="135"/>
      <c r="XEP52" s="7" t="str">
        <f t="shared" si="4"/>
        <v/>
      </c>
      <c r="XEQ52" s="7" t="str">
        <f t="shared" si="5"/>
        <v/>
      </c>
      <c r="XER52" s="7" t="str">
        <f t="shared" si="6"/>
        <v/>
      </c>
      <c r="XES52" s="7" t="str">
        <f t="shared" si="7"/>
        <v/>
      </c>
    </row>
    <row r="53" spans="1:250 16370:16373" ht="23.25" customHeight="1" x14ac:dyDescent="0.25">
      <c r="A53" s="74">
        <f>IF($I53&gt;0,VLOOKUP(I53,'Lista de Precios'!$A$3:$L$2883,9,0),0)</f>
        <v>0</v>
      </c>
      <c r="B53" s="74">
        <f>IF($I53&gt;0,VLOOKUP(I53,'Lista de Precios'!$A$3:$H$2883,7,0),0)</f>
        <v>0</v>
      </c>
      <c r="C53" s="7" t="str">
        <f>IF($I53&gt;0,VLOOKUP(I53,'Lista de Precios'!$A$3:$H$2883,2,0),"")</f>
        <v/>
      </c>
      <c r="D53" s="7" t="str">
        <f>IF($I53&gt;0,VLOOKUP(I53,'Lista de Precios'!$A$3:$H$2883,3,0),"")</f>
        <v/>
      </c>
      <c r="E53" s="76" t="str">
        <f>IF($I53&gt;0,VLOOKUP(I53,'Lista de Precios'!$A$3:$H$2883,6,0),"")</f>
        <v/>
      </c>
      <c r="F53" s="76" t="str">
        <f>IF($I53&gt;0,VLOOKUP(I53,'Lista de Precios'!$A$3:$H$2883,8,0),"")</f>
        <v/>
      </c>
      <c r="G53" s="101" t="str">
        <f t="shared" si="2"/>
        <v/>
      </c>
      <c r="H53" s="20" t="s">
        <v>3</v>
      </c>
      <c r="I53" s="18"/>
      <c r="J53" s="28" t="str">
        <f t="shared" si="8"/>
        <v/>
      </c>
      <c r="K53" s="24">
        <f>+IF($I53&gt;0,VLOOKUP($I53,'Lista de Precios'!$A$3:$H$2883,5,0),0)</f>
        <v>0</v>
      </c>
      <c r="L53" s="37"/>
      <c r="M53" s="37"/>
      <c r="N53" s="37"/>
      <c r="O53" s="37"/>
      <c r="P53" s="40"/>
      <c r="Q53" s="39"/>
      <c r="R53" s="37"/>
      <c r="S53" s="37"/>
      <c r="T53" s="37"/>
      <c r="U53" s="37"/>
      <c r="V53" s="37"/>
      <c r="W53" s="37"/>
      <c r="X53" s="37"/>
      <c r="Y53" s="37"/>
      <c r="Z53" s="40"/>
      <c r="AA53" s="41"/>
      <c r="AB53" s="37"/>
      <c r="AC53" s="37"/>
      <c r="AD53" s="37"/>
      <c r="AE53" s="37"/>
      <c r="AF53" s="37"/>
      <c r="AG53" s="37"/>
      <c r="AH53" s="42"/>
      <c r="AI53" s="42"/>
      <c r="AJ53" s="43"/>
      <c r="AK53" s="43"/>
      <c r="AL53" s="43"/>
      <c r="AM53" s="73">
        <f t="shared" si="15"/>
        <v>0</v>
      </c>
      <c r="AN53" s="71" t="str">
        <f>+IF($I53&gt;0,VLOOKUP($I53,'Lista de Precios'!$A$3:$H$2883,4,0),"")</f>
        <v/>
      </c>
      <c r="AO53" s="68" t="str">
        <f t="shared" si="3"/>
        <v/>
      </c>
      <c r="AP53" s="7" t="str">
        <f>IF($I53&gt;0,VLOOKUP($I53,'Lista de Precios'!$A$3:$K$2883,10,0),"")</f>
        <v/>
      </c>
      <c r="AQ53" s="7" t="str">
        <f>IF($I53&gt;0,VLOOKUP($I53,'Lista de Precios'!$A$3:$M$4893,13,0),"")</f>
        <v/>
      </c>
      <c r="AR53" s="7" t="str">
        <f>IF($I53&gt;0,VLOOKUP(I53,'Lista de Precios'!$A$3:$M$2883,13,0),"")</f>
        <v/>
      </c>
      <c r="HR53" s="134"/>
      <c r="HS53" s="134"/>
      <c r="HT53" s="134"/>
      <c r="HU53" s="134"/>
      <c r="HV53" s="134"/>
      <c r="HW53" s="134"/>
      <c r="HX53" s="134"/>
      <c r="HY53" s="134"/>
      <c r="HZ53" s="134"/>
      <c r="IA53" s="134"/>
      <c r="IB53" s="134"/>
      <c r="IC53" s="134"/>
      <c r="IE53" s="134"/>
      <c r="IF53" s="134"/>
      <c r="IG53" s="134"/>
      <c r="IH53" s="134"/>
      <c r="II53" s="134"/>
      <c r="IJ53" s="134"/>
      <c r="IK53" s="134"/>
      <c r="IL53" s="134"/>
      <c r="IM53" s="134"/>
      <c r="IN53" s="135"/>
      <c r="IO53" s="135"/>
      <c r="IP53" s="135"/>
      <c r="XEP53" s="7" t="str">
        <f t="shared" si="4"/>
        <v/>
      </c>
      <c r="XEQ53" s="7" t="str">
        <f t="shared" si="5"/>
        <v/>
      </c>
      <c r="XER53" s="7" t="str">
        <f t="shared" si="6"/>
        <v/>
      </c>
      <c r="XES53" s="7" t="str">
        <f t="shared" si="7"/>
        <v/>
      </c>
    </row>
    <row r="54" spans="1:250 16370:16373" ht="23.25" customHeight="1" x14ac:dyDescent="0.25">
      <c r="A54" s="74">
        <f>IF($I54&gt;0,VLOOKUP(I54,'Lista de Precios'!$A$3:$L$2883,9,0),0)</f>
        <v>0</v>
      </c>
      <c r="B54" s="74">
        <f>IF($I54&gt;0,VLOOKUP(I54,'Lista de Precios'!$A$3:$H$2883,7,0),0)</f>
        <v>0</v>
      </c>
      <c r="C54" s="7" t="str">
        <f>IF($I54&gt;0,VLOOKUP(I54,'Lista de Precios'!$A$3:$H$2883,2,0),"")</f>
        <v/>
      </c>
      <c r="D54" s="7" t="str">
        <f>IF($I54&gt;0,VLOOKUP(I54,'Lista de Precios'!$A$3:$H$2883,3,0),"")</f>
        <v/>
      </c>
      <c r="E54" s="76" t="str">
        <f>IF($I54&gt;0,VLOOKUP(I54,'Lista de Precios'!$A$3:$H$2883,6,0),"")</f>
        <v/>
      </c>
      <c r="F54" s="76" t="str">
        <f>IF($I54&gt;0,VLOOKUP(I54,'Lista de Precios'!$A$3:$H$2883,8,0),"")</f>
        <v/>
      </c>
      <c r="G54" s="101" t="str">
        <f t="shared" si="2"/>
        <v/>
      </c>
      <c r="H54" s="20" t="s">
        <v>3</v>
      </c>
      <c r="I54" s="18"/>
      <c r="J54" s="28" t="str">
        <f t="shared" si="8"/>
        <v/>
      </c>
      <c r="K54" s="24">
        <f>+IF($I54&gt;0,VLOOKUP($I54,'Lista de Precios'!$A$3:$H$2883,5,0),0)</f>
        <v>0</v>
      </c>
      <c r="L54" s="36"/>
      <c r="M54" s="36"/>
      <c r="N54" s="36"/>
      <c r="O54" s="37"/>
      <c r="P54" s="38"/>
      <c r="Q54" s="39"/>
      <c r="R54" s="37"/>
      <c r="S54" s="37"/>
      <c r="T54" s="37"/>
      <c r="U54" s="37"/>
      <c r="V54" s="37"/>
      <c r="W54" s="37"/>
      <c r="X54" s="37"/>
      <c r="Y54" s="37"/>
      <c r="Z54" s="40"/>
      <c r="AA54" s="41"/>
      <c r="AB54" s="37"/>
      <c r="AC54" s="37"/>
      <c r="AD54" s="37"/>
      <c r="AE54" s="37"/>
      <c r="AF54" s="37"/>
      <c r="AG54" s="37"/>
      <c r="AH54" s="42"/>
      <c r="AI54" s="42"/>
      <c r="AJ54" s="43"/>
      <c r="AK54" s="43"/>
      <c r="AL54" s="43"/>
      <c r="AM54" s="73">
        <f t="shared" si="15"/>
        <v>0</v>
      </c>
      <c r="AN54" s="71" t="str">
        <f>+IF($I54&gt;0,VLOOKUP($I54,'Lista de Precios'!$A$3:$H$2883,4,0),"")</f>
        <v/>
      </c>
      <c r="AO54" s="68" t="str">
        <f t="shared" si="3"/>
        <v/>
      </c>
      <c r="AP54" s="7" t="str">
        <f>IF($I54&gt;0,VLOOKUP($I54,'Lista de Precios'!$A$3:$K$2883,10,0),"")</f>
        <v/>
      </c>
      <c r="AQ54" s="7" t="str">
        <f>IF($I54&gt;0,VLOOKUP($I54,'Lista de Precios'!$A$3:$M$4893,13,0),"")</f>
        <v/>
      </c>
      <c r="AR54" s="7" t="str">
        <f>IF($I54&gt;0,VLOOKUP(I54,'Lista de Precios'!$A$3:$M$2883,13,0),"")</f>
        <v/>
      </c>
      <c r="HR54" s="134"/>
      <c r="HS54" s="134"/>
      <c r="HT54" s="134"/>
      <c r="HU54" s="134"/>
      <c r="HV54" s="134"/>
      <c r="HW54" s="134"/>
      <c r="HX54" s="134"/>
      <c r="HY54" s="134"/>
      <c r="HZ54" s="134"/>
      <c r="IA54" s="134"/>
      <c r="IB54" s="134"/>
      <c r="IC54" s="134"/>
      <c r="IE54" s="134"/>
      <c r="IF54" s="134"/>
      <c r="IG54" s="134"/>
      <c r="IH54" s="134"/>
      <c r="II54" s="134"/>
      <c r="IJ54" s="134"/>
      <c r="IK54" s="134"/>
      <c r="IL54" s="134"/>
      <c r="IM54" s="134"/>
      <c r="IN54" s="135"/>
      <c r="IO54" s="135"/>
      <c r="IP54" s="135"/>
      <c r="XEP54" s="7" t="str">
        <f t="shared" si="4"/>
        <v/>
      </c>
      <c r="XEQ54" s="7" t="str">
        <f t="shared" si="5"/>
        <v/>
      </c>
      <c r="XER54" s="7" t="str">
        <f t="shared" si="6"/>
        <v/>
      </c>
      <c r="XES54" s="7" t="str">
        <f t="shared" si="7"/>
        <v/>
      </c>
    </row>
    <row r="55" spans="1:250 16370:16373" ht="23.25" customHeight="1" x14ac:dyDescent="0.25">
      <c r="A55" s="74">
        <f>IF($I55&gt;0,VLOOKUP(I55,'Lista de Precios'!$A$3:$L$2883,9,0),0)</f>
        <v>0</v>
      </c>
      <c r="B55" s="74">
        <f>IF($I55&gt;0,VLOOKUP(I55,'Lista de Precios'!$A$3:$H$2883,7,0),0)</f>
        <v>0</v>
      </c>
      <c r="C55" s="7" t="str">
        <f>IF($I55&gt;0,VLOOKUP(I55,'Lista de Precios'!$A$3:$H$2883,2,0),"")</f>
        <v/>
      </c>
      <c r="D55" s="7" t="str">
        <f>IF($I55&gt;0,VLOOKUP(I55,'Lista de Precios'!$A$3:$H$2883,3,0),"")</f>
        <v/>
      </c>
      <c r="E55" s="76" t="str">
        <f>IF($I55&gt;0,VLOOKUP(I55,'Lista de Precios'!$A$3:$H$2883,6,0),"")</f>
        <v/>
      </c>
      <c r="F55" s="76" t="str">
        <f>IF($I55&gt;0,VLOOKUP(I55,'Lista de Precios'!$A$3:$H$2883,8,0),"")</f>
        <v/>
      </c>
      <c r="G55" s="101" t="str">
        <f t="shared" si="2"/>
        <v/>
      </c>
      <c r="H55" s="20" t="s">
        <v>3</v>
      </c>
      <c r="I55" s="18"/>
      <c r="J55" s="28" t="str">
        <f t="shared" si="8"/>
        <v/>
      </c>
      <c r="K55" s="24">
        <f>+IF($I55&gt;0,VLOOKUP($I55,'Lista de Precios'!$A$3:$H$2883,5,0),0)</f>
        <v>0</v>
      </c>
      <c r="L55" s="37"/>
      <c r="M55" s="37"/>
      <c r="N55" s="37"/>
      <c r="O55" s="37"/>
      <c r="P55" s="40"/>
      <c r="Q55" s="39"/>
      <c r="R55" s="37"/>
      <c r="S55" s="37"/>
      <c r="T55" s="37"/>
      <c r="U55" s="37"/>
      <c r="V55" s="37"/>
      <c r="W55" s="37"/>
      <c r="X55" s="37"/>
      <c r="Y55" s="37"/>
      <c r="Z55" s="40"/>
      <c r="AA55" s="41"/>
      <c r="AB55" s="37"/>
      <c r="AC55" s="43"/>
      <c r="AD55" s="43"/>
      <c r="AE55" s="43"/>
      <c r="AF55" s="43"/>
      <c r="AG55" s="43"/>
      <c r="AH55" s="42"/>
      <c r="AI55" s="42"/>
      <c r="AJ55" s="42"/>
      <c r="AK55" s="42"/>
      <c r="AL55" s="43"/>
      <c r="AM55" s="73">
        <f t="shared" si="15"/>
        <v>0</v>
      </c>
      <c r="AN55" s="71" t="str">
        <f>+IF($I55&gt;0,VLOOKUP($I55,'Lista de Precios'!$A$3:$H$2883,4,0),"")</f>
        <v/>
      </c>
      <c r="AO55" s="68" t="str">
        <f t="shared" si="3"/>
        <v/>
      </c>
      <c r="AP55" s="7" t="str">
        <f>IF($I55&gt;0,VLOOKUP($I55,'Lista de Precios'!$A$3:$K$2883,10,0),"")</f>
        <v/>
      </c>
      <c r="AQ55" s="7" t="str">
        <f>IF($I55&gt;0,VLOOKUP($I55,'Lista de Precios'!$A$3:$M$4893,13,0),"")</f>
        <v/>
      </c>
      <c r="AR55" s="7" t="str">
        <f>IF($I55&gt;0,VLOOKUP(I55,'Lista de Precios'!$A$3:$M$2883,13,0),"")</f>
        <v/>
      </c>
      <c r="HR55" s="134"/>
      <c r="HS55" s="134"/>
      <c r="HT55" s="134"/>
      <c r="HU55" s="134"/>
      <c r="HV55" s="134"/>
      <c r="HW55" s="134"/>
      <c r="HX55" s="134"/>
      <c r="HY55" s="134"/>
      <c r="HZ55" s="134"/>
      <c r="IA55" s="134"/>
      <c r="IB55" s="134"/>
      <c r="IC55" s="134"/>
      <c r="IE55" s="134"/>
      <c r="IF55" s="134"/>
      <c r="IG55" s="134"/>
      <c r="IH55" s="134"/>
      <c r="II55" s="134"/>
      <c r="IJ55" s="134"/>
      <c r="IK55" s="134"/>
      <c r="IL55" s="134"/>
      <c r="IM55" s="134"/>
      <c r="IN55" s="135"/>
      <c r="IO55" s="135"/>
      <c r="IP55" s="135"/>
      <c r="XEP55" s="7" t="str">
        <f t="shared" si="4"/>
        <v/>
      </c>
      <c r="XEQ55" s="7" t="str">
        <f t="shared" si="5"/>
        <v/>
      </c>
      <c r="XER55" s="7" t="str">
        <f t="shared" si="6"/>
        <v/>
      </c>
      <c r="XES55" s="7" t="str">
        <f t="shared" si="7"/>
        <v/>
      </c>
    </row>
    <row r="56" spans="1:250 16370:16373" ht="23.25" customHeight="1" x14ac:dyDescent="0.25">
      <c r="A56" s="74">
        <f>IF($I56&gt;0,VLOOKUP(I56,'Lista de Precios'!$A$3:$L$2883,9,0),0)</f>
        <v>0</v>
      </c>
      <c r="B56" s="74">
        <f>IF($I56&gt;0,VLOOKUP(I56,'Lista de Precios'!$A$3:$H$2883,7,0),0)</f>
        <v>0</v>
      </c>
      <c r="C56" s="7" t="str">
        <f>IF($I56&gt;0,VLOOKUP(I56,'Lista de Precios'!$A$3:$H$2883,2,0),"")</f>
        <v/>
      </c>
      <c r="D56" s="7" t="str">
        <f>IF($I56&gt;0,VLOOKUP(I56,'Lista de Precios'!$A$3:$H$2883,3,0),"")</f>
        <v/>
      </c>
      <c r="E56" s="76" t="str">
        <f>IF($I56&gt;0,VLOOKUP(I56,'Lista de Precios'!$A$3:$H$2883,6,0),"")</f>
        <v/>
      </c>
      <c r="F56" s="76" t="str">
        <f>IF($I56&gt;0,VLOOKUP(I56,'Lista de Precios'!$A$3:$H$2883,8,0),"")</f>
        <v/>
      </c>
      <c r="G56" s="101" t="str">
        <f t="shared" si="2"/>
        <v/>
      </c>
      <c r="H56" s="20" t="s">
        <v>3</v>
      </c>
      <c r="I56" s="18"/>
      <c r="J56" s="28" t="str">
        <f t="shared" si="8"/>
        <v/>
      </c>
      <c r="K56" s="24">
        <f>+IF($I56&gt;0,VLOOKUP($I56,'Lista de Precios'!$A$3:$H$2883,5,0),0)</f>
        <v>0</v>
      </c>
      <c r="L56" s="36"/>
      <c r="M56" s="36"/>
      <c r="N56" s="36"/>
      <c r="O56" s="37"/>
      <c r="P56" s="38"/>
      <c r="Q56" s="45"/>
      <c r="R56" s="43"/>
      <c r="S56" s="43"/>
      <c r="T56" s="43"/>
      <c r="U56" s="43"/>
      <c r="V56" s="43"/>
      <c r="W56" s="43"/>
      <c r="X56" s="43"/>
      <c r="Y56" s="37"/>
      <c r="Z56" s="40"/>
      <c r="AA56" s="41"/>
      <c r="AB56" s="37"/>
      <c r="AC56" s="43"/>
      <c r="AD56" s="43"/>
      <c r="AE56" s="43"/>
      <c r="AF56" s="43"/>
      <c r="AG56" s="43"/>
      <c r="AH56" s="42"/>
      <c r="AI56" s="42"/>
      <c r="AJ56" s="42"/>
      <c r="AK56" s="42"/>
      <c r="AL56" s="43"/>
      <c r="AM56" s="73">
        <f t="shared" si="15"/>
        <v>0</v>
      </c>
      <c r="AN56" s="71" t="str">
        <f>+IF($I56&gt;0,VLOOKUP($I56,'Lista de Precios'!$A$3:$H$2883,4,0),"")</f>
        <v/>
      </c>
      <c r="AO56" s="68" t="str">
        <f t="shared" si="3"/>
        <v/>
      </c>
      <c r="AP56" s="7" t="str">
        <f>IF($I56&gt;0,VLOOKUP($I56,'Lista de Precios'!$A$3:$K$2883,10,0),"")</f>
        <v/>
      </c>
      <c r="AQ56" s="7" t="str">
        <f>IF($I56&gt;0,VLOOKUP($I56,'Lista de Precios'!$A$3:$M$4893,13,0),"")</f>
        <v/>
      </c>
      <c r="AR56" s="7" t="str">
        <f>IF($I56&gt;0,VLOOKUP(I56,'Lista de Precios'!$A$3:$M$2883,13,0),"")</f>
        <v/>
      </c>
      <c r="HR56" s="134"/>
      <c r="HS56" s="134"/>
      <c r="HT56" s="134"/>
      <c r="HU56" s="134"/>
      <c r="HV56" s="134"/>
      <c r="HW56" s="134"/>
      <c r="HX56" s="134"/>
      <c r="HY56" s="134"/>
      <c r="HZ56" s="134"/>
      <c r="IA56" s="134"/>
      <c r="IB56" s="134"/>
      <c r="IC56" s="134"/>
      <c r="IE56" s="134"/>
      <c r="IF56" s="134"/>
      <c r="IG56" s="134"/>
      <c r="IH56" s="134"/>
      <c r="II56" s="134"/>
      <c r="IJ56" s="134"/>
      <c r="IK56" s="134"/>
      <c r="IL56" s="134"/>
      <c r="IM56" s="134"/>
      <c r="IN56" s="135"/>
      <c r="IO56" s="135"/>
      <c r="IP56" s="135"/>
      <c r="XEP56" s="7" t="str">
        <f t="shared" si="4"/>
        <v/>
      </c>
      <c r="XEQ56" s="7" t="str">
        <f t="shared" si="5"/>
        <v/>
      </c>
      <c r="XER56" s="7" t="str">
        <f t="shared" si="6"/>
        <v/>
      </c>
      <c r="XES56" s="7" t="str">
        <f t="shared" si="7"/>
        <v/>
      </c>
    </row>
    <row r="57" spans="1:250 16370:16373" ht="23.25" customHeight="1" x14ac:dyDescent="0.25">
      <c r="A57" s="74">
        <f>IF($I57&gt;0,VLOOKUP(I57,'Lista de Precios'!$A$3:$L$2883,9,0),0)</f>
        <v>0</v>
      </c>
      <c r="B57" s="74">
        <f>IF($I57&gt;0,VLOOKUP(I57,'Lista de Precios'!$A$3:$H$2883,7,0),0)</f>
        <v>0</v>
      </c>
      <c r="C57" s="7" t="str">
        <f>IF($I57&gt;0,VLOOKUP(I57,'Lista de Precios'!$A$3:$H$2883,2,0),"")</f>
        <v/>
      </c>
      <c r="D57" s="7" t="str">
        <f>IF($I57&gt;0,VLOOKUP(I57,'Lista de Precios'!$A$3:$H$2883,3,0),"")</f>
        <v/>
      </c>
      <c r="E57" s="76" t="str">
        <f>IF($I57&gt;0,VLOOKUP(I57,'Lista de Precios'!$A$3:$H$2883,6,0),"")</f>
        <v/>
      </c>
      <c r="F57" s="76" t="str">
        <f>IF($I57&gt;0,VLOOKUP(I57,'Lista de Precios'!$A$3:$H$2883,8,0),"")</f>
        <v/>
      </c>
      <c r="G57" s="101" t="str">
        <f t="shared" si="2"/>
        <v/>
      </c>
      <c r="H57" s="20" t="s">
        <v>3</v>
      </c>
      <c r="I57" s="18"/>
      <c r="J57" s="28" t="str">
        <f t="shared" si="8"/>
        <v/>
      </c>
      <c r="K57" s="24">
        <f>+IF($I57&gt;0,VLOOKUP($I57,'Lista de Precios'!$A$3:$H$2883,5,0),0)</f>
        <v>0</v>
      </c>
      <c r="L57" s="42"/>
      <c r="M57" s="42"/>
      <c r="N57" s="42"/>
      <c r="O57" s="43"/>
      <c r="P57" s="46"/>
      <c r="Q57" s="45"/>
      <c r="R57" s="43"/>
      <c r="S57" s="43"/>
      <c r="T57" s="43"/>
      <c r="U57" s="43"/>
      <c r="V57" s="43"/>
      <c r="W57" s="43"/>
      <c r="X57" s="43"/>
      <c r="Y57" s="37"/>
      <c r="Z57" s="40"/>
      <c r="AA57" s="41"/>
      <c r="AB57" s="37"/>
      <c r="AC57" s="43"/>
      <c r="AD57" s="43"/>
      <c r="AE57" s="43"/>
      <c r="AF57" s="43"/>
      <c r="AG57" s="43"/>
      <c r="AH57" s="42"/>
      <c r="AI57" s="42"/>
      <c r="AJ57" s="42"/>
      <c r="AK57" s="42"/>
      <c r="AL57" s="43"/>
      <c r="AM57" s="73">
        <f t="shared" si="15"/>
        <v>0</v>
      </c>
      <c r="AN57" s="71" t="str">
        <f>+IF($I57&gt;0,VLOOKUP($I57,'Lista de Precios'!$A$3:$H$2883,4,0),"")</f>
        <v/>
      </c>
      <c r="AO57" s="68" t="str">
        <f t="shared" si="3"/>
        <v/>
      </c>
      <c r="AP57" s="7" t="str">
        <f>IF($I57&gt;0,VLOOKUP($I57,'Lista de Precios'!$A$3:$K$2883,10,0),"")</f>
        <v/>
      </c>
      <c r="AQ57" s="7" t="str">
        <f>IF($I57&gt;0,VLOOKUP($I57,'Lista de Precios'!$A$3:$M$4893,13,0),"")</f>
        <v/>
      </c>
      <c r="AR57" s="7" t="str">
        <f>IF($I57&gt;0,VLOOKUP(I57,'Lista de Precios'!$A$3:$M$2883,13,0),"")</f>
        <v/>
      </c>
      <c r="HR57" s="134"/>
      <c r="HS57" s="134"/>
      <c r="HT57" s="134"/>
      <c r="HU57" s="134"/>
      <c r="HV57" s="134"/>
      <c r="HW57" s="134"/>
      <c r="HX57" s="134"/>
      <c r="HY57" s="134"/>
      <c r="HZ57" s="134"/>
      <c r="IA57" s="134"/>
      <c r="IB57" s="134"/>
      <c r="IC57" s="134"/>
      <c r="IE57" s="134"/>
      <c r="IF57" s="134"/>
      <c r="IG57" s="134"/>
      <c r="IH57" s="134"/>
      <c r="II57" s="134"/>
      <c r="IJ57" s="134"/>
      <c r="IK57" s="134"/>
      <c r="IL57" s="134"/>
      <c r="IM57" s="134"/>
      <c r="IN57" s="135"/>
      <c r="IO57" s="135"/>
      <c r="IP57" s="135"/>
      <c r="XEP57" s="7" t="str">
        <f t="shared" si="4"/>
        <v/>
      </c>
      <c r="XEQ57" s="7" t="str">
        <f t="shared" si="5"/>
        <v/>
      </c>
      <c r="XER57" s="7" t="str">
        <f t="shared" si="6"/>
        <v/>
      </c>
      <c r="XES57" s="7" t="str">
        <f t="shared" si="7"/>
        <v/>
      </c>
    </row>
    <row r="58" spans="1:250 16370:16373" ht="23.25" customHeight="1" x14ac:dyDescent="0.25">
      <c r="A58" s="74">
        <f>IF($I58&gt;0,VLOOKUP(I58,'Lista de Precios'!$A$3:$L$2883,9,0),0)</f>
        <v>0</v>
      </c>
      <c r="B58" s="74">
        <f>IF($I58&gt;0,VLOOKUP(I58,'Lista de Precios'!$A$3:$H$2883,7,0),0)</f>
        <v>0</v>
      </c>
      <c r="C58" s="7" t="str">
        <f>IF($I58&gt;0,VLOOKUP(I58,'Lista de Precios'!$A$3:$H$2883,2,0),"")</f>
        <v/>
      </c>
      <c r="D58" s="7" t="str">
        <f>IF($I58&gt;0,VLOOKUP(I58,'Lista de Precios'!$A$3:$H$2883,3,0),"")</f>
        <v/>
      </c>
      <c r="E58" s="76" t="str">
        <f>IF($I58&gt;0,VLOOKUP(I58,'Lista de Precios'!$A$3:$H$2883,6,0),"")</f>
        <v/>
      </c>
      <c r="F58" s="76" t="str">
        <f>IF($I58&gt;0,VLOOKUP(I58,'Lista de Precios'!$A$3:$H$2883,8,0),"")</f>
        <v/>
      </c>
      <c r="G58" s="101" t="str">
        <f t="shared" si="2"/>
        <v/>
      </c>
      <c r="H58" s="20" t="s">
        <v>3</v>
      </c>
      <c r="I58" s="18"/>
      <c r="J58" s="28" t="str">
        <f t="shared" si="8"/>
        <v/>
      </c>
      <c r="K58" s="24">
        <f>+IF($I58&gt;0,VLOOKUP($I58,'Lista de Precios'!$A$3:$H$2883,5,0),0)</f>
        <v>0</v>
      </c>
      <c r="L58" s="43"/>
      <c r="M58" s="43"/>
      <c r="N58" s="43"/>
      <c r="O58" s="43"/>
      <c r="P58" s="44"/>
      <c r="Q58" s="45"/>
      <c r="R58" s="43"/>
      <c r="S58" s="43"/>
      <c r="T58" s="43"/>
      <c r="U58" s="43"/>
      <c r="V58" s="43"/>
      <c r="W58" s="43"/>
      <c r="X58" s="43"/>
      <c r="Y58" s="37"/>
      <c r="Z58" s="40"/>
      <c r="AA58" s="41"/>
      <c r="AB58" s="37"/>
      <c r="AC58" s="43"/>
      <c r="AD58" s="43"/>
      <c r="AE58" s="43"/>
      <c r="AF58" s="43"/>
      <c r="AG58" s="43"/>
      <c r="AH58" s="42"/>
      <c r="AI58" s="42"/>
      <c r="AJ58" s="42"/>
      <c r="AK58" s="42"/>
      <c r="AL58" s="43"/>
      <c r="AM58" s="73">
        <f t="shared" si="15"/>
        <v>0</v>
      </c>
      <c r="AN58" s="71" t="str">
        <f>+IF($I58&gt;0,VLOOKUP($I58,'Lista de Precios'!$A$3:$H$2883,4,0),"")</f>
        <v/>
      </c>
      <c r="AO58" s="68" t="str">
        <f t="shared" si="3"/>
        <v/>
      </c>
      <c r="AP58" s="7" t="str">
        <f>IF($I58&gt;0,VLOOKUP($I58,'Lista de Precios'!$A$3:$K$2883,10,0),"")</f>
        <v/>
      </c>
      <c r="AQ58" s="7" t="str">
        <f>IF($I58&gt;0,VLOOKUP($I58,'Lista de Precios'!$A$3:$M$4893,13,0),"")</f>
        <v/>
      </c>
      <c r="AR58" s="7" t="str">
        <f>IF($I58&gt;0,VLOOKUP(I58,'Lista de Precios'!$A$3:$M$2883,13,0),"")</f>
        <v/>
      </c>
      <c r="HR58" s="134"/>
      <c r="HS58" s="134"/>
      <c r="HT58" s="134"/>
      <c r="HU58" s="134"/>
      <c r="HV58" s="134"/>
      <c r="HW58" s="134"/>
      <c r="HX58" s="134"/>
      <c r="HY58" s="134"/>
      <c r="HZ58" s="134"/>
      <c r="IA58" s="134"/>
      <c r="IB58" s="134"/>
      <c r="IC58" s="134"/>
      <c r="IE58" s="134"/>
      <c r="IF58" s="134"/>
      <c r="IG58" s="134"/>
      <c r="IH58" s="134"/>
      <c r="II58" s="134"/>
      <c r="IJ58" s="134"/>
      <c r="IK58" s="134"/>
      <c r="IL58" s="134"/>
      <c r="IM58" s="134"/>
      <c r="IN58" s="135"/>
      <c r="IO58" s="135"/>
      <c r="IP58" s="135"/>
      <c r="XEP58" s="7" t="str">
        <f t="shared" si="4"/>
        <v/>
      </c>
      <c r="XEQ58" s="7" t="str">
        <f t="shared" si="5"/>
        <v/>
      </c>
      <c r="XER58" s="7" t="str">
        <f t="shared" si="6"/>
        <v/>
      </c>
      <c r="XES58" s="7" t="str">
        <f t="shared" si="7"/>
        <v/>
      </c>
    </row>
    <row r="59" spans="1:250 16370:16373" ht="23.25" customHeight="1" x14ac:dyDescent="0.25">
      <c r="A59" s="74">
        <f>IF($I59&gt;0,VLOOKUP(I59,'Lista de Precios'!$A$3:$L$2883,9,0),0)</f>
        <v>0</v>
      </c>
      <c r="B59" s="74">
        <f>IF($I59&gt;0,VLOOKUP(I59,'Lista de Precios'!$A$3:$H$2883,7,0),0)</f>
        <v>0</v>
      </c>
      <c r="C59" s="7" t="str">
        <f>IF($I59&gt;0,VLOOKUP(I59,'Lista de Precios'!$A$3:$H$2883,2,0),"")</f>
        <v/>
      </c>
      <c r="D59" s="7" t="str">
        <f>IF($I59&gt;0,VLOOKUP(I59,'Lista de Precios'!$A$3:$H$2883,3,0),"")</f>
        <v/>
      </c>
      <c r="E59" s="76" t="str">
        <f>IF($I59&gt;0,VLOOKUP(I59,'Lista de Precios'!$A$3:$H$2883,6,0),"")</f>
        <v/>
      </c>
      <c r="F59" s="76" t="str">
        <f>IF($I59&gt;0,VLOOKUP(I59,'Lista de Precios'!$A$3:$H$2883,8,0),"")</f>
        <v/>
      </c>
      <c r="G59" s="101" t="str">
        <f t="shared" si="2"/>
        <v/>
      </c>
      <c r="H59" s="20" t="s">
        <v>3</v>
      </c>
      <c r="I59" s="18"/>
      <c r="J59" s="28" t="str">
        <f t="shared" si="8"/>
        <v/>
      </c>
      <c r="K59" s="24">
        <f>+IF($I59&gt;0,VLOOKUP($I59,'Lista de Precios'!$A$3:$H$2883,5,0),0)</f>
        <v>0</v>
      </c>
      <c r="L59" s="43"/>
      <c r="M59" s="43"/>
      <c r="N59" s="43"/>
      <c r="O59" s="37"/>
      <c r="P59" s="44"/>
      <c r="Q59" s="39"/>
      <c r="R59" s="37"/>
      <c r="S59" s="37"/>
      <c r="T59" s="37"/>
      <c r="U59" s="37"/>
      <c r="V59" s="37"/>
      <c r="W59" s="37"/>
      <c r="X59" s="37"/>
      <c r="Y59" s="37"/>
      <c r="Z59" s="40"/>
      <c r="AA59" s="41"/>
      <c r="AB59" s="37"/>
      <c r="AC59" s="43"/>
      <c r="AD59" s="43"/>
      <c r="AE59" s="43"/>
      <c r="AF59" s="43"/>
      <c r="AG59" s="43"/>
      <c r="AH59" s="42"/>
      <c r="AI59" s="42"/>
      <c r="AJ59" s="42"/>
      <c r="AK59" s="42"/>
      <c r="AL59" s="43"/>
      <c r="AM59" s="73">
        <f t="shared" si="15"/>
        <v>0</v>
      </c>
      <c r="AN59" s="71" t="str">
        <f>+IF($I59&gt;0,VLOOKUP($I59,'Lista de Precios'!$A$3:$H$2883,4,0),"")</f>
        <v/>
      </c>
      <c r="AO59" s="68" t="str">
        <f t="shared" si="3"/>
        <v/>
      </c>
      <c r="AP59" s="7" t="str">
        <f>IF($I59&gt;0,VLOOKUP($I59,'Lista de Precios'!$A$3:$K$2883,10,0),"")</f>
        <v/>
      </c>
      <c r="AQ59" s="7" t="str">
        <f>IF($I59&gt;0,VLOOKUP($I59,'Lista de Precios'!$A$3:$M$4893,13,0),"")</f>
        <v/>
      </c>
      <c r="AR59" s="7" t="str">
        <f>IF($I59&gt;0,VLOOKUP(I59,'Lista de Precios'!$A$3:$M$2883,13,0),"")</f>
        <v/>
      </c>
      <c r="HR59" s="134"/>
      <c r="HS59" s="134"/>
      <c r="HT59" s="134"/>
      <c r="HU59" s="134"/>
      <c r="HV59" s="134"/>
      <c r="HW59" s="134"/>
      <c r="HX59" s="134"/>
      <c r="HY59" s="134"/>
      <c r="HZ59" s="134"/>
      <c r="IA59" s="134"/>
      <c r="IB59" s="134"/>
      <c r="IC59" s="134"/>
      <c r="IE59" s="134"/>
      <c r="IF59" s="134"/>
      <c r="IG59" s="134"/>
      <c r="IH59" s="134"/>
      <c r="II59" s="134"/>
      <c r="IJ59" s="134"/>
      <c r="IK59" s="134"/>
      <c r="IL59" s="134"/>
      <c r="IM59" s="134"/>
      <c r="IN59" s="135"/>
      <c r="IO59" s="135"/>
      <c r="IP59" s="135"/>
      <c r="XEP59" s="7" t="str">
        <f t="shared" si="4"/>
        <v/>
      </c>
      <c r="XEQ59" s="7" t="str">
        <f t="shared" si="5"/>
        <v/>
      </c>
      <c r="XER59" s="7" t="str">
        <f t="shared" si="6"/>
        <v/>
      </c>
      <c r="XES59" s="7" t="str">
        <f t="shared" si="7"/>
        <v/>
      </c>
    </row>
    <row r="60" spans="1:250 16370:16373" ht="23.25" customHeight="1" x14ac:dyDescent="0.25">
      <c r="A60" s="74">
        <f>IF($I60&gt;0,VLOOKUP(I60,'Lista de Precios'!$A$3:$L$2883,9,0),0)</f>
        <v>0</v>
      </c>
      <c r="B60" s="74">
        <f>IF($I60&gt;0,VLOOKUP(I60,'Lista de Precios'!$A$3:$H$2883,7,0),0)</f>
        <v>0</v>
      </c>
      <c r="C60" s="7" t="str">
        <f>IF($I60&gt;0,VLOOKUP(I60,'Lista de Precios'!$A$3:$H$2883,2,0),"")</f>
        <v/>
      </c>
      <c r="D60" s="7" t="str">
        <f>IF($I60&gt;0,VLOOKUP(I60,'Lista de Precios'!$A$3:$H$2883,3,0),"")</f>
        <v/>
      </c>
      <c r="E60" s="76" t="str">
        <f>IF($I60&gt;0,VLOOKUP(I60,'Lista de Precios'!$A$3:$H$2883,6,0),"")</f>
        <v/>
      </c>
      <c r="F60" s="76" t="str">
        <f>IF($I60&gt;0,VLOOKUP(I60,'Lista de Precios'!$A$3:$H$2883,8,0),"")</f>
        <v/>
      </c>
      <c r="G60" s="101" t="str">
        <f t="shared" si="2"/>
        <v/>
      </c>
      <c r="H60" s="20" t="s">
        <v>3</v>
      </c>
      <c r="I60" s="18"/>
      <c r="J60" s="28" t="str">
        <f t="shared" si="8"/>
        <v/>
      </c>
      <c r="K60" s="24">
        <f>+IF($I60&gt;0,VLOOKUP($I60,'Lista de Precios'!$A$3:$H$2883,5,0),0)</f>
        <v>0</v>
      </c>
      <c r="L60" s="43"/>
      <c r="M60" s="43"/>
      <c r="N60" s="43"/>
      <c r="O60" s="43"/>
      <c r="P60" s="44"/>
      <c r="Q60" s="45"/>
      <c r="R60" s="43"/>
      <c r="S60" s="43"/>
      <c r="T60" s="43"/>
      <c r="U60" s="43"/>
      <c r="V60" s="43"/>
      <c r="W60" s="43"/>
      <c r="X60" s="43"/>
      <c r="Y60" s="37"/>
      <c r="Z60" s="40"/>
      <c r="AA60" s="41"/>
      <c r="AB60" s="37"/>
      <c r="AC60" s="37"/>
      <c r="AD60" s="37"/>
      <c r="AE60" s="37"/>
      <c r="AF60" s="37"/>
      <c r="AG60" s="43"/>
      <c r="AH60" s="42"/>
      <c r="AI60" s="42"/>
      <c r="AJ60" s="49"/>
      <c r="AK60" s="49"/>
      <c r="AL60" s="49"/>
      <c r="AM60" s="73">
        <f t="shared" si="15"/>
        <v>0</v>
      </c>
      <c r="AN60" s="71" t="str">
        <f>+IF($I60&gt;0,VLOOKUP($I60,'Lista de Precios'!$A$3:$H$2883,4,0),"")</f>
        <v/>
      </c>
      <c r="AO60" s="68" t="str">
        <f t="shared" si="3"/>
        <v/>
      </c>
      <c r="AP60" s="7" t="str">
        <f>IF($I60&gt;0,VLOOKUP($I60,'Lista de Precios'!$A$3:$K$2883,10,0),"")</f>
        <v/>
      </c>
      <c r="AQ60" s="7" t="str">
        <f>IF($I60&gt;0,VLOOKUP($I60,'Lista de Precios'!$A$3:$M$4893,13,0),"")</f>
        <v/>
      </c>
      <c r="AR60" s="7" t="str">
        <f>IF($I60&gt;0,VLOOKUP(I60,'Lista de Precios'!$A$3:$M$2883,13,0),"")</f>
        <v/>
      </c>
      <c r="HR60" s="134"/>
      <c r="HS60" s="134"/>
      <c r="HT60" s="134"/>
      <c r="HU60" s="134"/>
      <c r="HV60" s="134"/>
      <c r="HW60" s="134"/>
      <c r="HX60" s="134"/>
      <c r="HY60" s="134"/>
      <c r="HZ60" s="134"/>
      <c r="IA60" s="134"/>
      <c r="IB60" s="134"/>
      <c r="IC60" s="134"/>
      <c r="IE60" s="134"/>
      <c r="IF60" s="134"/>
      <c r="IG60" s="134"/>
      <c r="IH60" s="134"/>
      <c r="II60" s="134"/>
      <c r="IJ60" s="134"/>
      <c r="IK60" s="134"/>
      <c r="IL60" s="134"/>
      <c r="IM60" s="134"/>
      <c r="IN60" s="135"/>
      <c r="IO60" s="135"/>
      <c r="IP60" s="135"/>
      <c r="XEP60" s="7" t="str">
        <f t="shared" si="4"/>
        <v/>
      </c>
      <c r="XEQ60" s="7" t="str">
        <f t="shared" si="5"/>
        <v/>
      </c>
      <c r="XER60" s="7" t="str">
        <f t="shared" si="6"/>
        <v/>
      </c>
      <c r="XES60" s="7" t="str">
        <f t="shared" si="7"/>
        <v/>
      </c>
    </row>
    <row r="61" spans="1:250 16370:16373" ht="23.25" customHeight="1" x14ac:dyDescent="0.25">
      <c r="A61" s="74">
        <f>IF($I61&gt;0,VLOOKUP(I61,'Lista de Precios'!$A$3:$L$2883,9,0),0)</f>
        <v>0</v>
      </c>
      <c r="B61" s="74">
        <f>IF($I61&gt;0,VLOOKUP(I61,'Lista de Precios'!$A$3:$H$2883,7,0),0)</f>
        <v>0</v>
      </c>
      <c r="C61" s="7" t="str">
        <f>IF($I61&gt;0,VLOOKUP(I61,'Lista de Precios'!$A$3:$H$2883,2,0),"")</f>
        <v/>
      </c>
      <c r="D61" s="7" t="str">
        <f>IF($I61&gt;0,VLOOKUP(I61,'Lista de Precios'!$A$3:$H$2883,3,0),"")</f>
        <v/>
      </c>
      <c r="E61" s="76" t="str">
        <f>IF($I61&gt;0,VLOOKUP(I61,'Lista de Precios'!$A$3:$H$2883,6,0),"")</f>
        <v/>
      </c>
      <c r="F61" s="76" t="str">
        <f>IF($I61&gt;0,VLOOKUP(I61,'Lista de Precios'!$A$3:$H$2883,8,0),"")</f>
        <v/>
      </c>
      <c r="G61" s="101" t="str">
        <f t="shared" si="2"/>
        <v/>
      </c>
      <c r="H61" s="20" t="s">
        <v>3</v>
      </c>
      <c r="I61" s="18"/>
      <c r="J61" s="28" t="str">
        <f t="shared" si="8"/>
        <v/>
      </c>
      <c r="K61" s="24">
        <f>+IF($I61&gt;0,VLOOKUP($I61,'Lista de Precios'!$A$3:$H$2883,5,0),0)</f>
        <v>0</v>
      </c>
      <c r="L61" s="48"/>
      <c r="M61" s="48"/>
      <c r="N61" s="48"/>
      <c r="O61" s="48"/>
      <c r="P61" s="47"/>
      <c r="Q61" s="50"/>
      <c r="R61" s="43"/>
      <c r="S61" s="43"/>
      <c r="T61" s="43"/>
      <c r="U61" s="43"/>
      <c r="V61" s="43"/>
      <c r="W61" s="43"/>
      <c r="X61" s="43"/>
      <c r="Y61" s="37"/>
      <c r="Z61" s="40"/>
      <c r="AA61" s="41"/>
      <c r="AB61" s="37"/>
      <c r="AC61" s="37"/>
      <c r="AD61" s="37"/>
      <c r="AE61" s="37"/>
      <c r="AF61" s="37"/>
      <c r="AG61" s="43"/>
      <c r="AH61" s="42"/>
      <c r="AI61" s="42"/>
      <c r="AJ61" s="49"/>
      <c r="AK61" s="49"/>
      <c r="AL61" s="48"/>
      <c r="AM61" s="73">
        <f t="shared" si="15"/>
        <v>0</v>
      </c>
      <c r="AN61" s="71" t="str">
        <f>+IF($I61&gt;0,VLOOKUP($I61,'Lista de Precios'!$A$3:$H$2883,4,0),"")</f>
        <v/>
      </c>
      <c r="AO61" s="68" t="str">
        <f t="shared" si="3"/>
        <v/>
      </c>
      <c r="AP61" s="7" t="str">
        <f>IF($I61&gt;0,VLOOKUP($I61,'Lista de Precios'!$A$3:$K$2883,10,0),"")</f>
        <v/>
      </c>
      <c r="AQ61" s="7" t="str">
        <f>IF($I61&gt;0,VLOOKUP($I61,'Lista de Precios'!$A$3:$M$4893,13,0),"")</f>
        <v/>
      </c>
      <c r="AR61" s="7" t="str">
        <f>IF($I61&gt;0,VLOOKUP(I61,'Lista de Precios'!$A$3:$M$2883,13,0),"")</f>
        <v/>
      </c>
      <c r="HR61" s="134"/>
      <c r="HS61" s="134"/>
      <c r="HT61" s="134"/>
      <c r="HU61" s="134"/>
      <c r="HV61" s="134"/>
      <c r="HW61" s="134"/>
      <c r="HX61" s="134"/>
      <c r="HY61" s="134"/>
      <c r="HZ61" s="134"/>
      <c r="IA61" s="134"/>
      <c r="IB61" s="134"/>
      <c r="IC61" s="134"/>
      <c r="IE61" s="134"/>
      <c r="IF61" s="134"/>
      <c r="IG61" s="134"/>
      <c r="IH61" s="134"/>
      <c r="II61" s="134"/>
      <c r="IJ61" s="134"/>
      <c r="IK61" s="134"/>
      <c r="IL61" s="134"/>
      <c r="IM61" s="134"/>
      <c r="IN61" s="135"/>
      <c r="IO61" s="135"/>
      <c r="IP61" s="135"/>
      <c r="XEP61" s="7" t="str">
        <f t="shared" si="4"/>
        <v/>
      </c>
      <c r="XEQ61" s="7" t="str">
        <f t="shared" si="5"/>
        <v/>
      </c>
      <c r="XER61" s="7" t="str">
        <f t="shared" si="6"/>
        <v/>
      </c>
      <c r="XES61" s="7" t="str">
        <f t="shared" si="7"/>
        <v/>
      </c>
    </row>
    <row r="62" spans="1:250 16370:16373" ht="23.25" customHeight="1" x14ac:dyDescent="0.25">
      <c r="A62" s="74">
        <f>IF($I62&gt;0,VLOOKUP(I62,'Lista de Precios'!$A$3:$L$2883,9,0),0)</f>
        <v>0</v>
      </c>
      <c r="B62" s="74">
        <f>IF($I62&gt;0,VLOOKUP(I62,'Lista de Precios'!$A$3:$H$2883,7,0),0)</f>
        <v>0</v>
      </c>
      <c r="C62" s="7" t="str">
        <f>IF($I62&gt;0,VLOOKUP(I62,'Lista de Precios'!$A$3:$H$2883,2,0),"")</f>
        <v/>
      </c>
      <c r="D62" s="7" t="str">
        <f>IF($I62&gt;0,VLOOKUP(I62,'Lista de Precios'!$A$3:$H$2883,3,0),"")</f>
        <v/>
      </c>
      <c r="E62" s="76" t="str">
        <f>IF($I62&gt;0,VLOOKUP(I62,'Lista de Precios'!$A$3:$H$2883,6,0),"")</f>
        <v/>
      </c>
      <c r="F62" s="76" t="str">
        <f>IF($I62&gt;0,VLOOKUP(I62,'Lista de Precios'!$A$3:$H$2883,8,0),"")</f>
        <v/>
      </c>
      <c r="G62" s="101" t="str">
        <f t="shared" si="2"/>
        <v/>
      </c>
      <c r="H62" s="20" t="s">
        <v>3</v>
      </c>
      <c r="I62" s="18"/>
      <c r="J62" s="28" t="str">
        <f t="shared" si="8"/>
        <v/>
      </c>
      <c r="K62" s="24">
        <f>+IF($I62&gt;0,VLOOKUP($I62,'Lista de Precios'!$A$3:$H$2883,5,0),0)</f>
        <v>0</v>
      </c>
      <c r="L62" s="51"/>
      <c r="M62" s="51"/>
      <c r="N62" s="51"/>
      <c r="O62" s="48"/>
      <c r="P62" s="52"/>
      <c r="Q62" s="50"/>
      <c r="R62" s="43"/>
      <c r="S62" s="43"/>
      <c r="T62" s="43"/>
      <c r="U62" s="43"/>
      <c r="V62" s="43"/>
      <c r="W62" s="43"/>
      <c r="X62" s="43"/>
      <c r="Y62" s="43"/>
      <c r="Z62" s="44"/>
      <c r="AA62" s="53"/>
      <c r="AB62" s="48"/>
      <c r="AC62" s="48"/>
      <c r="AD62" s="48"/>
      <c r="AE62" s="48"/>
      <c r="AF62" s="48"/>
      <c r="AG62" s="54"/>
      <c r="AH62" s="54"/>
      <c r="AI62" s="54"/>
      <c r="AJ62" s="54"/>
      <c r="AK62" s="54"/>
      <c r="AL62" s="54"/>
      <c r="AM62" s="73">
        <f t="shared" si="15"/>
        <v>0</v>
      </c>
      <c r="AN62" s="71" t="str">
        <f>+IF($I62&gt;0,VLOOKUP($I62,'Lista de Precios'!$A$3:$H$2883,4,0),"")</f>
        <v/>
      </c>
      <c r="AO62" s="68" t="str">
        <f t="shared" si="3"/>
        <v/>
      </c>
      <c r="AP62" s="7" t="str">
        <f>IF($I62&gt;0,VLOOKUP($I62,'Lista de Precios'!$A$3:$K$2883,10,0),"")</f>
        <v/>
      </c>
      <c r="AQ62" s="7" t="str">
        <f>IF($I62&gt;0,VLOOKUP($I62,'Lista de Precios'!$A$3:$M$4893,13,0),"")</f>
        <v/>
      </c>
      <c r="AR62" s="7" t="str">
        <f>IF($I62&gt;0,VLOOKUP(I62,'Lista de Precios'!$A$3:$M$2883,13,0),"")</f>
        <v/>
      </c>
      <c r="HR62" s="134"/>
      <c r="HS62" s="134"/>
      <c r="HT62" s="134"/>
      <c r="HU62" s="134"/>
      <c r="HV62" s="134"/>
      <c r="HW62" s="134"/>
      <c r="HX62" s="134"/>
      <c r="HY62" s="134"/>
      <c r="HZ62" s="134"/>
      <c r="IA62" s="134"/>
      <c r="IB62" s="134"/>
      <c r="IC62" s="134"/>
      <c r="IE62" s="134"/>
      <c r="IF62" s="134"/>
      <c r="IG62" s="134"/>
      <c r="IH62" s="134"/>
      <c r="II62" s="134"/>
      <c r="IJ62" s="134"/>
      <c r="IK62" s="134"/>
      <c r="IL62" s="134"/>
      <c r="IM62" s="134"/>
      <c r="IN62" s="135"/>
      <c r="IO62" s="135"/>
      <c r="IP62" s="135"/>
      <c r="XEP62" s="7" t="str">
        <f t="shared" si="4"/>
        <v/>
      </c>
      <c r="XEQ62" s="7" t="str">
        <f t="shared" si="5"/>
        <v/>
      </c>
      <c r="XER62" s="7" t="str">
        <f t="shared" si="6"/>
        <v/>
      </c>
      <c r="XES62" s="7" t="str">
        <f t="shared" si="7"/>
        <v/>
      </c>
    </row>
    <row r="63" spans="1:250 16370:16373" ht="23.25" customHeight="1" x14ac:dyDescent="0.25">
      <c r="A63" s="74">
        <f>IF($I63&gt;0,VLOOKUP(I63,'Lista de Precios'!$A$3:$L$2883,9,0),0)</f>
        <v>0</v>
      </c>
      <c r="B63" s="74">
        <f>IF($I63&gt;0,VLOOKUP(I63,'Lista de Precios'!$A$3:$H$2883,7,0),0)</f>
        <v>0</v>
      </c>
      <c r="C63" s="7" t="str">
        <f>IF($I63&gt;0,VLOOKUP(I63,'Lista de Precios'!$A$3:$H$2883,2,0),"")</f>
        <v/>
      </c>
      <c r="D63" s="7" t="str">
        <f>IF($I63&gt;0,VLOOKUP(I63,'Lista de Precios'!$A$3:$H$2883,3,0),"")</f>
        <v/>
      </c>
      <c r="E63" s="76" t="str">
        <f>IF($I63&gt;0,VLOOKUP(I63,'Lista de Precios'!$A$3:$H$2883,6,0),"")</f>
        <v/>
      </c>
      <c r="F63" s="76" t="str">
        <f>IF($I63&gt;0,VLOOKUP(I63,'Lista de Precios'!$A$3:$H$2883,8,0),"")</f>
        <v/>
      </c>
      <c r="G63" s="101" t="str">
        <f t="shared" si="2"/>
        <v/>
      </c>
      <c r="H63" s="20" t="s">
        <v>3</v>
      </c>
      <c r="I63" s="18"/>
      <c r="J63" s="28" t="str">
        <f t="shared" si="8"/>
        <v/>
      </c>
      <c r="K63" s="24">
        <f>+IF($I63&gt;0,VLOOKUP($I63,'Lista de Precios'!$A$3:$H$2883,5,0),0)</f>
        <v>0</v>
      </c>
      <c r="L63" s="54"/>
      <c r="M63" s="54"/>
      <c r="N63" s="54"/>
      <c r="O63" s="48"/>
      <c r="P63" s="55"/>
      <c r="Q63" s="50"/>
      <c r="R63" s="43"/>
      <c r="S63" s="43"/>
      <c r="T63" s="43"/>
      <c r="U63" s="43"/>
      <c r="V63" s="43"/>
      <c r="W63" s="43"/>
      <c r="X63" s="43"/>
      <c r="Y63" s="43"/>
      <c r="Z63" s="44"/>
      <c r="AA63" s="53"/>
      <c r="AB63" s="48"/>
      <c r="AC63" s="48"/>
      <c r="AD63" s="48"/>
      <c r="AE63" s="48"/>
      <c r="AF63" s="48"/>
      <c r="AG63" s="54"/>
      <c r="AH63" s="54"/>
      <c r="AI63" s="54"/>
      <c r="AJ63" s="54"/>
      <c r="AK63" s="54"/>
      <c r="AL63" s="54"/>
      <c r="AM63" s="73">
        <f t="shared" si="15"/>
        <v>0</v>
      </c>
      <c r="AN63" s="71" t="str">
        <f>+IF($I63&gt;0,VLOOKUP($I63,'Lista de Precios'!$A$3:$H$2883,4,0),"")</f>
        <v/>
      </c>
      <c r="AO63" s="68" t="str">
        <f t="shared" si="3"/>
        <v/>
      </c>
      <c r="AP63" s="7" t="str">
        <f>IF($I63&gt;0,VLOOKUP($I63,'Lista de Precios'!$A$3:$K$2883,10,0),"")</f>
        <v/>
      </c>
      <c r="AQ63" s="7" t="str">
        <f>IF($I63&gt;0,VLOOKUP($I63,'Lista de Precios'!$A$3:$M$4893,13,0),"")</f>
        <v/>
      </c>
      <c r="AR63" s="7" t="str">
        <f>IF($I63&gt;0,VLOOKUP(I63,'Lista de Precios'!$A$3:$M$2883,13,0),"")</f>
        <v/>
      </c>
      <c r="HR63" s="134"/>
      <c r="HS63" s="134"/>
      <c r="HT63" s="134"/>
      <c r="HU63" s="134"/>
      <c r="HV63" s="134"/>
      <c r="HW63" s="134"/>
      <c r="HX63" s="134"/>
      <c r="HY63" s="134"/>
      <c r="HZ63" s="134"/>
      <c r="IA63" s="134"/>
      <c r="IB63" s="134"/>
      <c r="IC63" s="134"/>
      <c r="IE63" s="134"/>
      <c r="IF63" s="134"/>
      <c r="IG63" s="134"/>
      <c r="IH63" s="134"/>
      <c r="II63" s="134"/>
      <c r="IJ63" s="134"/>
      <c r="IK63" s="134"/>
      <c r="IL63" s="134"/>
      <c r="IM63" s="134"/>
      <c r="IN63" s="135"/>
      <c r="IO63" s="135"/>
      <c r="IP63" s="135"/>
      <c r="XEP63" s="7" t="str">
        <f t="shared" si="4"/>
        <v/>
      </c>
      <c r="XEQ63" s="7" t="str">
        <f t="shared" si="5"/>
        <v/>
      </c>
      <c r="XER63" s="7" t="str">
        <f t="shared" si="6"/>
        <v/>
      </c>
      <c r="XES63" s="7" t="str">
        <f t="shared" si="7"/>
        <v/>
      </c>
    </row>
    <row r="64" spans="1:250 16370:16373" ht="23.25" customHeight="1" x14ac:dyDescent="0.25">
      <c r="A64" s="74">
        <f>IF($I64&gt;0,VLOOKUP(I64,'Lista de Precios'!$A$3:$L$2883,9,0),0)</f>
        <v>0</v>
      </c>
      <c r="B64" s="74">
        <f>IF($I64&gt;0,VLOOKUP(I64,'Lista de Precios'!$A$3:$H$2883,7,0),0)</f>
        <v>0</v>
      </c>
      <c r="C64" s="7" t="str">
        <f>IF($I64&gt;0,VLOOKUP(I64,'Lista de Precios'!$A$3:$H$2883,2,0),"")</f>
        <v/>
      </c>
      <c r="D64" s="7" t="str">
        <f>IF($I64&gt;0,VLOOKUP(I64,'Lista de Precios'!$A$3:$H$2883,3,0),"")</f>
        <v/>
      </c>
      <c r="E64" s="76" t="str">
        <f>IF($I64&gt;0,VLOOKUP(I64,'Lista de Precios'!$A$3:$H$2883,6,0),"")</f>
        <v/>
      </c>
      <c r="F64" s="76" t="str">
        <f>IF($I64&gt;0,VLOOKUP(I64,'Lista de Precios'!$A$3:$H$2883,8,0),"")</f>
        <v/>
      </c>
      <c r="G64" s="101" t="str">
        <f t="shared" si="2"/>
        <v/>
      </c>
      <c r="H64" s="20" t="s">
        <v>3</v>
      </c>
      <c r="I64" s="18"/>
      <c r="J64" s="28" t="str">
        <f t="shared" si="8"/>
        <v/>
      </c>
      <c r="K64" s="24">
        <f>+IF($I64&gt;0,VLOOKUP($I64,'Lista de Precios'!$A$3:$H$2883,5,0),0)</f>
        <v>0</v>
      </c>
      <c r="L64" s="43"/>
      <c r="M64" s="43"/>
      <c r="N64" s="43"/>
      <c r="O64" s="48"/>
      <c r="P64" s="44"/>
      <c r="Q64" s="50"/>
      <c r="R64" s="43"/>
      <c r="S64" s="43"/>
      <c r="T64" s="43"/>
      <c r="U64" s="43"/>
      <c r="V64" s="43"/>
      <c r="W64" s="43"/>
      <c r="X64" s="43"/>
      <c r="Y64" s="43"/>
      <c r="Z64" s="44"/>
      <c r="AA64" s="53"/>
      <c r="AB64" s="48"/>
      <c r="AC64" s="48"/>
      <c r="AD64" s="48"/>
      <c r="AE64" s="49"/>
      <c r="AF64" s="48"/>
      <c r="AG64" s="43"/>
      <c r="AH64" s="42"/>
      <c r="AI64" s="42"/>
      <c r="AJ64" s="42"/>
      <c r="AK64" s="42"/>
      <c r="AL64" s="42"/>
      <c r="AM64" s="73">
        <f t="shared" si="15"/>
        <v>0</v>
      </c>
      <c r="AN64" s="71" t="str">
        <f>+IF($I64&gt;0,VLOOKUP($I64,'Lista de Precios'!$A$3:$H$2883,4,0),"")</f>
        <v/>
      </c>
      <c r="AO64" s="68" t="str">
        <f t="shared" si="3"/>
        <v/>
      </c>
      <c r="AP64" s="7" t="str">
        <f>IF($I64&gt;0,VLOOKUP($I64,'Lista de Precios'!$A$3:$K$2883,10,0),"")</f>
        <v/>
      </c>
      <c r="AQ64" s="7" t="str">
        <f>IF($I64&gt;0,VLOOKUP($I64,'Lista de Precios'!$A$3:$M$4893,13,0),"")</f>
        <v/>
      </c>
      <c r="AR64" s="7" t="str">
        <f>IF($I64&gt;0,VLOOKUP(I64,'Lista de Precios'!$A$3:$M$2883,13,0),"")</f>
        <v/>
      </c>
      <c r="HR64" s="134"/>
      <c r="HS64" s="134"/>
      <c r="HT64" s="134"/>
      <c r="HU64" s="134"/>
      <c r="HV64" s="134"/>
      <c r="HW64" s="134"/>
      <c r="HX64" s="134"/>
      <c r="HY64" s="134"/>
      <c r="HZ64" s="134"/>
      <c r="IA64" s="134"/>
      <c r="IB64" s="134"/>
      <c r="IC64" s="134"/>
      <c r="IE64" s="134"/>
      <c r="IF64" s="134"/>
      <c r="IG64" s="134"/>
      <c r="IH64" s="134"/>
      <c r="II64" s="134"/>
      <c r="IJ64" s="134"/>
      <c r="IK64" s="134"/>
      <c r="IL64" s="134"/>
      <c r="IM64" s="134"/>
      <c r="IN64" s="135"/>
      <c r="IO64" s="135"/>
      <c r="IP64" s="135"/>
      <c r="XEP64" s="7" t="str">
        <f t="shared" si="4"/>
        <v/>
      </c>
      <c r="XEQ64" s="7" t="str">
        <f t="shared" si="5"/>
        <v/>
      </c>
      <c r="XER64" s="7" t="str">
        <f t="shared" si="6"/>
        <v/>
      </c>
      <c r="XES64" s="7" t="str">
        <f t="shared" si="7"/>
        <v/>
      </c>
    </row>
    <row r="65" spans="1:250 16370:16373" ht="23.25" customHeight="1" x14ac:dyDescent="0.25">
      <c r="A65" s="74">
        <f>IF($I65&gt;0,VLOOKUP(I65,'Lista de Precios'!$A$3:$L$2883,9,0),0)</f>
        <v>0</v>
      </c>
      <c r="B65" s="74">
        <f>IF($I65&gt;0,VLOOKUP(I65,'Lista de Precios'!$A$3:$H$2883,7,0),0)</f>
        <v>0</v>
      </c>
      <c r="C65" s="7" t="str">
        <f>IF($I65&gt;0,VLOOKUP(I65,'Lista de Precios'!$A$3:$H$2883,2,0),"")</f>
        <v/>
      </c>
      <c r="D65" s="7" t="str">
        <f>IF($I65&gt;0,VLOOKUP(I65,'Lista de Precios'!$A$3:$H$2883,3,0),"")</f>
        <v/>
      </c>
      <c r="E65" s="76" t="str">
        <f>IF($I65&gt;0,VLOOKUP(I65,'Lista de Precios'!$A$3:$H$2883,6,0),"")</f>
        <v/>
      </c>
      <c r="F65" s="76" t="str">
        <f>IF($I65&gt;0,VLOOKUP(I65,'Lista de Precios'!$A$3:$H$2883,8,0),"")</f>
        <v/>
      </c>
      <c r="G65" s="101" t="str">
        <f t="shared" si="2"/>
        <v/>
      </c>
      <c r="H65" s="20" t="s">
        <v>3</v>
      </c>
      <c r="I65" s="18"/>
      <c r="J65" s="28" t="str">
        <f t="shared" si="8"/>
        <v/>
      </c>
      <c r="K65" s="24">
        <f>+IF($I65&gt;0,VLOOKUP($I65,'Lista de Precios'!$A$3:$H$2883,5,0),0)</f>
        <v>0</v>
      </c>
      <c r="L65" s="54"/>
      <c r="M65" s="54"/>
      <c r="N65" s="54"/>
      <c r="O65" s="48"/>
      <c r="P65" s="55"/>
      <c r="Q65" s="50"/>
      <c r="R65" s="43"/>
      <c r="S65" s="43"/>
      <c r="T65" s="43"/>
      <c r="U65" s="43"/>
      <c r="V65" s="43"/>
      <c r="W65" s="43"/>
      <c r="X65" s="43"/>
      <c r="Y65" s="43"/>
      <c r="Z65" s="44"/>
      <c r="AA65" s="53"/>
      <c r="AB65" s="48"/>
      <c r="AC65" s="48"/>
      <c r="AD65" s="48"/>
      <c r="AE65" s="48"/>
      <c r="AF65" s="48"/>
      <c r="AG65" s="54"/>
      <c r="AH65" s="54"/>
      <c r="AI65" s="54"/>
      <c r="AJ65" s="54"/>
      <c r="AK65" s="54"/>
      <c r="AL65" s="54"/>
      <c r="AM65" s="73">
        <f t="shared" si="15"/>
        <v>0</v>
      </c>
      <c r="AN65" s="71" t="str">
        <f>+IF($I65&gt;0,VLOOKUP($I65,'Lista de Precios'!$A$3:$H$2883,4,0),"")</f>
        <v/>
      </c>
      <c r="AO65" s="68" t="str">
        <f t="shared" si="3"/>
        <v/>
      </c>
      <c r="AP65" s="7" t="str">
        <f>IF($I65&gt;0,VLOOKUP($I65,'Lista de Precios'!$A$3:$K$2883,10,0),"")</f>
        <v/>
      </c>
      <c r="AQ65" s="7" t="str">
        <f>IF($I65&gt;0,VLOOKUP($I65,'Lista de Precios'!$A$3:$M$4893,13,0),"")</f>
        <v/>
      </c>
      <c r="AR65" s="7" t="str">
        <f>IF($I65&gt;0,VLOOKUP(I65,'Lista de Precios'!$A$3:$M$2883,13,0),"")</f>
        <v/>
      </c>
      <c r="HR65" s="134"/>
      <c r="HS65" s="134"/>
      <c r="HT65" s="134"/>
      <c r="HU65" s="134"/>
      <c r="HV65" s="134"/>
      <c r="HW65" s="134"/>
      <c r="HX65" s="134"/>
      <c r="HY65" s="134"/>
      <c r="HZ65" s="134"/>
      <c r="IA65" s="134"/>
      <c r="IB65" s="134"/>
      <c r="IC65" s="134"/>
      <c r="IE65" s="134"/>
      <c r="IF65" s="134"/>
      <c r="IG65" s="134"/>
      <c r="IH65" s="134"/>
      <c r="II65" s="134"/>
      <c r="IJ65" s="134"/>
      <c r="IK65" s="134"/>
      <c r="IL65" s="134"/>
      <c r="IM65" s="134"/>
      <c r="IN65" s="135"/>
      <c r="IO65" s="135"/>
      <c r="IP65" s="135"/>
      <c r="XEP65" s="7" t="str">
        <f t="shared" si="4"/>
        <v/>
      </c>
      <c r="XEQ65" s="7" t="str">
        <f t="shared" si="5"/>
        <v/>
      </c>
      <c r="XER65" s="7" t="str">
        <f t="shared" si="6"/>
        <v/>
      </c>
      <c r="XES65" s="7" t="str">
        <f t="shared" si="7"/>
        <v/>
      </c>
    </row>
    <row r="66" spans="1:250 16370:16373" ht="23.25" customHeight="1" x14ac:dyDescent="0.25">
      <c r="A66" s="74">
        <f>IF($I66&gt;0,VLOOKUP(I66,'Lista de Precios'!$A$3:$L$2883,9,0),0)</f>
        <v>0</v>
      </c>
      <c r="B66" s="74">
        <f>IF($I66&gt;0,VLOOKUP(I66,'Lista de Precios'!$A$3:$H$2883,7,0),0)</f>
        <v>0</v>
      </c>
      <c r="C66" s="7" t="str">
        <f>IF($I66&gt;0,VLOOKUP(I66,'Lista de Precios'!$A$3:$H$2883,2,0),"")</f>
        <v/>
      </c>
      <c r="D66" s="7" t="str">
        <f>IF($I66&gt;0,VLOOKUP(I66,'Lista de Precios'!$A$3:$H$2883,3,0),"")</f>
        <v/>
      </c>
      <c r="E66" s="76" t="str">
        <f>IF($I66&gt;0,VLOOKUP(I66,'Lista de Precios'!$A$3:$H$2883,6,0),"")</f>
        <v/>
      </c>
      <c r="F66" s="76" t="str">
        <f>IF($I66&gt;0,VLOOKUP(I66,'Lista de Precios'!$A$3:$H$2883,8,0),"")</f>
        <v/>
      </c>
      <c r="G66" s="101" t="str">
        <f t="shared" si="2"/>
        <v/>
      </c>
      <c r="H66" s="20" t="s">
        <v>3</v>
      </c>
      <c r="I66" s="18"/>
      <c r="J66" s="28" t="str">
        <f t="shared" si="8"/>
        <v/>
      </c>
      <c r="K66" s="24">
        <f>+IF($I66&gt;0,VLOOKUP($I66,'Lista de Precios'!$A$3:$H$2883,5,0),0)</f>
        <v>0</v>
      </c>
      <c r="L66" s="54"/>
      <c r="M66" s="54"/>
      <c r="N66" s="54"/>
      <c r="O66" s="43"/>
      <c r="P66" s="55"/>
      <c r="Q66" s="45"/>
      <c r="R66" s="43"/>
      <c r="S66" s="43"/>
      <c r="T66" s="43"/>
      <c r="U66" s="43"/>
      <c r="V66" s="43"/>
      <c r="W66" s="43"/>
      <c r="X66" s="43"/>
      <c r="Y66" s="43"/>
      <c r="Z66" s="55"/>
      <c r="AA66" s="56"/>
      <c r="AB66" s="43"/>
      <c r="AC66" s="43"/>
      <c r="AD66" s="43"/>
      <c r="AE66" s="43"/>
      <c r="AF66" s="43"/>
      <c r="AG66" s="54"/>
      <c r="AH66" s="54"/>
      <c r="AI66" s="54"/>
      <c r="AJ66" s="54"/>
      <c r="AK66" s="54"/>
      <c r="AL66" s="54"/>
      <c r="AM66" s="73">
        <f t="shared" si="15"/>
        <v>0</v>
      </c>
      <c r="AN66" s="71" t="str">
        <f>+IF($I66&gt;0,VLOOKUP($I66,'Lista de Precios'!$A$3:$H$2883,4,0),"")</f>
        <v/>
      </c>
      <c r="AO66" s="68" t="str">
        <f t="shared" si="3"/>
        <v/>
      </c>
      <c r="AP66" s="7" t="str">
        <f>IF($I66&gt;0,VLOOKUP($I66,'Lista de Precios'!$A$3:$K$2883,10,0),"")</f>
        <v/>
      </c>
      <c r="AQ66" s="7" t="str">
        <f>IF($I66&gt;0,VLOOKUP($I66,'Lista de Precios'!$A$3:$M$4893,13,0),"")</f>
        <v/>
      </c>
      <c r="AR66" s="7" t="str">
        <f>IF($I66&gt;0,VLOOKUP(I66,'Lista de Precios'!$A$3:$M$2883,13,0),"")</f>
        <v/>
      </c>
      <c r="HR66" s="134"/>
      <c r="HS66" s="134"/>
      <c r="HT66" s="134"/>
      <c r="HU66" s="134"/>
      <c r="HV66" s="134"/>
      <c r="HW66" s="134"/>
      <c r="HX66" s="134"/>
      <c r="HY66" s="134"/>
      <c r="HZ66" s="134"/>
      <c r="IA66" s="134"/>
      <c r="IB66" s="134"/>
      <c r="IC66" s="134"/>
      <c r="IE66" s="134"/>
      <c r="IF66" s="134"/>
      <c r="IG66" s="134"/>
      <c r="IH66" s="134"/>
      <c r="II66" s="134"/>
      <c r="IJ66" s="134"/>
      <c r="IK66" s="134"/>
      <c r="IL66" s="134"/>
      <c r="IM66" s="134"/>
      <c r="IN66" s="135"/>
      <c r="IO66" s="135"/>
      <c r="IP66" s="135"/>
      <c r="XEP66" s="7" t="str">
        <f t="shared" si="4"/>
        <v/>
      </c>
      <c r="XEQ66" s="7" t="str">
        <f t="shared" si="5"/>
        <v/>
      </c>
      <c r="XER66" s="7" t="str">
        <f t="shared" si="6"/>
        <v/>
      </c>
      <c r="XES66" s="7" t="str">
        <f t="shared" si="7"/>
        <v/>
      </c>
    </row>
    <row r="67" spans="1:250 16370:16373" ht="23.25" customHeight="1" x14ac:dyDescent="0.25">
      <c r="A67" s="74">
        <f>IF($I67&gt;0,VLOOKUP(I67,'Lista de Precios'!$A$3:$L$2883,9,0),0)</f>
        <v>0</v>
      </c>
      <c r="B67" s="74">
        <f>IF($I67&gt;0,VLOOKUP(I67,'Lista de Precios'!$A$3:$H$2883,7,0),0)</f>
        <v>0</v>
      </c>
      <c r="C67" s="7" t="str">
        <f>IF($I67&gt;0,VLOOKUP(I67,'Lista de Precios'!$A$3:$H$2883,2,0),"")</f>
        <v/>
      </c>
      <c r="D67" s="7" t="str">
        <f>IF($I67&gt;0,VLOOKUP(I67,'Lista de Precios'!$A$3:$H$2883,3,0),"")</f>
        <v/>
      </c>
      <c r="E67" s="76" t="str">
        <f>IF($I67&gt;0,VLOOKUP(I67,'Lista de Precios'!$A$3:$H$2883,6,0),"")</f>
        <v/>
      </c>
      <c r="F67" s="76" t="str">
        <f>IF($I67&gt;0,VLOOKUP(I67,'Lista de Precios'!$A$3:$H$2883,8,0),"")</f>
        <v/>
      </c>
      <c r="G67" s="101" t="str">
        <f t="shared" si="2"/>
        <v/>
      </c>
      <c r="H67" s="20" t="s">
        <v>3</v>
      </c>
      <c r="I67" s="18"/>
      <c r="J67" s="28" t="str">
        <f t="shared" si="8"/>
        <v/>
      </c>
      <c r="K67" s="24">
        <f>+IF($I67&gt;0,VLOOKUP($I67,'Lista de Precios'!$A$3:$H$2883,5,0),0)</f>
        <v>0</v>
      </c>
      <c r="L67" s="37"/>
      <c r="M67" s="37"/>
      <c r="N67" s="37"/>
      <c r="O67" s="37"/>
      <c r="P67" s="40"/>
      <c r="Q67" s="39"/>
      <c r="R67" s="37"/>
      <c r="S67" s="37"/>
      <c r="T67" s="37"/>
      <c r="U67" s="37"/>
      <c r="V67" s="37"/>
      <c r="W67" s="37"/>
      <c r="X67" s="37"/>
      <c r="Y67" s="37"/>
      <c r="Z67" s="40"/>
      <c r="AA67" s="41"/>
      <c r="AB67" s="37"/>
      <c r="AC67" s="37"/>
      <c r="AD67" s="37"/>
      <c r="AE67" s="37"/>
      <c r="AF67" s="37"/>
      <c r="AG67" s="37"/>
      <c r="AH67" s="36"/>
      <c r="AI67" s="36"/>
      <c r="AJ67" s="36"/>
      <c r="AK67" s="42"/>
      <c r="AL67" s="36"/>
      <c r="AM67" s="73">
        <f t="shared" si="15"/>
        <v>0</v>
      </c>
      <c r="AN67" s="71" t="str">
        <f>+IF($I67&gt;0,VLOOKUP($I67,'Lista de Precios'!$A$3:$H$2883,4,0),"")</f>
        <v/>
      </c>
      <c r="AO67" s="68" t="str">
        <f t="shared" si="3"/>
        <v/>
      </c>
      <c r="AP67" s="7" t="str">
        <f>IF($I67&gt;0,VLOOKUP($I67,'Lista de Precios'!$A$3:$K$2883,10,0),"")</f>
        <v/>
      </c>
      <c r="AQ67" s="7" t="str">
        <f>IF($I67&gt;0,VLOOKUP($I67,'Lista de Precios'!$A$3:$M$4893,13,0),"")</f>
        <v/>
      </c>
      <c r="AR67" s="7" t="str">
        <f>IF($I67&gt;0,VLOOKUP(I67,'Lista de Precios'!$A$3:$M$2883,13,0),"")</f>
        <v/>
      </c>
      <c r="HR67" s="134"/>
      <c r="HS67" s="134"/>
      <c r="HT67" s="134"/>
      <c r="HU67" s="134"/>
      <c r="HV67" s="134"/>
      <c r="HW67" s="134"/>
      <c r="HX67" s="134"/>
      <c r="HY67" s="134"/>
      <c r="HZ67" s="134"/>
      <c r="IA67" s="134"/>
      <c r="IB67" s="134"/>
      <c r="IC67" s="134"/>
      <c r="IE67" s="134"/>
      <c r="IF67" s="134"/>
      <c r="IG67" s="134"/>
      <c r="IH67" s="134"/>
      <c r="II67" s="134"/>
      <c r="IJ67" s="134"/>
      <c r="IK67" s="134"/>
      <c r="IL67" s="134"/>
      <c r="IM67" s="134"/>
      <c r="IN67" s="135"/>
      <c r="IO67" s="135"/>
      <c r="IP67" s="135"/>
      <c r="XEP67" s="7" t="str">
        <f t="shared" si="4"/>
        <v/>
      </c>
      <c r="XEQ67" s="7" t="str">
        <f t="shared" si="5"/>
        <v/>
      </c>
      <c r="XER67" s="7" t="str">
        <f t="shared" si="6"/>
        <v/>
      </c>
      <c r="XES67" s="7" t="str">
        <f t="shared" si="7"/>
        <v/>
      </c>
    </row>
    <row r="68" spans="1:250 16370:16373" ht="23.25" customHeight="1" x14ac:dyDescent="0.25">
      <c r="A68" s="74">
        <f>IF($I68&gt;0,VLOOKUP(I68,'Lista de Precios'!$A$3:$L$2883,9,0),0)</f>
        <v>0</v>
      </c>
      <c r="B68" s="74">
        <f>IF($I68&gt;0,VLOOKUP(I68,'Lista de Precios'!$A$3:$H$2883,7,0),0)</f>
        <v>0</v>
      </c>
      <c r="C68" s="7" t="str">
        <f>IF($I68&gt;0,VLOOKUP(I68,'Lista de Precios'!$A$3:$H$2883,2,0),"")</f>
        <v/>
      </c>
      <c r="D68" s="7" t="str">
        <f>IF($I68&gt;0,VLOOKUP(I68,'Lista de Precios'!$A$3:$H$2883,3,0),"")</f>
        <v/>
      </c>
      <c r="E68" s="76" t="str">
        <f>IF($I68&gt;0,VLOOKUP(I68,'Lista de Precios'!$A$3:$H$2883,6,0),"")</f>
        <v/>
      </c>
      <c r="F68" s="76" t="str">
        <f>IF($I68&gt;0,VLOOKUP(I68,'Lista de Precios'!$A$3:$H$2883,8,0),"")</f>
        <v/>
      </c>
      <c r="G68" s="101" t="str">
        <f t="shared" si="2"/>
        <v/>
      </c>
      <c r="H68" s="20" t="s">
        <v>3</v>
      </c>
      <c r="I68" s="18"/>
      <c r="J68" s="28" t="str">
        <f t="shared" si="8"/>
        <v/>
      </c>
      <c r="K68" s="24">
        <f>+IF($I68&gt;0,VLOOKUP($I68,'Lista de Precios'!$A$3:$H$2883,5,0),0)</f>
        <v>0</v>
      </c>
      <c r="L68" s="37"/>
      <c r="M68" s="37"/>
      <c r="N68" s="37"/>
      <c r="O68" s="37"/>
      <c r="P68" s="40"/>
      <c r="Q68" s="39"/>
      <c r="R68" s="37"/>
      <c r="S68" s="37"/>
      <c r="T68" s="37"/>
      <c r="U68" s="37"/>
      <c r="V68" s="37"/>
      <c r="W68" s="37"/>
      <c r="X68" s="37"/>
      <c r="Y68" s="37"/>
      <c r="Z68" s="40"/>
      <c r="AA68" s="41"/>
      <c r="AB68" s="37"/>
      <c r="AC68" s="37"/>
      <c r="AD68" s="37"/>
      <c r="AE68" s="37"/>
      <c r="AF68" s="37"/>
      <c r="AG68" s="37"/>
      <c r="AH68" s="36"/>
      <c r="AI68" s="36"/>
      <c r="AJ68" s="36"/>
      <c r="AK68" s="42"/>
      <c r="AL68" s="36"/>
      <c r="AM68" s="73">
        <f t="shared" si="15"/>
        <v>0</v>
      </c>
      <c r="AN68" s="71" t="str">
        <f>+IF($I68&gt;0,VLOOKUP($I68,'Lista de Precios'!$A$3:$H$2883,4,0),"")</f>
        <v/>
      </c>
      <c r="AO68" s="68" t="str">
        <f t="shared" si="3"/>
        <v/>
      </c>
      <c r="AP68" s="7" t="str">
        <f>IF($I68&gt;0,VLOOKUP($I68,'Lista de Precios'!$A$3:$K$2883,10,0),"")</f>
        <v/>
      </c>
      <c r="AQ68" s="7" t="str">
        <f>IF($I68&gt;0,VLOOKUP($I68,'Lista de Precios'!$A$3:$M$4893,13,0),"")</f>
        <v/>
      </c>
      <c r="AR68" s="7" t="str">
        <f>IF($I68&gt;0,VLOOKUP(I68,'Lista de Precios'!$A$3:$M$2883,13,0),"")</f>
        <v/>
      </c>
      <c r="HR68" s="134"/>
      <c r="HS68" s="134"/>
      <c r="HT68" s="134"/>
      <c r="HU68" s="134"/>
      <c r="HV68" s="134"/>
      <c r="HW68" s="134"/>
      <c r="HX68" s="134"/>
      <c r="HY68" s="134"/>
      <c r="HZ68" s="134"/>
      <c r="IA68" s="134"/>
      <c r="IB68" s="134"/>
      <c r="IC68" s="134"/>
      <c r="IE68" s="134"/>
      <c r="IF68" s="134"/>
      <c r="IG68" s="134"/>
      <c r="IH68" s="134"/>
      <c r="II68" s="134"/>
      <c r="IJ68" s="134"/>
      <c r="IK68" s="134"/>
      <c r="IL68" s="134"/>
      <c r="IM68" s="134"/>
      <c r="IN68" s="135"/>
      <c r="IO68" s="135"/>
      <c r="IP68" s="135"/>
      <c r="XEP68" s="7" t="str">
        <f t="shared" si="4"/>
        <v/>
      </c>
      <c r="XEQ68" s="7" t="str">
        <f t="shared" si="5"/>
        <v/>
      </c>
      <c r="XER68" s="7" t="str">
        <f t="shared" si="6"/>
        <v/>
      </c>
      <c r="XES68" s="7" t="str">
        <f t="shared" si="7"/>
        <v/>
      </c>
    </row>
    <row r="69" spans="1:250 16370:16373" ht="23.25" customHeight="1" x14ac:dyDescent="0.25">
      <c r="A69" s="74">
        <f>IF($I69&gt;0,VLOOKUP(I69,'Lista de Precios'!$A$3:$L$2883,9,0),0)</f>
        <v>0</v>
      </c>
      <c r="B69" s="74">
        <f>IF($I69&gt;0,VLOOKUP(I69,'Lista de Precios'!$A$3:$H$2883,7,0),0)</f>
        <v>0</v>
      </c>
      <c r="C69" s="7" t="str">
        <f>IF($I69&gt;0,VLOOKUP(I69,'Lista de Precios'!$A$3:$H$2883,2,0),"")</f>
        <v/>
      </c>
      <c r="D69" s="7" t="str">
        <f>IF($I69&gt;0,VLOOKUP(I69,'Lista de Precios'!$A$3:$H$2883,3,0),"")</f>
        <v/>
      </c>
      <c r="E69" s="76" t="str">
        <f>IF($I69&gt;0,VLOOKUP(I69,'Lista de Precios'!$A$3:$H$2883,6,0),"")</f>
        <v/>
      </c>
      <c r="F69" s="76" t="str">
        <f>IF($I69&gt;0,VLOOKUP(I69,'Lista de Precios'!$A$3:$H$2883,8,0),"")</f>
        <v/>
      </c>
      <c r="G69" s="101" t="str">
        <f t="shared" si="2"/>
        <v/>
      </c>
      <c r="H69" s="20" t="s">
        <v>3</v>
      </c>
      <c r="I69" s="18"/>
      <c r="J69" s="28" t="str">
        <f t="shared" si="8"/>
        <v/>
      </c>
      <c r="K69" s="24">
        <f>+IF($I69&gt;0,VLOOKUP($I69,'Lista de Precios'!$A$3:$H$2883,5,0),0)</f>
        <v>0</v>
      </c>
      <c r="L69" s="36"/>
      <c r="M69" s="36"/>
      <c r="N69" s="36"/>
      <c r="O69" s="37"/>
      <c r="P69" s="38"/>
      <c r="Q69" s="39"/>
      <c r="R69" s="37"/>
      <c r="S69" s="37"/>
      <c r="T69" s="37"/>
      <c r="U69" s="37"/>
      <c r="V69" s="37"/>
      <c r="W69" s="37"/>
      <c r="X69" s="37"/>
      <c r="Y69" s="37"/>
      <c r="Z69" s="40"/>
      <c r="AA69" s="41"/>
      <c r="AB69" s="37"/>
      <c r="AC69" s="37"/>
      <c r="AD69" s="37"/>
      <c r="AE69" s="37"/>
      <c r="AF69" s="37"/>
      <c r="AG69" s="37"/>
      <c r="AH69" s="36"/>
      <c r="AI69" s="36"/>
      <c r="AJ69" s="36"/>
      <c r="AK69" s="42"/>
      <c r="AL69" s="42"/>
      <c r="AM69" s="73">
        <f t="shared" si="15"/>
        <v>0</v>
      </c>
      <c r="AN69" s="71" t="str">
        <f>+IF($I69&gt;0,VLOOKUP($I69,'Lista de Precios'!$A$3:$H$2883,4,0),"")</f>
        <v/>
      </c>
      <c r="AO69" s="68" t="str">
        <f t="shared" si="3"/>
        <v/>
      </c>
      <c r="AP69" s="7" t="str">
        <f>IF($I69&gt;0,VLOOKUP($I69,'Lista de Precios'!$A$3:$K$2883,10,0),"")</f>
        <v/>
      </c>
      <c r="AQ69" s="7" t="str">
        <f>IF($I69&gt;0,VLOOKUP($I69,'Lista de Precios'!$A$3:$M$4893,13,0),"")</f>
        <v/>
      </c>
      <c r="AR69" s="7" t="str">
        <f>IF($I69&gt;0,VLOOKUP(I69,'Lista de Precios'!$A$3:$M$2883,13,0),"")</f>
        <v/>
      </c>
      <c r="HR69" s="134"/>
      <c r="HS69" s="134"/>
      <c r="HT69" s="134"/>
      <c r="HU69" s="134"/>
      <c r="HV69" s="134"/>
      <c r="HW69" s="134"/>
      <c r="HX69" s="134"/>
      <c r="HY69" s="134"/>
      <c r="HZ69" s="134"/>
      <c r="IA69" s="134"/>
      <c r="IB69" s="134"/>
      <c r="IC69" s="134"/>
      <c r="IE69" s="134"/>
      <c r="IF69" s="134"/>
      <c r="IG69" s="134"/>
      <c r="IH69" s="134"/>
      <c r="II69" s="134"/>
      <c r="IJ69" s="134"/>
      <c r="IK69" s="134"/>
      <c r="IL69" s="134"/>
      <c r="IM69" s="134"/>
      <c r="IN69" s="135"/>
      <c r="IO69" s="135"/>
      <c r="IP69" s="135"/>
      <c r="XEP69" s="7" t="str">
        <f t="shared" si="4"/>
        <v/>
      </c>
      <c r="XEQ69" s="7" t="str">
        <f t="shared" si="5"/>
        <v/>
      </c>
      <c r="XER69" s="7" t="str">
        <f t="shared" si="6"/>
        <v/>
      </c>
      <c r="XES69" s="7" t="str">
        <f t="shared" si="7"/>
        <v/>
      </c>
    </row>
    <row r="70" spans="1:250 16370:16373" ht="23.25" customHeight="1" x14ac:dyDescent="0.25">
      <c r="A70" s="74">
        <f>IF($I70&gt;0,VLOOKUP(I70,'Lista de Precios'!$A$3:$L$2883,9,0),0)</f>
        <v>0</v>
      </c>
      <c r="B70" s="74">
        <f>IF($I70&gt;0,VLOOKUP(I70,'Lista de Precios'!$A$3:$H$2883,7,0),0)</f>
        <v>0</v>
      </c>
      <c r="C70" s="7" t="str">
        <f>IF($I70&gt;0,VLOOKUP(I70,'Lista de Precios'!$A$3:$H$2883,2,0),"")</f>
        <v/>
      </c>
      <c r="D70" s="7" t="str">
        <f>IF($I70&gt;0,VLOOKUP(I70,'Lista de Precios'!$A$3:$H$2883,3,0),"")</f>
        <v/>
      </c>
      <c r="E70" s="76" t="str">
        <f>IF($I70&gt;0,VLOOKUP(I70,'Lista de Precios'!$A$3:$H$2883,6,0),"")</f>
        <v/>
      </c>
      <c r="F70" s="76" t="str">
        <f>IF($I70&gt;0,VLOOKUP(I70,'Lista de Precios'!$A$3:$H$2883,8,0),"")</f>
        <v/>
      </c>
      <c r="G70" s="101" t="str">
        <f t="shared" si="2"/>
        <v/>
      </c>
      <c r="H70" s="20" t="s">
        <v>3</v>
      </c>
      <c r="I70" s="18"/>
      <c r="J70" s="28" t="str">
        <f t="shared" si="8"/>
        <v/>
      </c>
      <c r="K70" s="24">
        <f>+IF($I70&gt;0,VLOOKUP($I70,'Lista de Precios'!$A$3:$H$2883,5,0),0)</f>
        <v>0</v>
      </c>
      <c r="L70" s="37"/>
      <c r="M70" s="37"/>
      <c r="N70" s="37"/>
      <c r="O70" s="37"/>
      <c r="P70" s="40"/>
      <c r="Q70" s="39"/>
      <c r="R70" s="37"/>
      <c r="S70" s="37"/>
      <c r="T70" s="37"/>
      <c r="U70" s="37"/>
      <c r="V70" s="37"/>
      <c r="W70" s="37"/>
      <c r="X70" s="37"/>
      <c r="Y70" s="37"/>
      <c r="Z70" s="40"/>
      <c r="AA70" s="41"/>
      <c r="AB70" s="37"/>
      <c r="AC70" s="37"/>
      <c r="AD70" s="37"/>
      <c r="AE70" s="37"/>
      <c r="AF70" s="37"/>
      <c r="AG70" s="37"/>
      <c r="AH70" s="36"/>
      <c r="AI70" s="36"/>
      <c r="AJ70" s="36"/>
      <c r="AK70" s="42"/>
      <c r="AL70" s="42"/>
      <c r="AM70" s="73">
        <f t="shared" si="15"/>
        <v>0</v>
      </c>
      <c r="AN70" s="71" t="str">
        <f>+IF($I70&gt;0,VLOOKUP($I70,'Lista de Precios'!$A$3:$H$2883,4,0),"")</f>
        <v/>
      </c>
      <c r="AO70" s="68" t="str">
        <f t="shared" si="3"/>
        <v/>
      </c>
      <c r="AP70" s="7" t="str">
        <f>IF($I70&gt;0,VLOOKUP($I70,'Lista de Precios'!$A$3:$K$2883,10,0),"")</f>
        <v/>
      </c>
      <c r="AQ70" s="7" t="str">
        <f>IF($I70&gt;0,VLOOKUP($I70,'Lista de Precios'!$A$3:$M$4893,13,0),"")</f>
        <v/>
      </c>
      <c r="AR70" s="7" t="str">
        <f>IF($I70&gt;0,VLOOKUP(I70,'Lista de Precios'!$A$3:$M$2883,13,0),"")</f>
        <v/>
      </c>
      <c r="HR70" s="134"/>
      <c r="HS70" s="134"/>
      <c r="HT70" s="134"/>
      <c r="HU70" s="134"/>
      <c r="HV70" s="134"/>
      <c r="HW70" s="134"/>
      <c r="HX70" s="134"/>
      <c r="HY70" s="134"/>
      <c r="HZ70" s="134"/>
      <c r="IA70" s="134"/>
      <c r="IB70" s="134"/>
      <c r="IC70" s="134"/>
      <c r="IE70" s="134"/>
      <c r="IF70" s="134"/>
      <c r="IG70" s="134"/>
      <c r="IH70" s="134"/>
      <c r="II70" s="134"/>
      <c r="IJ70" s="134"/>
      <c r="IK70" s="134"/>
      <c r="IL70" s="134"/>
      <c r="IM70" s="134"/>
      <c r="IN70" s="135"/>
      <c r="IO70" s="135"/>
      <c r="IP70" s="135"/>
      <c r="XEP70" s="7" t="str">
        <f t="shared" si="4"/>
        <v/>
      </c>
      <c r="XEQ70" s="7" t="str">
        <f t="shared" si="5"/>
        <v/>
      </c>
      <c r="XER70" s="7" t="str">
        <f t="shared" si="6"/>
        <v/>
      </c>
      <c r="XES70" s="7" t="str">
        <f t="shared" si="7"/>
        <v/>
      </c>
    </row>
    <row r="71" spans="1:250 16370:16373" ht="23.25" customHeight="1" x14ac:dyDescent="0.25">
      <c r="A71" s="74">
        <f>IF($I71&gt;0,VLOOKUP(I71,'Lista de Precios'!$A$3:$L$2883,9,0),0)</f>
        <v>0</v>
      </c>
      <c r="B71" s="74">
        <f>IF($I71&gt;0,VLOOKUP(I71,'Lista de Precios'!$A$3:$H$2883,7,0),0)</f>
        <v>0</v>
      </c>
      <c r="C71" s="7" t="str">
        <f>IF($I71&gt;0,VLOOKUP(I71,'Lista de Precios'!$A$3:$H$2883,2,0),"")</f>
        <v/>
      </c>
      <c r="D71" s="7" t="str">
        <f>IF($I71&gt;0,VLOOKUP(I71,'Lista de Precios'!$A$3:$H$2883,3,0),"")</f>
        <v/>
      </c>
      <c r="E71" s="76" t="str">
        <f>IF($I71&gt;0,VLOOKUP(I71,'Lista de Precios'!$A$3:$H$2883,6,0),"")</f>
        <v/>
      </c>
      <c r="F71" s="76" t="str">
        <f>IF($I71&gt;0,VLOOKUP(I71,'Lista de Precios'!$A$3:$H$2883,8,0),"")</f>
        <v/>
      </c>
      <c r="G71" s="101" t="str">
        <f t="shared" si="2"/>
        <v/>
      </c>
      <c r="H71" s="20" t="s">
        <v>3</v>
      </c>
      <c r="I71" s="18"/>
      <c r="J71" s="28" t="str">
        <f t="shared" si="8"/>
        <v/>
      </c>
      <c r="K71" s="24">
        <f>+IF($I71&gt;0,VLOOKUP($I71,'Lista de Precios'!$A$3:$H$2883,5,0),0)</f>
        <v>0</v>
      </c>
      <c r="L71" s="37"/>
      <c r="M71" s="37"/>
      <c r="N71" s="37"/>
      <c r="O71" s="37"/>
      <c r="P71" s="40"/>
      <c r="Q71" s="39"/>
      <c r="R71" s="37"/>
      <c r="S71" s="37"/>
      <c r="T71" s="37"/>
      <c r="U71" s="37"/>
      <c r="V71" s="37"/>
      <c r="W71" s="37"/>
      <c r="X71" s="37"/>
      <c r="Y71" s="37"/>
      <c r="Z71" s="40"/>
      <c r="AA71" s="41"/>
      <c r="AB71" s="37"/>
      <c r="AC71" s="37"/>
      <c r="AD71" s="37"/>
      <c r="AE71" s="36"/>
      <c r="AF71" s="37"/>
      <c r="AG71" s="37"/>
      <c r="AH71" s="36"/>
      <c r="AI71" s="36"/>
      <c r="AJ71" s="42"/>
      <c r="AK71" s="42"/>
      <c r="AL71" s="43"/>
      <c r="AM71" s="73">
        <f t="shared" si="15"/>
        <v>0</v>
      </c>
      <c r="AN71" s="71" t="str">
        <f>+IF($I71&gt;0,VLOOKUP($I71,'Lista de Precios'!$A$3:$H$2883,4,0),"")</f>
        <v/>
      </c>
      <c r="AO71" s="68" t="str">
        <f t="shared" si="3"/>
        <v/>
      </c>
      <c r="AP71" s="7" t="str">
        <f>IF($I71&gt;0,VLOOKUP($I71,'Lista de Precios'!$A$3:$K$2883,10,0),"")</f>
        <v/>
      </c>
      <c r="AQ71" s="7" t="str">
        <f>IF($I71&gt;0,VLOOKUP($I71,'Lista de Precios'!$A$3:$M$4893,13,0),"")</f>
        <v/>
      </c>
      <c r="AR71" s="7" t="str">
        <f>IF($I71&gt;0,VLOOKUP(I71,'Lista de Precios'!$A$3:$M$2883,13,0),"")</f>
        <v/>
      </c>
      <c r="HR71" s="134"/>
      <c r="HS71" s="134"/>
      <c r="HT71" s="134"/>
      <c r="HU71" s="134"/>
      <c r="HV71" s="134"/>
      <c r="HW71" s="134"/>
      <c r="HX71" s="134"/>
      <c r="HY71" s="134"/>
      <c r="HZ71" s="134"/>
      <c r="IA71" s="134"/>
      <c r="IB71" s="134"/>
      <c r="IC71" s="134"/>
      <c r="IE71" s="134"/>
      <c r="IF71" s="134"/>
      <c r="IG71" s="134"/>
      <c r="IH71" s="134"/>
      <c r="II71" s="134"/>
      <c r="IJ71" s="134"/>
      <c r="IK71" s="134"/>
      <c r="IL71" s="134"/>
      <c r="IM71" s="134"/>
      <c r="IN71" s="135"/>
      <c r="IO71" s="135"/>
      <c r="IP71" s="135"/>
      <c r="XEP71" s="7" t="str">
        <f t="shared" si="4"/>
        <v/>
      </c>
      <c r="XEQ71" s="7" t="str">
        <f t="shared" si="5"/>
        <v/>
      </c>
      <c r="XER71" s="7" t="str">
        <f t="shared" si="6"/>
        <v/>
      </c>
      <c r="XES71" s="7" t="str">
        <f t="shared" si="7"/>
        <v/>
      </c>
    </row>
    <row r="72" spans="1:250 16370:16373" ht="23.25" customHeight="1" x14ac:dyDescent="0.25">
      <c r="A72" s="74">
        <f>IF($I72&gt;0,VLOOKUP(I72,'Lista de Precios'!$A$3:$L$2883,9,0),0)</f>
        <v>0</v>
      </c>
      <c r="B72" s="74">
        <f>IF($I72&gt;0,VLOOKUP(I72,'Lista de Precios'!$A$3:$H$2883,7,0),0)</f>
        <v>0</v>
      </c>
      <c r="C72" s="7" t="str">
        <f>IF($I72&gt;0,VLOOKUP(I72,'Lista de Precios'!$A$3:$H$2883,2,0),"")</f>
        <v/>
      </c>
      <c r="D72" s="7" t="str">
        <f>IF($I72&gt;0,VLOOKUP(I72,'Lista de Precios'!$A$3:$H$2883,3,0),"")</f>
        <v/>
      </c>
      <c r="E72" s="76" t="str">
        <f>IF($I72&gt;0,VLOOKUP(I72,'Lista de Precios'!$A$3:$H$2883,6,0),"")</f>
        <v/>
      </c>
      <c r="F72" s="76" t="str">
        <f>IF($I72&gt;0,VLOOKUP(I72,'Lista de Precios'!$A$3:$H$2883,8,0),"")</f>
        <v/>
      </c>
      <c r="G72" s="101" t="str">
        <f t="shared" si="2"/>
        <v/>
      </c>
      <c r="H72" s="20" t="s">
        <v>3</v>
      </c>
      <c r="I72" s="18"/>
      <c r="J72" s="28" t="str">
        <f t="shared" si="8"/>
        <v/>
      </c>
      <c r="K72" s="24">
        <f>+IF($I72&gt;0,VLOOKUP($I72,'Lista de Precios'!$A$3:$H$2883,5,0),0)</f>
        <v>0</v>
      </c>
      <c r="L72" s="37"/>
      <c r="M72" s="37"/>
      <c r="N72" s="37"/>
      <c r="O72" s="37"/>
      <c r="P72" s="40"/>
      <c r="Q72" s="39"/>
      <c r="R72" s="37"/>
      <c r="S72" s="37"/>
      <c r="T72" s="37"/>
      <c r="U72" s="37"/>
      <c r="V72" s="37"/>
      <c r="W72" s="37"/>
      <c r="X72" s="37"/>
      <c r="Y72" s="37"/>
      <c r="Z72" s="37"/>
      <c r="AA72" s="41"/>
      <c r="AB72" s="37"/>
      <c r="AC72" s="37"/>
      <c r="AD72" s="37"/>
      <c r="AE72" s="36"/>
      <c r="AF72" s="37"/>
      <c r="AG72" s="37"/>
      <c r="AH72" s="36"/>
      <c r="AI72" s="36"/>
      <c r="AJ72" s="42"/>
      <c r="AK72" s="42"/>
      <c r="AL72" s="42"/>
      <c r="AM72" s="73">
        <f t="shared" si="15"/>
        <v>0</v>
      </c>
      <c r="AN72" s="71" t="str">
        <f>+IF($I72&gt;0,VLOOKUP($I72,'Lista de Precios'!$A$3:$H$2883,4,0),"")</f>
        <v/>
      </c>
      <c r="AO72" s="68" t="str">
        <f t="shared" si="3"/>
        <v/>
      </c>
      <c r="AP72" s="7" t="str">
        <f>IF($I72&gt;0,VLOOKUP($I72,'Lista de Precios'!$A$3:$K$2883,10,0),"")</f>
        <v/>
      </c>
      <c r="AQ72" s="7" t="str">
        <f>IF($I72&gt;0,VLOOKUP($I72,'Lista de Precios'!$A$3:$M$4893,13,0),"")</f>
        <v/>
      </c>
      <c r="AR72" s="7" t="str">
        <f>IF($I72&gt;0,VLOOKUP(I72,'Lista de Precios'!$A$3:$M$2883,13,0),"")</f>
        <v/>
      </c>
      <c r="HR72" s="134"/>
      <c r="HS72" s="134"/>
      <c r="HT72" s="134"/>
      <c r="HU72" s="134"/>
      <c r="HV72" s="134"/>
      <c r="HW72" s="134"/>
      <c r="HX72" s="134"/>
      <c r="HY72" s="134"/>
      <c r="HZ72" s="134"/>
      <c r="IA72" s="134"/>
      <c r="IB72" s="134"/>
      <c r="IC72" s="134"/>
      <c r="IE72" s="134"/>
      <c r="IF72" s="134"/>
      <c r="IG72" s="134"/>
      <c r="IH72" s="134"/>
      <c r="II72" s="134"/>
      <c r="IJ72" s="134"/>
      <c r="IK72" s="134"/>
      <c r="IL72" s="134"/>
      <c r="IM72" s="134"/>
      <c r="IN72" s="135"/>
      <c r="IO72" s="135"/>
      <c r="IP72" s="135"/>
      <c r="XEP72" s="7" t="str">
        <f t="shared" si="4"/>
        <v/>
      </c>
      <c r="XEQ72" s="7" t="str">
        <f t="shared" si="5"/>
        <v/>
      </c>
      <c r="XER72" s="7" t="str">
        <f t="shared" si="6"/>
        <v/>
      </c>
      <c r="XES72" s="7" t="str">
        <f t="shared" si="7"/>
        <v/>
      </c>
    </row>
    <row r="73" spans="1:250 16370:16373" ht="23.25" customHeight="1" x14ac:dyDescent="0.25">
      <c r="A73" s="74">
        <f>IF($I73&gt;0,VLOOKUP(I73,'Lista de Precios'!$A$3:$L$2883,9,0),0)</f>
        <v>0</v>
      </c>
      <c r="B73" s="74">
        <f>IF($I73&gt;0,VLOOKUP(I73,'Lista de Precios'!$A$3:$H$2883,7,0),0)</f>
        <v>0</v>
      </c>
      <c r="C73" s="7" t="str">
        <f>IF($I73&gt;0,VLOOKUP(I73,'Lista de Precios'!$A$3:$H$2883,2,0),"")</f>
        <v/>
      </c>
      <c r="D73" s="7" t="str">
        <f>IF($I73&gt;0,VLOOKUP(I73,'Lista de Precios'!$A$3:$H$2883,3,0),"")</f>
        <v/>
      </c>
      <c r="E73" s="76" t="str">
        <f>IF($I73&gt;0,VLOOKUP(I73,'Lista de Precios'!$A$3:$H$2883,6,0),"")</f>
        <v/>
      </c>
      <c r="F73" s="76" t="str">
        <f>IF($I73&gt;0,VLOOKUP(I73,'Lista de Precios'!$A$3:$H$2883,8,0),"")</f>
        <v/>
      </c>
      <c r="G73" s="101" t="str">
        <f t="shared" si="2"/>
        <v/>
      </c>
      <c r="H73" s="20" t="s">
        <v>3</v>
      </c>
      <c r="I73" s="18"/>
      <c r="J73" s="28" t="str">
        <f t="shared" si="8"/>
        <v/>
      </c>
      <c r="K73" s="24">
        <f>+IF($I73&gt;0,VLOOKUP($I73,'Lista de Precios'!$A$3:$H$2883,5,0),0)</f>
        <v>0</v>
      </c>
      <c r="L73" s="37"/>
      <c r="M73" s="37"/>
      <c r="N73" s="37"/>
      <c r="O73" s="37"/>
      <c r="P73" s="40"/>
      <c r="Q73" s="39"/>
      <c r="R73" s="37"/>
      <c r="S73" s="37"/>
      <c r="T73" s="37"/>
      <c r="U73" s="37"/>
      <c r="V73" s="37"/>
      <c r="W73" s="37"/>
      <c r="X73" s="37"/>
      <c r="Y73" s="37"/>
      <c r="Z73" s="40"/>
      <c r="AA73" s="41"/>
      <c r="AB73" s="37"/>
      <c r="AC73" s="37"/>
      <c r="AD73" s="37"/>
      <c r="AE73" s="36"/>
      <c r="AF73" s="37"/>
      <c r="AG73" s="37"/>
      <c r="AH73" s="36"/>
      <c r="AI73" s="36"/>
      <c r="AJ73" s="42"/>
      <c r="AK73" s="42"/>
      <c r="AL73" s="42"/>
      <c r="AM73" s="73">
        <f t="shared" si="15"/>
        <v>0</v>
      </c>
      <c r="AN73" s="71" t="str">
        <f>+IF($I73&gt;0,VLOOKUP($I73,'Lista de Precios'!$A$3:$H$2883,4,0),"")</f>
        <v/>
      </c>
      <c r="AO73" s="68" t="str">
        <f t="shared" si="3"/>
        <v/>
      </c>
      <c r="AP73" s="7" t="str">
        <f>IF($I73&gt;0,VLOOKUP($I73,'Lista de Precios'!$A$3:$K$2883,10,0),"")</f>
        <v/>
      </c>
      <c r="AQ73" s="7" t="str">
        <f>IF($I73&gt;0,VLOOKUP($I73,'Lista de Precios'!$A$3:$M$4893,13,0),"")</f>
        <v/>
      </c>
      <c r="AR73" s="7" t="str">
        <f>IF($I73&gt;0,VLOOKUP(I73,'Lista de Precios'!$A$3:$M$2883,13,0),"")</f>
        <v/>
      </c>
      <c r="HR73" s="134"/>
      <c r="HS73" s="134"/>
      <c r="HT73" s="134"/>
      <c r="HU73" s="134"/>
      <c r="HV73" s="134"/>
      <c r="HW73" s="134"/>
      <c r="HX73" s="134"/>
      <c r="HY73" s="134"/>
      <c r="HZ73" s="134"/>
      <c r="IA73" s="134"/>
      <c r="IB73" s="134"/>
      <c r="IC73" s="134"/>
      <c r="IE73" s="134"/>
      <c r="IF73" s="134"/>
      <c r="IG73" s="134"/>
      <c r="IH73" s="134"/>
      <c r="II73" s="134"/>
      <c r="IJ73" s="134"/>
      <c r="IK73" s="134"/>
      <c r="IL73" s="134"/>
      <c r="IM73" s="134"/>
      <c r="IN73" s="135"/>
      <c r="IO73" s="135"/>
      <c r="IP73" s="135"/>
      <c r="XEP73" s="7" t="str">
        <f t="shared" si="4"/>
        <v/>
      </c>
      <c r="XEQ73" s="7" t="str">
        <f t="shared" si="5"/>
        <v/>
      </c>
      <c r="XER73" s="7" t="str">
        <f t="shared" si="6"/>
        <v/>
      </c>
      <c r="XES73" s="7" t="str">
        <f t="shared" si="7"/>
        <v/>
      </c>
    </row>
    <row r="74" spans="1:250 16370:16373" ht="23.25" customHeight="1" x14ac:dyDescent="0.25">
      <c r="A74" s="74">
        <f>IF($I74&gt;0,VLOOKUP(I74,'Lista de Precios'!$A$3:$L$2883,9,0),0)</f>
        <v>0</v>
      </c>
      <c r="B74" s="74">
        <f>IF($I74&gt;0,VLOOKUP(I74,'Lista de Precios'!$A$3:$H$2883,7,0),0)</f>
        <v>0</v>
      </c>
      <c r="C74" s="7" t="str">
        <f>IF($I74&gt;0,VLOOKUP(I74,'Lista de Precios'!$A$3:$H$2883,2,0),"")</f>
        <v/>
      </c>
      <c r="D74" s="7" t="str">
        <f>IF($I74&gt;0,VLOOKUP(I74,'Lista de Precios'!$A$3:$H$2883,3,0),"")</f>
        <v/>
      </c>
      <c r="E74" s="76" t="str">
        <f>IF($I74&gt;0,VLOOKUP(I74,'Lista de Precios'!$A$3:$H$2883,6,0),"")</f>
        <v/>
      </c>
      <c r="F74" s="76" t="str">
        <f>IF($I74&gt;0,VLOOKUP(I74,'Lista de Precios'!$A$3:$H$2883,8,0),"")</f>
        <v/>
      </c>
      <c r="G74" s="101" t="str">
        <f t="shared" si="2"/>
        <v/>
      </c>
      <c r="H74" s="20" t="s">
        <v>3</v>
      </c>
      <c r="I74" s="18"/>
      <c r="J74" s="28" t="str">
        <f t="shared" si="8"/>
        <v/>
      </c>
      <c r="K74" s="24">
        <f>+IF($I74&gt;0,VLOOKUP($I74,'Lista de Precios'!$A$3:$H$2883,5,0),0)</f>
        <v>0</v>
      </c>
      <c r="L74" s="37"/>
      <c r="M74" s="37"/>
      <c r="N74" s="37"/>
      <c r="O74" s="37"/>
      <c r="P74" s="40"/>
      <c r="Q74" s="39"/>
      <c r="R74" s="37"/>
      <c r="S74" s="37"/>
      <c r="T74" s="37"/>
      <c r="U74" s="37"/>
      <c r="V74" s="37"/>
      <c r="W74" s="37"/>
      <c r="X74" s="37"/>
      <c r="Y74" s="37"/>
      <c r="Z74" s="40"/>
      <c r="AA74" s="41"/>
      <c r="AB74" s="37"/>
      <c r="AC74" s="37"/>
      <c r="AD74" s="37"/>
      <c r="AE74" s="36"/>
      <c r="AF74" s="37"/>
      <c r="AG74" s="37"/>
      <c r="AH74" s="36"/>
      <c r="AI74" s="36"/>
      <c r="AJ74" s="42"/>
      <c r="AK74" s="42"/>
      <c r="AL74" s="42"/>
      <c r="AM74" s="73">
        <f t="shared" si="15"/>
        <v>0</v>
      </c>
      <c r="AN74" s="71" t="str">
        <f>+IF($I74&gt;0,VLOOKUP($I74,'Lista de Precios'!$A$3:$H$2883,4,0),"")</f>
        <v/>
      </c>
      <c r="AO74" s="68" t="str">
        <f t="shared" si="3"/>
        <v/>
      </c>
      <c r="AP74" s="7" t="str">
        <f>IF($I74&gt;0,VLOOKUP($I74,'Lista de Precios'!$A$3:$K$2883,10,0),"")</f>
        <v/>
      </c>
      <c r="AQ74" s="7" t="str">
        <f>IF($I74&gt;0,VLOOKUP($I74,'Lista de Precios'!$A$3:$M$4893,13,0),"")</f>
        <v/>
      </c>
      <c r="AR74" s="7" t="str">
        <f>IF($I74&gt;0,VLOOKUP(I74,'Lista de Precios'!$A$3:$M$2883,13,0),"")</f>
        <v/>
      </c>
      <c r="HR74" s="134"/>
      <c r="HS74" s="134"/>
      <c r="HT74" s="134"/>
      <c r="HU74" s="134"/>
      <c r="HV74" s="134"/>
      <c r="HW74" s="134"/>
      <c r="HX74" s="134"/>
      <c r="HY74" s="134"/>
      <c r="HZ74" s="134"/>
      <c r="IA74" s="134"/>
      <c r="IB74" s="134"/>
      <c r="IC74" s="134"/>
      <c r="IE74" s="134"/>
      <c r="IF74" s="134"/>
      <c r="IG74" s="134"/>
      <c r="IH74" s="134"/>
      <c r="II74" s="134"/>
      <c r="IJ74" s="134"/>
      <c r="IK74" s="134"/>
      <c r="IL74" s="134"/>
      <c r="IM74" s="134"/>
      <c r="IN74" s="135"/>
      <c r="IO74" s="135"/>
      <c r="IP74" s="135"/>
      <c r="XEP74" s="7" t="str">
        <f t="shared" si="4"/>
        <v/>
      </c>
      <c r="XEQ74" s="7" t="str">
        <f t="shared" si="5"/>
        <v/>
      </c>
      <c r="XER74" s="7" t="str">
        <f t="shared" si="6"/>
        <v/>
      </c>
      <c r="XES74" s="7" t="str">
        <f t="shared" si="7"/>
        <v/>
      </c>
    </row>
    <row r="75" spans="1:250 16370:16373" ht="23.25" customHeight="1" x14ac:dyDescent="0.25">
      <c r="A75" s="74">
        <f>IF($I75&gt;0,VLOOKUP(I75,'Lista de Precios'!$A$3:$L$2883,9,0),0)</f>
        <v>0</v>
      </c>
      <c r="B75" s="74">
        <f>IF($I75&gt;0,VLOOKUP(I75,'Lista de Precios'!$A$3:$H$2883,7,0),0)</f>
        <v>0</v>
      </c>
      <c r="C75" s="7" t="str">
        <f>IF($I75&gt;0,VLOOKUP(I75,'Lista de Precios'!$A$3:$H$2883,2,0),"")</f>
        <v/>
      </c>
      <c r="D75" s="7" t="str">
        <f>IF($I75&gt;0,VLOOKUP(I75,'Lista de Precios'!$A$3:$H$2883,3,0),"")</f>
        <v/>
      </c>
      <c r="E75" s="76" t="str">
        <f>IF($I75&gt;0,VLOOKUP(I75,'Lista de Precios'!$A$3:$H$2883,6,0),"")</f>
        <v/>
      </c>
      <c r="F75" s="76" t="str">
        <f>IF($I75&gt;0,VLOOKUP(I75,'Lista de Precios'!$A$3:$H$2883,8,0),"")</f>
        <v/>
      </c>
      <c r="G75" s="101" t="str">
        <f t="shared" si="2"/>
        <v/>
      </c>
      <c r="H75" s="20" t="s">
        <v>3</v>
      </c>
      <c r="I75" s="18"/>
      <c r="J75" s="28" t="str">
        <f t="shared" si="8"/>
        <v/>
      </c>
      <c r="K75" s="24">
        <f>+IF($I75&gt;0,VLOOKUP($I75,'Lista de Precios'!$A$3:$H$2883,5,0),0)</f>
        <v>0</v>
      </c>
      <c r="L75" s="37"/>
      <c r="M75" s="37"/>
      <c r="N75" s="37"/>
      <c r="O75" s="37"/>
      <c r="P75" s="40"/>
      <c r="Q75" s="39"/>
      <c r="R75" s="37"/>
      <c r="S75" s="37"/>
      <c r="T75" s="37"/>
      <c r="U75" s="37"/>
      <c r="V75" s="37"/>
      <c r="W75" s="37"/>
      <c r="X75" s="37"/>
      <c r="Y75" s="37"/>
      <c r="Z75" s="40"/>
      <c r="AA75" s="41"/>
      <c r="AB75" s="37"/>
      <c r="AC75" s="37"/>
      <c r="AD75" s="37"/>
      <c r="AE75" s="37"/>
      <c r="AF75" s="37"/>
      <c r="AG75" s="57"/>
      <c r="AH75" s="54"/>
      <c r="AI75" s="54"/>
      <c r="AJ75" s="54"/>
      <c r="AK75" s="54"/>
      <c r="AL75" s="54"/>
      <c r="AM75" s="73">
        <f t="shared" si="15"/>
        <v>0</v>
      </c>
      <c r="AN75" s="71" t="str">
        <f>+IF($I75&gt;0,VLOOKUP($I75,'Lista de Precios'!$A$3:$H$2883,4,0),"")</f>
        <v/>
      </c>
      <c r="AO75" s="68" t="str">
        <f t="shared" si="3"/>
        <v/>
      </c>
      <c r="AP75" s="7" t="str">
        <f>IF($I75&gt;0,VLOOKUP($I75,'Lista de Precios'!$A$3:$K$2883,10,0),"")</f>
        <v/>
      </c>
      <c r="AQ75" s="7" t="str">
        <f>IF($I75&gt;0,VLOOKUP($I75,'Lista de Precios'!$A$3:$M$4893,13,0),"")</f>
        <v/>
      </c>
      <c r="AR75" s="7" t="str">
        <f>IF($I75&gt;0,VLOOKUP(I75,'Lista de Precios'!$A$3:$M$2883,13,0),"")</f>
        <v/>
      </c>
      <c r="HR75" s="134"/>
      <c r="HS75" s="134"/>
      <c r="HT75" s="134"/>
      <c r="HU75" s="134"/>
      <c r="HV75" s="134"/>
      <c r="HW75" s="134"/>
      <c r="HX75" s="134"/>
      <c r="HY75" s="134"/>
      <c r="HZ75" s="134"/>
      <c r="IA75" s="134"/>
      <c r="IB75" s="134"/>
      <c r="IC75" s="134"/>
      <c r="IE75" s="134"/>
      <c r="IF75" s="134"/>
      <c r="IG75" s="134"/>
      <c r="IH75" s="134"/>
      <c r="II75" s="134"/>
      <c r="IJ75" s="134"/>
      <c r="IK75" s="134"/>
      <c r="IL75" s="134"/>
      <c r="IM75" s="134"/>
      <c r="IN75" s="135"/>
      <c r="IO75" s="135"/>
      <c r="IP75" s="135"/>
      <c r="XEP75" s="7" t="str">
        <f t="shared" si="4"/>
        <v/>
      </c>
      <c r="XEQ75" s="7" t="str">
        <f t="shared" si="5"/>
        <v/>
      </c>
      <c r="XER75" s="7" t="str">
        <f t="shared" si="6"/>
        <v/>
      </c>
      <c r="XES75" s="7" t="str">
        <f t="shared" si="7"/>
        <v/>
      </c>
    </row>
    <row r="76" spans="1:250 16370:16373" ht="23.25" customHeight="1" x14ac:dyDescent="0.25">
      <c r="A76" s="74">
        <f>IF($I76&gt;0,VLOOKUP(I76,'Lista de Precios'!$A$3:$L$2883,9,0),0)</f>
        <v>0</v>
      </c>
      <c r="B76" s="74">
        <f>IF($I76&gt;0,VLOOKUP(I76,'Lista de Precios'!$A$3:$H$2883,7,0),0)</f>
        <v>0</v>
      </c>
      <c r="C76" s="7" t="str">
        <f>IF($I76&gt;0,VLOOKUP(I76,'Lista de Precios'!$A$3:$H$2883,2,0),"")</f>
        <v/>
      </c>
      <c r="D76" s="7" t="str">
        <f>IF($I76&gt;0,VLOOKUP(I76,'Lista de Precios'!$A$3:$H$2883,3,0),"")</f>
        <v/>
      </c>
      <c r="E76" s="76" t="str">
        <f>IF($I76&gt;0,VLOOKUP(I76,'Lista de Precios'!$A$3:$H$2883,6,0),"")</f>
        <v/>
      </c>
      <c r="F76" s="76" t="str">
        <f>IF($I76&gt;0,VLOOKUP(I76,'Lista de Precios'!$A$3:$H$2883,8,0),"")</f>
        <v/>
      </c>
      <c r="G76" s="101" t="str">
        <f t="shared" si="2"/>
        <v/>
      </c>
      <c r="H76" s="20" t="s">
        <v>3</v>
      </c>
      <c r="I76" s="18"/>
      <c r="J76" s="28" t="str">
        <f t="shared" si="8"/>
        <v/>
      </c>
      <c r="K76" s="24">
        <f>+IF($I76&gt;0,VLOOKUP($I76,'Lista de Precios'!$A$3:$H$2883,5,0),0)</f>
        <v>0</v>
      </c>
      <c r="L76" s="37"/>
      <c r="M76" s="37"/>
      <c r="N76" s="37"/>
      <c r="O76" s="37"/>
      <c r="P76" s="40"/>
      <c r="Q76" s="39"/>
      <c r="R76" s="37"/>
      <c r="S76" s="37"/>
      <c r="T76" s="37"/>
      <c r="U76" s="37"/>
      <c r="V76" s="37"/>
      <c r="W76" s="37"/>
      <c r="X76" s="37"/>
      <c r="Y76" s="37"/>
      <c r="Z76" s="40"/>
      <c r="AA76" s="41"/>
      <c r="AB76" s="37"/>
      <c r="AC76" s="37"/>
      <c r="AD76" s="37"/>
      <c r="AE76" s="37"/>
      <c r="AF76" s="37"/>
      <c r="AG76" s="57"/>
      <c r="AH76" s="54"/>
      <c r="AI76" s="54"/>
      <c r="AJ76" s="42"/>
      <c r="AK76" s="42"/>
      <c r="AL76" s="42"/>
      <c r="AM76" s="73">
        <f t="shared" si="15"/>
        <v>0</v>
      </c>
      <c r="AN76" s="71" t="str">
        <f>+IF($I76&gt;0,VLOOKUP($I76,'Lista de Precios'!$A$3:$H$2883,4,0),"")</f>
        <v/>
      </c>
      <c r="AO76" s="68" t="str">
        <f t="shared" si="3"/>
        <v/>
      </c>
      <c r="AP76" s="7" t="str">
        <f>IF($I76&gt;0,VLOOKUP($I76,'Lista de Precios'!$A$3:$K$2883,10,0),"")</f>
        <v/>
      </c>
      <c r="AQ76" s="7" t="str">
        <f>IF($I76&gt;0,VLOOKUP($I76,'Lista de Precios'!$A$3:$M$4893,13,0),"")</f>
        <v/>
      </c>
      <c r="AR76" s="7" t="str">
        <f>IF($I76&gt;0,VLOOKUP(I76,'Lista de Precios'!$A$3:$M$2883,13,0),"")</f>
        <v/>
      </c>
      <c r="HR76" s="134"/>
      <c r="HS76" s="134"/>
      <c r="HT76" s="134"/>
      <c r="HU76" s="134"/>
      <c r="HV76" s="134"/>
      <c r="HW76" s="134"/>
      <c r="HX76" s="134"/>
      <c r="HY76" s="134"/>
      <c r="HZ76" s="134"/>
      <c r="IA76" s="134"/>
      <c r="IB76" s="134"/>
      <c r="IC76" s="134"/>
      <c r="IE76" s="134"/>
      <c r="IF76" s="134"/>
      <c r="IG76" s="134"/>
      <c r="IH76" s="134"/>
      <c r="II76" s="134"/>
      <c r="IJ76" s="134"/>
      <c r="IK76" s="134"/>
      <c r="IL76" s="134"/>
      <c r="IM76" s="134"/>
      <c r="IN76" s="135"/>
      <c r="IO76" s="135"/>
      <c r="IP76" s="135"/>
      <c r="XEP76" s="7" t="str">
        <f t="shared" si="4"/>
        <v/>
      </c>
      <c r="XEQ76" s="7" t="str">
        <f t="shared" si="5"/>
        <v/>
      </c>
      <c r="XER76" s="7" t="str">
        <f t="shared" si="6"/>
        <v/>
      </c>
      <c r="XES76" s="7" t="str">
        <f t="shared" si="7"/>
        <v/>
      </c>
    </row>
    <row r="77" spans="1:250 16370:16373" ht="23.25" customHeight="1" x14ac:dyDescent="0.25">
      <c r="A77" s="74">
        <f>IF($I77&gt;0,VLOOKUP(I77,'Lista de Precios'!$A$3:$L$2883,9,0),0)</f>
        <v>0</v>
      </c>
      <c r="B77" s="74">
        <f>IF($I77&gt;0,VLOOKUP(I77,'Lista de Precios'!$A$3:$H$2883,7,0),0)</f>
        <v>0</v>
      </c>
      <c r="C77" s="7" t="str">
        <f>IF($I77&gt;0,VLOOKUP(I77,'Lista de Precios'!$A$3:$H$2883,2,0),"")</f>
        <v/>
      </c>
      <c r="D77" s="7" t="str">
        <f>IF($I77&gt;0,VLOOKUP(I77,'Lista de Precios'!$A$3:$H$2883,3,0),"")</f>
        <v/>
      </c>
      <c r="E77" s="76" t="str">
        <f>IF($I77&gt;0,VLOOKUP(I77,'Lista de Precios'!$A$3:$H$2883,6,0),"")</f>
        <v/>
      </c>
      <c r="F77" s="76" t="str">
        <f>IF($I77&gt;0,VLOOKUP(I77,'Lista de Precios'!$A$3:$H$2883,8,0),"")</f>
        <v/>
      </c>
      <c r="G77" s="101" t="str">
        <f t="shared" si="2"/>
        <v/>
      </c>
      <c r="H77" s="20" t="s">
        <v>3</v>
      </c>
      <c r="I77" s="18"/>
      <c r="J77" s="28" t="str">
        <f t="shared" si="8"/>
        <v/>
      </c>
      <c r="K77" s="24">
        <f>+IF($I77&gt;0,VLOOKUP($I77,'Lista de Precios'!$A$3:$H$2883,5,0),0)</f>
        <v>0</v>
      </c>
      <c r="L77" s="37"/>
      <c r="M77" s="37"/>
      <c r="N77" s="37"/>
      <c r="O77" s="37"/>
      <c r="P77" s="40"/>
      <c r="Q77" s="39"/>
      <c r="R77" s="37"/>
      <c r="S77" s="37"/>
      <c r="T77" s="37"/>
      <c r="U77" s="37"/>
      <c r="V77" s="37"/>
      <c r="W77" s="37"/>
      <c r="X77" s="37"/>
      <c r="Y77" s="37"/>
      <c r="Z77" s="40"/>
      <c r="AA77" s="41"/>
      <c r="AB77" s="37"/>
      <c r="AC77" s="37"/>
      <c r="AD77" s="37"/>
      <c r="AE77" s="37"/>
      <c r="AF77" s="37"/>
      <c r="AG77" s="37"/>
      <c r="AH77" s="42"/>
      <c r="AI77" s="42"/>
      <c r="AJ77" s="43"/>
      <c r="AK77" s="43"/>
      <c r="AL77" s="43"/>
      <c r="AM77" s="73">
        <f t="shared" si="15"/>
        <v>0</v>
      </c>
      <c r="AN77" s="71" t="str">
        <f>+IF($I77&gt;0,VLOOKUP($I77,'Lista de Precios'!$A$3:$H$2883,4,0),"")</f>
        <v/>
      </c>
      <c r="AO77" s="68" t="str">
        <f t="shared" si="3"/>
        <v/>
      </c>
      <c r="AP77" s="7" t="str">
        <f>IF($I77&gt;0,VLOOKUP($I77,'Lista de Precios'!$A$3:$K$2883,10,0),"")</f>
        <v/>
      </c>
      <c r="AQ77" s="7" t="str">
        <f>IF($I77&gt;0,VLOOKUP($I77,'Lista de Precios'!$A$3:$M$4893,13,0),"")</f>
        <v/>
      </c>
      <c r="AR77" s="7" t="str">
        <f>IF($I77&gt;0,VLOOKUP(I77,'Lista de Precios'!$A$3:$M$2883,13,0),"")</f>
        <v/>
      </c>
      <c r="HR77" s="134"/>
      <c r="HS77" s="134"/>
      <c r="HT77" s="134"/>
      <c r="HU77" s="134"/>
      <c r="HV77" s="134"/>
      <c r="HW77" s="134"/>
      <c r="HX77" s="134"/>
      <c r="HY77" s="134"/>
      <c r="HZ77" s="134"/>
      <c r="IA77" s="134"/>
      <c r="IB77" s="134"/>
      <c r="IC77" s="134"/>
      <c r="IE77" s="134"/>
      <c r="IF77" s="134"/>
      <c r="IG77" s="134"/>
      <c r="IH77" s="134"/>
      <c r="II77" s="134"/>
      <c r="IJ77" s="134"/>
      <c r="IK77" s="134"/>
      <c r="IL77" s="134"/>
      <c r="IM77" s="134"/>
      <c r="IN77" s="135"/>
      <c r="IO77" s="135"/>
      <c r="IP77" s="135"/>
      <c r="XEP77" s="7" t="str">
        <f t="shared" si="4"/>
        <v/>
      </c>
      <c r="XEQ77" s="7" t="str">
        <f t="shared" si="5"/>
        <v/>
      </c>
      <c r="XER77" s="7" t="str">
        <f t="shared" si="6"/>
        <v/>
      </c>
      <c r="XES77" s="7" t="str">
        <f t="shared" si="7"/>
        <v/>
      </c>
    </row>
    <row r="78" spans="1:250 16370:16373" ht="23.25" customHeight="1" x14ac:dyDescent="0.25">
      <c r="A78" s="74">
        <f>IF($I78&gt;0,VLOOKUP(I78,'Lista de Precios'!$A$3:$L$2883,9,0),0)</f>
        <v>0</v>
      </c>
      <c r="B78" s="74">
        <f>IF($I78&gt;0,VLOOKUP(I78,'Lista de Precios'!$A$3:$H$2883,7,0),0)</f>
        <v>0</v>
      </c>
      <c r="C78" s="7" t="str">
        <f>IF($I78&gt;0,VLOOKUP(I78,'Lista de Precios'!$A$3:$H$2883,2,0),"")</f>
        <v/>
      </c>
      <c r="D78" s="7" t="str">
        <f>IF($I78&gt;0,VLOOKUP(I78,'Lista de Precios'!$A$3:$H$2883,3,0),"")</f>
        <v/>
      </c>
      <c r="E78" s="76" t="str">
        <f>IF($I78&gt;0,VLOOKUP(I78,'Lista de Precios'!$A$3:$H$2883,6,0),"")</f>
        <v/>
      </c>
      <c r="F78" s="76" t="str">
        <f>IF($I78&gt;0,VLOOKUP(I78,'Lista de Precios'!$A$3:$H$2883,8,0),"")</f>
        <v/>
      </c>
      <c r="G78" s="101" t="str">
        <f t="shared" si="2"/>
        <v/>
      </c>
      <c r="H78" s="20" t="s">
        <v>3</v>
      </c>
      <c r="I78" s="18"/>
      <c r="J78" s="28" t="str">
        <f t="shared" si="8"/>
        <v/>
      </c>
      <c r="K78" s="24">
        <f>+IF($I78&gt;0,VLOOKUP($I78,'Lista de Precios'!$A$3:$H$2883,5,0),0)</f>
        <v>0</v>
      </c>
      <c r="L78" s="36"/>
      <c r="M78" s="36"/>
      <c r="N78" s="36"/>
      <c r="O78" s="37"/>
      <c r="P78" s="38"/>
      <c r="Q78" s="39"/>
      <c r="R78" s="37"/>
      <c r="S78" s="37"/>
      <c r="T78" s="37"/>
      <c r="U78" s="37"/>
      <c r="V78" s="37"/>
      <c r="W78" s="37"/>
      <c r="X78" s="37"/>
      <c r="Y78" s="37"/>
      <c r="Z78" s="40"/>
      <c r="AA78" s="41"/>
      <c r="AB78" s="37"/>
      <c r="AC78" s="37"/>
      <c r="AD78" s="37"/>
      <c r="AE78" s="37"/>
      <c r="AF78" s="37"/>
      <c r="AG78" s="37"/>
      <c r="AH78" s="42"/>
      <c r="AI78" s="42"/>
      <c r="AJ78" s="43"/>
      <c r="AK78" s="43"/>
      <c r="AL78" s="43"/>
      <c r="AM78" s="73">
        <f t="shared" si="15"/>
        <v>0</v>
      </c>
      <c r="AN78" s="71" t="str">
        <f>+IF($I78&gt;0,VLOOKUP($I78,'Lista de Precios'!$A$3:$H$2883,4,0),"")</f>
        <v/>
      </c>
      <c r="AO78" s="68" t="str">
        <f t="shared" si="3"/>
        <v/>
      </c>
      <c r="AP78" s="7" t="str">
        <f>IF($I78&gt;0,VLOOKUP($I78,'Lista de Precios'!$A$3:$K$2883,10,0),"")</f>
        <v/>
      </c>
      <c r="AQ78" s="7" t="str">
        <f>IF($I78&gt;0,VLOOKUP($I78,'Lista de Precios'!$A$3:$M$4893,13,0),"")</f>
        <v/>
      </c>
      <c r="AR78" s="7" t="str">
        <f>IF($I78&gt;0,VLOOKUP(I78,'Lista de Precios'!$A$3:$M$2883,13,0),"")</f>
        <v/>
      </c>
      <c r="HR78" s="134"/>
      <c r="HS78" s="134"/>
      <c r="HT78" s="134"/>
      <c r="HU78" s="134"/>
      <c r="HV78" s="134"/>
      <c r="HW78" s="134"/>
      <c r="HX78" s="134"/>
      <c r="HY78" s="134"/>
      <c r="HZ78" s="134"/>
      <c r="IA78" s="134"/>
      <c r="IB78" s="134"/>
      <c r="IC78" s="134"/>
      <c r="IE78" s="134"/>
      <c r="IF78" s="134"/>
      <c r="IG78" s="134"/>
      <c r="IH78" s="134"/>
      <c r="II78" s="134"/>
      <c r="IJ78" s="134"/>
      <c r="IK78" s="134"/>
      <c r="IL78" s="134"/>
      <c r="IM78" s="134"/>
      <c r="IN78" s="135"/>
      <c r="IO78" s="135"/>
      <c r="IP78" s="135"/>
      <c r="XEP78" s="7" t="str">
        <f t="shared" si="4"/>
        <v/>
      </c>
      <c r="XEQ78" s="7" t="str">
        <f t="shared" si="5"/>
        <v/>
      </c>
      <c r="XER78" s="7" t="str">
        <f t="shared" si="6"/>
        <v/>
      </c>
      <c r="XES78" s="7" t="str">
        <f t="shared" si="7"/>
        <v/>
      </c>
    </row>
    <row r="79" spans="1:250 16370:16373" ht="23.25" customHeight="1" x14ac:dyDescent="0.25">
      <c r="A79" s="74">
        <f>IF($I79&gt;0,VLOOKUP(I79,'Lista de Precios'!$A$3:$L$2883,9,0),0)</f>
        <v>0</v>
      </c>
      <c r="B79" s="74">
        <f>IF($I79&gt;0,VLOOKUP(I79,'Lista de Precios'!$A$3:$H$2883,7,0),0)</f>
        <v>0</v>
      </c>
      <c r="C79" s="7" t="str">
        <f>IF($I79&gt;0,VLOOKUP(I79,'Lista de Precios'!$A$3:$H$2883,2,0),"")</f>
        <v/>
      </c>
      <c r="D79" s="7" t="str">
        <f>IF($I79&gt;0,VLOOKUP(I79,'Lista de Precios'!$A$3:$H$2883,3,0),"")</f>
        <v/>
      </c>
      <c r="E79" s="76" t="str">
        <f>IF($I79&gt;0,VLOOKUP(I79,'Lista de Precios'!$A$3:$H$2883,6,0),"")</f>
        <v/>
      </c>
      <c r="F79" s="76" t="str">
        <f>IF($I79&gt;0,VLOOKUP(I79,'Lista de Precios'!$A$3:$H$2883,8,0),"")</f>
        <v/>
      </c>
      <c r="G79" s="101" t="str">
        <f t="shared" si="2"/>
        <v/>
      </c>
      <c r="H79" s="20" t="s">
        <v>3</v>
      </c>
      <c r="I79" s="18"/>
      <c r="J79" s="28" t="str">
        <f t="shared" si="8"/>
        <v/>
      </c>
      <c r="K79" s="24">
        <f>+IF($I79&gt;0,VLOOKUP($I79,'Lista de Precios'!$A$3:$H$2883,5,0),0)</f>
        <v>0</v>
      </c>
      <c r="L79" s="37"/>
      <c r="M79" s="37"/>
      <c r="N79" s="37"/>
      <c r="O79" s="37"/>
      <c r="P79" s="40"/>
      <c r="Q79" s="39"/>
      <c r="R79" s="37"/>
      <c r="S79" s="37"/>
      <c r="T79" s="37"/>
      <c r="U79" s="37"/>
      <c r="V79" s="37"/>
      <c r="W79" s="37"/>
      <c r="X79" s="37"/>
      <c r="Y79" s="37"/>
      <c r="Z79" s="40"/>
      <c r="AA79" s="41"/>
      <c r="AB79" s="37"/>
      <c r="AC79" s="43"/>
      <c r="AD79" s="43"/>
      <c r="AE79" s="43"/>
      <c r="AF79" s="43"/>
      <c r="AG79" s="43"/>
      <c r="AH79" s="42"/>
      <c r="AI79" s="42"/>
      <c r="AJ79" s="42"/>
      <c r="AK79" s="42"/>
      <c r="AL79" s="43"/>
      <c r="AM79" s="73">
        <f t="shared" si="15"/>
        <v>0</v>
      </c>
      <c r="AN79" s="71" t="str">
        <f>+IF($I79&gt;0,VLOOKUP($I79,'Lista de Precios'!$A$3:$H$2883,4,0),"")</f>
        <v/>
      </c>
      <c r="AO79" s="68" t="str">
        <f t="shared" si="3"/>
        <v/>
      </c>
      <c r="AP79" s="7" t="str">
        <f>IF($I79&gt;0,VLOOKUP($I79,'Lista de Precios'!$A$3:$K$2883,10,0),"")</f>
        <v/>
      </c>
      <c r="AQ79" s="7" t="str">
        <f>IF($I79&gt;0,VLOOKUP($I79,'Lista de Precios'!$A$3:$M$4893,13,0),"")</f>
        <v/>
      </c>
      <c r="AR79" s="7" t="str">
        <f>IF($I79&gt;0,VLOOKUP(I79,'Lista de Precios'!$A$3:$M$2883,13,0),"")</f>
        <v/>
      </c>
      <c r="HR79" s="134"/>
      <c r="HS79" s="134"/>
      <c r="HT79" s="134"/>
      <c r="HU79" s="134"/>
      <c r="HV79" s="134"/>
      <c r="HW79" s="134"/>
      <c r="HX79" s="134"/>
      <c r="HY79" s="134"/>
      <c r="HZ79" s="134"/>
      <c r="IA79" s="134"/>
      <c r="IB79" s="134"/>
      <c r="IC79" s="134"/>
      <c r="IE79" s="134"/>
      <c r="IF79" s="134"/>
      <c r="IG79" s="134"/>
      <c r="IH79" s="134"/>
      <c r="II79" s="134"/>
      <c r="IJ79" s="134"/>
      <c r="IK79" s="134"/>
      <c r="IL79" s="134"/>
      <c r="IM79" s="134"/>
      <c r="IN79" s="135"/>
      <c r="IO79" s="135"/>
      <c r="IP79" s="135"/>
      <c r="XEP79" s="7" t="str">
        <f t="shared" si="4"/>
        <v/>
      </c>
      <c r="XEQ79" s="7" t="str">
        <f t="shared" si="5"/>
        <v/>
      </c>
      <c r="XER79" s="7" t="str">
        <f t="shared" si="6"/>
        <v/>
      </c>
      <c r="XES79" s="7" t="str">
        <f t="shared" si="7"/>
        <v/>
      </c>
    </row>
    <row r="80" spans="1:250 16370:16373" ht="23.25" customHeight="1" x14ac:dyDescent="0.25">
      <c r="A80" s="74">
        <f>IF($I80&gt;0,VLOOKUP(I80,'Lista de Precios'!$A$3:$L$2883,9,0),0)</f>
        <v>0</v>
      </c>
      <c r="B80" s="74">
        <f>IF($I80&gt;0,VLOOKUP(I80,'Lista de Precios'!$A$3:$H$2883,7,0),0)</f>
        <v>0</v>
      </c>
      <c r="C80" s="7" t="str">
        <f>IF($I80&gt;0,VLOOKUP(I80,'Lista de Precios'!$A$3:$H$2883,2,0),"")</f>
        <v/>
      </c>
      <c r="D80" s="7" t="str">
        <f>IF($I80&gt;0,VLOOKUP(I80,'Lista de Precios'!$A$3:$H$2883,3,0),"")</f>
        <v/>
      </c>
      <c r="E80" s="76" t="str">
        <f>IF($I80&gt;0,VLOOKUP(I80,'Lista de Precios'!$A$3:$H$2883,6,0),"")</f>
        <v/>
      </c>
      <c r="F80" s="76" t="str">
        <f>IF($I80&gt;0,VLOOKUP(I80,'Lista de Precios'!$A$3:$H$2883,8,0),"")</f>
        <v/>
      </c>
      <c r="G80" s="101" t="str">
        <f t="shared" si="2"/>
        <v/>
      </c>
      <c r="H80" s="20" t="s">
        <v>3</v>
      </c>
      <c r="I80" s="18"/>
      <c r="J80" s="28" t="str">
        <f t="shared" si="8"/>
        <v/>
      </c>
      <c r="K80" s="24">
        <f>+IF($I80&gt;0,VLOOKUP($I80,'Lista de Precios'!$A$3:$H$2883,5,0),0)</f>
        <v>0</v>
      </c>
      <c r="L80" s="36"/>
      <c r="M80" s="36"/>
      <c r="N80" s="36"/>
      <c r="O80" s="37"/>
      <c r="P80" s="38"/>
      <c r="Q80" s="45"/>
      <c r="R80" s="43"/>
      <c r="S80" s="43"/>
      <c r="T80" s="43"/>
      <c r="U80" s="43"/>
      <c r="V80" s="43"/>
      <c r="W80" s="43"/>
      <c r="X80" s="43"/>
      <c r="Y80" s="37"/>
      <c r="Z80" s="40"/>
      <c r="AA80" s="41"/>
      <c r="AB80" s="37"/>
      <c r="AC80" s="43"/>
      <c r="AD80" s="43"/>
      <c r="AE80" s="43"/>
      <c r="AF80" s="43"/>
      <c r="AG80" s="43"/>
      <c r="AH80" s="42"/>
      <c r="AI80" s="42"/>
      <c r="AJ80" s="42"/>
      <c r="AK80" s="42"/>
      <c r="AL80" s="43"/>
      <c r="AM80" s="73">
        <f t="shared" si="15"/>
        <v>0</v>
      </c>
      <c r="AN80" s="71" t="str">
        <f>+IF($I80&gt;0,VLOOKUP($I80,'Lista de Precios'!$A$3:$H$2883,4,0),"")</f>
        <v/>
      </c>
      <c r="AO80" s="68" t="str">
        <f t="shared" si="3"/>
        <v/>
      </c>
      <c r="AP80" s="7" t="str">
        <f>IF($I80&gt;0,VLOOKUP($I80,'Lista de Precios'!$A$3:$K$2883,10,0),"")</f>
        <v/>
      </c>
      <c r="AQ80" s="7" t="str">
        <f>IF($I80&gt;0,VLOOKUP($I80,'Lista de Precios'!$A$3:$M$4893,13,0),"")</f>
        <v/>
      </c>
      <c r="AR80" s="7" t="str">
        <f>IF($I80&gt;0,VLOOKUP(I80,'Lista de Precios'!$A$3:$M$2883,13,0),"")</f>
        <v/>
      </c>
      <c r="HR80" s="134"/>
      <c r="HS80" s="134"/>
      <c r="HT80" s="134"/>
      <c r="HU80" s="134"/>
      <c r="HV80" s="134"/>
      <c r="HW80" s="134"/>
      <c r="HX80" s="134"/>
      <c r="HY80" s="134"/>
      <c r="HZ80" s="134"/>
      <c r="IA80" s="134"/>
      <c r="IB80" s="134"/>
      <c r="IC80" s="134"/>
      <c r="IE80" s="134"/>
      <c r="IF80" s="134"/>
      <c r="IG80" s="134"/>
      <c r="IH80" s="134"/>
      <c r="II80" s="134"/>
      <c r="IJ80" s="134"/>
      <c r="IK80" s="134"/>
      <c r="IL80" s="134"/>
      <c r="IM80" s="134"/>
      <c r="IN80" s="135"/>
      <c r="IO80" s="135"/>
      <c r="IP80" s="135"/>
      <c r="XEP80" s="7" t="str">
        <f t="shared" si="4"/>
        <v/>
      </c>
      <c r="XEQ80" s="7" t="str">
        <f t="shared" si="5"/>
        <v/>
      </c>
      <c r="XER80" s="7" t="str">
        <f t="shared" si="6"/>
        <v/>
      </c>
      <c r="XES80" s="7" t="str">
        <f t="shared" si="7"/>
        <v/>
      </c>
    </row>
    <row r="81" spans="1:250 16370:16373" ht="23.25" customHeight="1" x14ac:dyDescent="0.25">
      <c r="A81" s="74">
        <f>IF($I81&gt;0,VLOOKUP(I81,'Lista de Precios'!$A$3:$L$2883,9,0),0)</f>
        <v>0</v>
      </c>
      <c r="B81" s="74">
        <f>IF($I81&gt;0,VLOOKUP(I81,'Lista de Precios'!$A$3:$H$2883,7,0),0)</f>
        <v>0</v>
      </c>
      <c r="C81" s="7" t="str">
        <f>IF($I81&gt;0,VLOOKUP(I81,'Lista de Precios'!$A$3:$H$2883,2,0),"")</f>
        <v/>
      </c>
      <c r="D81" s="7" t="str">
        <f>IF($I81&gt;0,VLOOKUP(I81,'Lista de Precios'!$A$3:$H$2883,3,0),"")</f>
        <v/>
      </c>
      <c r="E81" s="76" t="str">
        <f>IF($I81&gt;0,VLOOKUP(I81,'Lista de Precios'!$A$3:$H$2883,6,0),"")</f>
        <v/>
      </c>
      <c r="F81" s="76" t="str">
        <f>IF($I81&gt;0,VLOOKUP(I81,'Lista de Precios'!$A$3:$H$2883,8,0),"")</f>
        <v/>
      </c>
      <c r="G81" s="101" t="str">
        <f t="shared" si="2"/>
        <v/>
      </c>
      <c r="H81" s="20" t="s">
        <v>3</v>
      </c>
      <c r="I81" s="18"/>
      <c r="J81" s="28" t="str">
        <f t="shared" si="8"/>
        <v/>
      </c>
      <c r="K81" s="24">
        <f>+IF($I81&gt;0,VLOOKUP($I81,'Lista de Precios'!$A$3:$H$2883,5,0),0)</f>
        <v>0</v>
      </c>
      <c r="L81" s="42"/>
      <c r="M81" s="42"/>
      <c r="N81" s="42"/>
      <c r="O81" s="43"/>
      <c r="P81" s="46"/>
      <c r="Q81" s="45"/>
      <c r="R81" s="43"/>
      <c r="S81" s="43"/>
      <c r="T81" s="43"/>
      <c r="U81" s="43"/>
      <c r="V81" s="43"/>
      <c r="W81" s="43"/>
      <c r="X81" s="43"/>
      <c r="Y81" s="37"/>
      <c r="Z81" s="40"/>
      <c r="AA81" s="41"/>
      <c r="AB81" s="37"/>
      <c r="AC81" s="43"/>
      <c r="AD81" s="43"/>
      <c r="AE81" s="43"/>
      <c r="AF81" s="43"/>
      <c r="AG81" s="43"/>
      <c r="AH81" s="42"/>
      <c r="AI81" s="42"/>
      <c r="AJ81" s="42"/>
      <c r="AK81" s="42"/>
      <c r="AL81" s="43"/>
      <c r="AM81" s="73">
        <f t="shared" ref="AM81:AM103" si="16">+IF(I81&gt;0,SUM(L81:AL81),0)</f>
        <v>0</v>
      </c>
      <c r="AN81" s="71" t="str">
        <f>+IF($I81&gt;0,VLOOKUP($I81,'Lista de Precios'!$A$3:$H$2883,4,0),"")</f>
        <v/>
      </c>
      <c r="AO81" s="68" t="str">
        <f t="shared" si="3"/>
        <v/>
      </c>
      <c r="AP81" s="7" t="str">
        <f>IF($I81&gt;0,VLOOKUP($I81,'Lista de Precios'!$A$3:$K$2883,10,0),"")</f>
        <v/>
      </c>
      <c r="AQ81" s="7" t="str">
        <f>IF($I81&gt;0,VLOOKUP($I81,'Lista de Precios'!$A$3:$M$4893,13,0),"")</f>
        <v/>
      </c>
      <c r="AR81" s="7" t="str">
        <f>IF($I81&gt;0,VLOOKUP(I81,'Lista de Precios'!$A$3:$M$2883,13,0),"")</f>
        <v/>
      </c>
      <c r="HR81" s="134"/>
      <c r="HS81" s="134"/>
      <c r="HT81" s="134"/>
      <c r="HU81" s="134"/>
      <c r="HV81" s="134"/>
      <c r="HW81" s="134"/>
      <c r="HX81" s="134"/>
      <c r="HY81" s="134"/>
      <c r="HZ81" s="134"/>
      <c r="IA81" s="134"/>
      <c r="IB81" s="134"/>
      <c r="IC81" s="134"/>
      <c r="IE81" s="134"/>
      <c r="IF81" s="134"/>
      <c r="IG81" s="134"/>
      <c r="IH81" s="134"/>
      <c r="II81" s="134"/>
      <c r="IJ81" s="134"/>
      <c r="IK81" s="134"/>
      <c r="IL81" s="134"/>
      <c r="IM81" s="134"/>
      <c r="IN81" s="135"/>
      <c r="IO81" s="135"/>
      <c r="IP81" s="135"/>
      <c r="XEP81" s="7" t="str">
        <f t="shared" si="4"/>
        <v/>
      </c>
      <c r="XEQ81" s="7" t="str">
        <f t="shared" si="5"/>
        <v/>
      </c>
      <c r="XER81" s="7" t="str">
        <f t="shared" si="6"/>
        <v/>
      </c>
      <c r="XES81" s="7" t="str">
        <f t="shared" si="7"/>
        <v/>
      </c>
    </row>
    <row r="82" spans="1:250 16370:16373" ht="23.25" customHeight="1" x14ac:dyDescent="0.25">
      <c r="A82" s="74">
        <f>IF($I82&gt;0,VLOOKUP(I82,'Lista de Precios'!$A$3:$L$2883,9,0),0)</f>
        <v>0</v>
      </c>
      <c r="B82" s="74">
        <f>IF($I82&gt;0,VLOOKUP(I82,'Lista de Precios'!$A$3:$H$2883,7,0),0)</f>
        <v>0</v>
      </c>
      <c r="C82" s="7" t="str">
        <f>IF($I82&gt;0,VLOOKUP(I82,'Lista de Precios'!$A$3:$H$2883,2,0),"")</f>
        <v/>
      </c>
      <c r="D82" s="7" t="str">
        <f>IF($I82&gt;0,VLOOKUP(I82,'Lista de Precios'!$A$3:$H$2883,3,0),"")</f>
        <v/>
      </c>
      <c r="E82" s="76" t="str">
        <f>IF($I82&gt;0,VLOOKUP(I82,'Lista de Precios'!$A$3:$H$2883,6,0),"")</f>
        <v/>
      </c>
      <c r="F82" s="76" t="str">
        <f>IF($I82&gt;0,VLOOKUP(I82,'Lista de Precios'!$A$3:$H$2883,8,0),"")</f>
        <v/>
      </c>
      <c r="G82" s="101" t="str">
        <f t="shared" ref="G82:G103" si="17">IF(AN82="","",AN82*1.87)</f>
        <v/>
      </c>
      <c r="H82" s="20" t="s">
        <v>3</v>
      </c>
      <c r="I82" s="18"/>
      <c r="J82" s="28" t="str">
        <f t="shared" si="8"/>
        <v/>
      </c>
      <c r="K82" s="24">
        <f>+IF($I82&gt;0,VLOOKUP($I82,'Lista de Precios'!$A$3:$H$2883,5,0),0)</f>
        <v>0</v>
      </c>
      <c r="L82" s="43"/>
      <c r="M82" s="43"/>
      <c r="N82" s="43"/>
      <c r="O82" s="43"/>
      <c r="P82" s="44"/>
      <c r="Q82" s="45"/>
      <c r="R82" s="43"/>
      <c r="S82" s="43"/>
      <c r="T82" s="43"/>
      <c r="U82" s="43"/>
      <c r="V82" s="43"/>
      <c r="W82" s="43"/>
      <c r="X82" s="43"/>
      <c r="Y82" s="37"/>
      <c r="Z82" s="40"/>
      <c r="AA82" s="41"/>
      <c r="AB82" s="37"/>
      <c r="AC82" s="43"/>
      <c r="AD82" s="43"/>
      <c r="AE82" s="43"/>
      <c r="AF82" s="43"/>
      <c r="AG82" s="43"/>
      <c r="AH82" s="42"/>
      <c r="AI82" s="42"/>
      <c r="AJ82" s="42"/>
      <c r="AK82" s="42"/>
      <c r="AL82" s="43"/>
      <c r="AM82" s="73">
        <f t="shared" si="16"/>
        <v>0</v>
      </c>
      <c r="AN82" s="71" t="str">
        <f>+IF($I82&gt;0,VLOOKUP($I82,'Lista de Precios'!$A$3:$H$2883,4,0),"")</f>
        <v/>
      </c>
      <c r="AO82" s="68" t="str">
        <f t="shared" ref="AO82:AO103" si="18">+IF(AM82&gt;0,AN82*AM82,"")</f>
        <v/>
      </c>
      <c r="AP82" s="7" t="str">
        <f>IF($I82&gt;0,VLOOKUP($I82,'Lista de Precios'!$A$3:$K$2883,10,0),"")</f>
        <v/>
      </c>
      <c r="AQ82" s="7" t="str">
        <f>IF($I82&gt;0,VLOOKUP($I82,'Lista de Precios'!$A$3:$M$4893,13,0),"")</f>
        <v/>
      </c>
      <c r="AR82" s="7" t="str">
        <f>IF($I82&gt;0,VLOOKUP(I82,'Lista de Precios'!$A$3:$M$2883,13,0),"")</f>
        <v/>
      </c>
      <c r="HR82" s="134"/>
      <c r="HS82" s="134"/>
      <c r="HT82" s="134"/>
      <c r="HU82" s="134"/>
      <c r="HV82" s="134"/>
      <c r="HW82" s="134"/>
      <c r="HX82" s="134"/>
      <c r="HY82" s="134"/>
      <c r="HZ82" s="134"/>
      <c r="IA82" s="134"/>
      <c r="IB82" s="134"/>
      <c r="IC82" s="134"/>
      <c r="IE82" s="134"/>
      <c r="IF82" s="134"/>
      <c r="IG82" s="134"/>
      <c r="IH82" s="134"/>
      <c r="II82" s="134"/>
      <c r="IJ82" s="134"/>
      <c r="IK82" s="134"/>
      <c r="IL82" s="134"/>
      <c r="IM82" s="134"/>
      <c r="IN82" s="135"/>
      <c r="IO82" s="135"/>
      <c r="IP82" s="135"/>
      <c r="XEP82" s="7" t="str">
        <f t="shared" ref="XEP82:XEP96" si="19">+IF($AQ82=$XEP$13,$AM82,"")</f>
        <v/>
      </c>
      <c r="XEQ82" s="7" t="str">
        <f t="shared" ref="XEQ82:XEQ96" si="20">+IF($AQ82=$XEQ$13,$AM82,"")</f>
        <v/>
      </c>
      <c r="XER82" s="7" t="str">
        <f t="shared" ref="XER82:XER96" si="21">+IF($AQ82=$XER$13,$AM82,"")</f>
        <v/>
      </c>
      <c r="XES82" s="7" t="str">
        <f t="shared" ref="XES82:XES96" si="22">+IF($AQ82=$XES$13,$AM82,"")</f>
        <v/>
      </c>
    </row>
    <row r="83" spans="1:250 16370:16373" ht="23.25" customHeight="1" x14ac:dyDescent="0.25">
      <c r="A83" s="74">
        <f>IF($I83&gt;0,VLOOKUP(I83,'Lista de Precios'!$A$3:$L$2883,9,0),0)</f>
        <v>0</v>
      </c>
      <c r="B83" s="74">
        <f>IF($I83&gt;0,VLOOKUP(I83,'Lista de Precios'!$A$3:$H$2883,7,0),0)</f>
        <v>0</v>
      </c>
      <c r="C83" s="7" t="str">
        <f>IF($I83&gt;0,VLOOKUP(I83,'Lista de Precios'!$A$3:$H$2883,2,0),"")</f>
        <v/>
      </c>
      <c r="D83" s="7" t="str">
        <f>IF($I83&gt;0,VLOOKUP(I83,'Lista de Precios'!$A$3:$H$2883,3,0),"")</f>
        <v/>
      </c>
      <c r="E83" s="76" t="str">
        <f>IF($I83&gt;0,VLOOKUP(I83,'Lista de Precios'!$A$3:$H$2883,6,0),"")</f>
        <v/>
      </c>
      <c r="F83" s="76" t="str">
        <f>IF($I83&gt;0,VLOOKUP(I83,'Lista de Precios'!$A$3:$H$2883,8,0),"")</f>
        <v/>
      </c>
      <c r="G83" s="101" t="str">
        <f t="shared" si="17"/>
        <v/>
      </c>
      <c r="H83" s="20" t="s">
        <v>3</v>
      </c>
      <c r="I83" s="18"/>
      <c r="J83" s="28" t="str">
        <f t="shared" ref="J83:J103" si="23">+E83</f>
        <v/>
      </c>
      <c r="K83" s="24">
        <f>+IF($I83&gt;0,VLOOKUP($I83,'Lista de Precios'!$A$3:$H$2883,5,0),0)</f>
        <v>0</v>
      </c>
      <c r="L83" s="43"/>
      <c r="M83" s="43"/>
      <c r="N83" s="43"/>
      <c r="O83" s="37"/>
      <c r="P83" s="44"/>
      <c r="Q83" s="39"/>
      <c r="R83" s="37"/>
      <c r="S83" s="37"/>
      <c r="T83" s="37"/>
      <c r="U83" s="37"/>
      <c r="V83" s="37"/>
      <c r="W83" s="37"/>
      <c r="X83" s="37"/>
      <c r="Y83" s="37"/>
      <c r="Z83" s="40"/>
      <c r="AA83" s="41"/>
      <c r="AB83" s="37"/>
      <c r="AC83" s="43"/>
      <c r="AD83" s="43"/>
      <c r="AE83" s="43"/>
      <c r="AF83" s="43"/>
      <c r="AG83" s="43"/>
      <c r="AH83" s="42"/>
      <c r="AI83" s="42"/>
      <c r="AJ83" s="42"/>
      <c r="AK83" s="42"/>
      <c r="AL83" s="43"/>
      <c r="AM83" s="73">
        <f t="shared" si="16"/>
        <v>0</v>
      </c>
      <c r="AN83" s="71" t="str">
        <f>+IF($I83&gt;0,VLOOKUP($I83,'Lista de Precios'!$A$3:$H$2883,4,0),"")</f>
        <v/>
      </c>
      <c r="AO83" s="68" t="str">
        <f t="shared" si="18"/>
        <v/>
      </c>
      <c r="AP83" s="7" t="str">
        <f>IF($I83&gt;0,VLOOKUP($I83,'Lista de Precios'!$A$3:$K$2883,10,0),"")</f>
        <v/>
      </c>
      <c r="AQ83" s="7" t="str">
        <f>IF($I83&gt;0,VLOOKUP($I83,'Lista de Precios'!$A$3:$M$4893,13,0),"")</f>
        <v/>
      </c>
      <c r="AR83" s="7" t="str">
        <f>IF($I83&gt;0,VLOOKUP(I83,'Lista de Precios'!$A$3:$M$2883,13,0),"")</f>
        <v/>
      </c>
      <c r="HR83" s="134"/>
      <c r="HS83" s="134"/>
      <c r="HT83" s="134"/>
      <c r="HU83" s="134"/>
      <c r="HV83" s="134"/>
      <c r="HW83" s="134"/>
      <c r="HX83" s="134"/>
      <c r="HY83" s="134"/>
      <c r="HZ83" s="134"/>
      <c r="IA83" s="134"/>
      <c r="IB83" s="134"/>
      <c r="IC83" s="134"/>
      <c r="IE83" s="134"/>
      <c r="IF83" s="134"/>
      <c r="IG83" s="134"/>
      <c r="IH83" s="134"/>
      <c r="II83" s="134"/>
      <c r="IJ83" s="134"/>
      <c r="IK83" s="134"/>
      <c r="IL83" s="134"/>
      <c r="IM83" s="134"/>
      <c r="IN83" s="135"/>
      <c r="IO83" s="135"/>
      <c r="IP83" s="135"/>
      <c r="XEP83" s="7" t="str">
        <f t="shared" si="19"/>
        <v/>
      </c>
      <c r="XEQ83" s="7" t="str">
        <f t="shared" si="20"/>
        <v/>
      </c>
      <c r="XER83" s="7" t="str">
        <f t="shared" si="21"/>
        <v/>
      </c>
      <c r="XES83" s="7" t="str">
        <f t="shared" si="22"/>
        <v/>
      </c>
    </row>
    <row r="84" spans="1:250 16370:16373" ht="23.25" customHeight="1" x14ac:dyDescent="0.25">
      <c r="A84" s="74">
        <f>IF($I84&gt;0,VLOOKUP(I84,'Lista de Precios'!$A$3:$L$2883,9,0),0)</f>
        <v>0</v>
      </c>
      <c r="B84" s="74">
        <f>IF($I84&gt;0,VLOOKUP(I84,'Lista de Precios'!$A$3:$H$2883,7,0),0)</f>
        <v>0</v>
      </c>
      <c r="C84" s="7" t="str">
        <f>IF($I84&gt;0,VLOOKUP(I84,'Lista de Precios'!$A$3:$H$2883,2,0),"")</f>
        <v/>
      </c>
      <c r="D84" s="7" t="str">
        <f>IF($I84&gt;0,VLOOKUP(I84,'Lista de Precios'!$A$3:$H$2883,3,0),"")</f>
        <v/>
      </c>
      <c r="E84" s="76" t="str">
        <f>IF($I84&gt;0,VLOOKUP(I84,'Lista de Precios'!$A$3:$H$2883,6,0),"")</f>
        <v/>
      </c>
      <c r="F84" s="76" t="str">
        <f>IF($I84&gt;0,VLOOKUP(I84,'Lista de Precios'!$A$3:$H$2883,8,0),"")</f>
        <v/>
      </c>
      <c r="G84" s="101" t="str">
        <f t="shared" si="17"/>
        <v/>
      </c>
      <c r="H84" s="20" t="s">
        <v>3</v>
      </c>
      <c r="I84" s="18"/>
      <c r="J84" s="28" t="str">
        <f t="shared" si="23"/>
        <v/>
      </c>
      <c r="K84" s="24">
        <f>+IF($I84&gt;0,VLOOKUP($I84,'Lista de Precios'!$A$3:$H$2883,5,0),0)</f>
        <v>0</v>
      </c>
      <c r="L84" s="43"/>
      <c r="M84" s="43"/>
      <c r="N84" s="43"/>
      <c r="O84" s="43"/>
      <c r="P84" s="44"/>
      <c r="Q84" s="45"/>
      <c r="R84" s="43"/>
      <c r="S84" s="43"/>
      <c r="T84" s="43"/>
      <c r="U84" s="43"/>
      <c r="V84" s="43"/>
      <c r="W84" s="43"/>
      <c r="X84" s="43"/>
      <c r="Y84" s="37"/>
      <c r="Z84" s="40"/>
      <c r="AA84" s="41"/>
      <c r="AB84" s="37"/>
      <c r="AC84" s="37"/>
      <c r="AD84" s="37"/>
      <c r="AE84" s="37"/>
      <c r="AF84" s="37"/>
      <c r="AG84" s="43"/>
      <c r="AH84" s="42"/>
      <c r="AI84" s="42"/>
      <c r="AJ84" s="49"/>
      <c r="AK84" s="49"/>
      <c r="AL84" s="49"/>
      <c r="AM84" s="73">
        <f t="shared" si="16"/>
        <v>0</v>
      </c>
      <c r="AN84" s="71" t="str">
        <f>+IF($I84&gt;0,VLOOKUP($I84,'Lista de Precios'!$A$3:$H$2883,4,0),"")</f>
        <v/>
      </c>
      <c r="AO84" s="68" t="str">
        <f t="shared" si="18"/>
        <v/>
      </c>
      <c r="AP84" s="7" t="str">
        <f>IF($I84&gt;0,VLOOKUP($I84,'Lista de Precios'!$A$3:$K$2883,10,0),"")</f>
        <v/>
      </c>
      <c r="AQ84" s="7" t="str">
        <f>IF($I84&gt;0,VLOOKUP($I84,'Lista de Precios'!$A$3:$M$4893,13,0),"")</f>
        <v/>
      </c>
      <c r="AR84" s="7" t="str">
        <f>IF($I84&gt;0,VLOOKUP(I84,'Lista de Precios'!$A$3:$M$2883,13,0),"")</f>
        <v/>
      </c>
      <c r="HR84" s="134"/>
      <c r="HS84" s="134"/>
      <c r="HT84" s="134"/>
      <c r="HU84" s="134"/>
      <c r="HV84" s="134"/>
      <c r="HW84" s="134"/>
      <c r="HX84" s="134"/>
      <c r="HY84" s="134"/>
      <c r="HZ84" s="134"/>
      <c r="IA84" s="134"/>
      <c r="IB84" s="134"/>
      <c r="IC84" s="134"/>
      <c r="IE84" s="134"/>
      <c r="IF84" s="134"/>
      <c r="IG84" s="134"/>
      <c r="IH84" s="134"/>
      <c r="II84" s="134"/>
      <c r="IJ84" s="134"/>
      <c r="IK84" s="134"/>
      <c r="IL84" s="134"/>
      <c r="IM84" s="134"/>
      <c r="IN84" s="135"/>
      <c r="IO84" s="135"/>
      <c r="IP84" s="135"/>
      <c r="XEP84" s="7" t="str">
        <f t="shared" si="19"/>
        <v/>
      </c>
      <c r="XEQ84" s="7" t="str">
        <f t="shared" si="20"/>
        <v/>
      </c>
      <c r="XER84" s="7" t="str">
        <f t="shared" si="21"/>
        <v/>
      </c>
      <c r="XES84" s="7" t="str">
        <f t="shared" si="22"/>
        <v/>
      </c>
    </row>
    <row r="85" spans="1:250 16370:16373" ht="23.25" customHeight="1" x14ac:dyDescent="0.25">
      <c r="A85" s="74">
        <f>IF($I85&gt;0,VLOOKUP(I85,'Lista de Precios'!$A$3:$L$2883,9,0),0)</f>
        <v>0</v>
      </c>
      <c r="B85" s="74">
        <f>IF($I85&gt;0,VLOOKUP(I85,'Lista de Precios'!$A$3:$H$2883,7,0),0)</f>
        <v>0</v>
      </c>
      <c r="C85" s="7" t="str">
        <f>IF($I85&gt;0,VLOOKUP(I85,'Lista de Precios'!$A$3:$H$2883,2,0),"")</f>
        <v/>
      </c>
      <c r="D85" s="7" t="str">
        <f>IF($I85&gt;0,VLOOKUP(I85,'Lista de Precios'!$A$3:$H$2883,3,0),"")</f>
        <v/>
      </c>
      <c r="E85" s="76" t="str">
        <f>IF($I85&gt;0,VLOOKUP(I85,'Lista de Precios'!$A$3:$H$2883,6,0),"")</f>
        <v/>
      </c>
      <c r="F85" s="76" t="str">
        <f>IF($I85&gt;0,VLOOKUP(I85,'Lista de Precios'!$A$3:$H$2883,8,0),"")</f>
        <v/>
      </c>
      <c r="G85" s="101" t="str">
        <f t="shared" si="17"/>
        <v/>
      </c>
      <c r="H85" s="20" t="s">
        <v>3</v>
      </c>
      <c r="I85" s="18"/>
      <c r="J85" s="28" t="str">
        <f t="shared" si="23"/>
        <v/>
      </c>
      <c r="K85" s="24">
        <f>+IF($I85&gt;0,VLOOKUP($I85,'Lista de Precios'!$A$3:$H$2883,5,0),0)</f>
        <v>0</v>
      </c>
      <c r="L85" s="48"/>
      <c r="M85" s="48"/>
      <c r="N85" s="48"/>
      <c r="O85" s="48"/>
      <c r="P85" s="47"/>
      <c r="Q85" s="50"/>
      <c r="R85" s="43"/>
      <c r="S85" s="43"/>
      <c r="T85" s="43"/>
      <c r="U85" s="43"/>
      <c r="V85" s="43"/>
      <c r="W85" s="43"/>
      <c r="X85" s="43"/>
      <c r="Y85" s="37"/>
      <c r="Z85" s="40"/>
      <c r="AA85" s="41"/>
      <c r="AB85" s="37"/>
      <c r="AC85" s="37"/>
      <c r="AD85" s="37"/>
      <c r="AE85" s="37"/>
      <c r="AF85" s="37"/>
      <c r="AG85" s="43"/>
      <c r="AH85" s="42"/>
      <c r="AI85" s="42"/>
      <c r="AJ85" s="49"/>
      <c r="AK85" s="49"/>
      <c r="AL85" s="48"/>
      <c r="AM85" s="73">
        <f t="shared" si="16"/>
        <v>0</v>
      </c>
      <c r="AN85" s="71" t="str">
        <f>+IF($I85&gt;0,VLOOKUP($I85,'Lista de Precios'!$A$3:$H$2883,4,0),"")</f>
        <v/>
      </c>
      <c r="AO85" s="68" t="str">
        <f t="shared" si="18"/>
        <v/>
      </c>
      <c r="AP85" s="7" t="str">
        <f>IF($I85&gt;0,VLOOKUP($I85,'Lista de Precios'!$A$3:$K$2883,10,0),"")</f>
        <v/>
      </c>
      <c r="AQ85" s="7" t="str">
        <f>IF($I85&gt;0,VLOOKUP($I85,'Lista de Precios'!$A$3:$M$4893,13,0),"")</f>
        <v/>
      </c>
      <c r="AR85" s="7" t="str">
        <f>IF($I85&gt;0,VLOOKUP(I85,'Lista de Precios'!$A$3:$M$2883,13,0),"")</f>
        <v/>
      </c>
      <c r="HR85" s="134"/>
      <c r="HS85" s="134"/>
      <c r="HT85" s="134"/>
      <c r="HU85" s="134"/>
      <c r="HV85" s="134"/>
      <c r="HW85" s="134"/>
      <c r="HX85" s="134"/>
      <c r="HY85" s="134"/>
      <c r="HZ85" s="134"/>
      <c r="IA85" s="134"/>
      <c r="IB85" s="134"/>
      <c r="IC85" s="134"/>
      <c r="IE85" s="134"/>
      <c r="IF85" s="134"/>
      <c r="IG85" s="134"/>
      <c r="IH85" s="134"/>
      <c r="II85" s="134"/>
      <c r="IJ85" s="134"/>
      <c r="IK85" s="134"/>
      <c r="IL85" s="134"/>
      <c r="IM85" s="134"/>
      <c r="IN85" s="135"/>
      <c r="IO85" s="135"/>
      <c r="IP85" s="135"/>
      <c r="XEP85" s="7" t="str">
        <f t="shared" si="19"/>
        <v/>
      </c>
      <c r="XEQ85" s="7" t="str">
        <f t="shared" si="20"/>
        <v/>
      </c>
      <c r="XER85" s="7" t="str">
        <f t="shared" si="21"/>
        <v/>
      </c>
      <c r="XES85" s="7" t="str">
        <f t="shared" si="22"/>
        <v/>
      </c>
    </row>
    <row r="86" spans="1:250 16370:16373" ht="23.25" customHeight="1" x14ac:dyDescent="0.25">
      <c r="A86" s="74">
        <f>IF($I86&gt;0,VLOOKUP(I86,'Lista de Precios'!$A$3:$L$2883,9,0),0)</f>
        <v>0</v>
      </c>
      <c r="B86" s="74">
        <f>IF($I86&gt;0,VLOOKUP(I86,'Lista de Precios'!$A$3:$H$2883,7,0),0)</f>
        <v>0</v>
      </c>
      <c r="C86" s="7" t="str">
        <f>IF($I86&gt;0,VLOOKUP(I86,'Lista de Precios'!$A$3:$H$2883,2,0),"")</f>
        <v/>
      </c>
      <c r="D86" s="7" t="str">
        <f>IF($I86&gt;0,VLOOKUP(I86,'Lista de Precios'!$A$3:$H$2883,3,0),"")</f>
        <v/>
      </c>
      <c r="E86" s="76" t="str">
        <f>IF($I86&gt;0,VLOOKUP(I86,'Lista de Precios'!$A$3:$H$2883,6,0),"")</f>
        <v/>
      </c>
      <c r="F86" s="76" t="str">
        <f>IF($I86&gt;0,VLOOKUP(I86,'Lista de Precios'!$A$3:$H$2883,8,0),"")</f>
        <v/>
      </c>
      <c r="G86" s="101" t="str">
        <f t="shared" si="17"/>
        <v/>
      </c>
      <c r="H86" s="20" t="s">
        <v>3</v>
      </c>
      <c r="I86" s="18"/>
      <c r="J86" s="28" t="str">
        <f t="shared" si="23"/>
        <v/>
      </c>
      <c r="K86" s="24">
        <f>+IF($I86&gt;0,VLOOKUP($I86,'Lista de Precios'!$A$3:$H$2883,5,0),0)</f>
        <v>0</v>
      </c>
      <c r="L86" s="51"/>
      <c r="M86" s="51"/>
      <c r="N86" s="51"/>
      <c r="O86" s="48"/>
      <c r="P86" s="52"/>
      <c r="Q86" s="50"/>
      <c r="R86" s="43"/>
      <c r="S86" s="43"/>
      <c r="T86" s="43"/>
      <c r="U86" s="43"/>
      <c r="V86" s="43"/>
      <c r="W86" s="43"/>
      <c r="X86" s="43"/>
      <c r="Y86" s="43"/>
      <c r="Z86" s="44"/>
      <c r="AA86" s="53"/>
      <c r="AB86" s="48"/>
      <c r="AC86" s="48"/>
      <c r="AD86" s="48"/>
      <c r="AE86" s="48"/>
      <c r="AF86" s="48"/>
      <c r="AG86" s="54"/>
      <c r="AH86" s="54"/>
      <c r="AI86" s="54"/>
      <c r="AJ86" s="54"/>
      <c r="AK86" s="54"/>
      <c r="AL86" s="54"/>
      <c r="AM86" s="73">
        <f t="shared" si="16"/>
        <v>0</v>
      </c>
      <c r="AN86" s="71" t="str">
        <f>+IF($I86&gt;0,VLOOKUP($I86,'Lista de Precios'!$A$3:$H$2883,4,0),"")</f>
        <v/>
      </c>
      <c r="AO86" s="68" t="str">
        <f t="shared" si="18"/>
        <v/>
      </c>
      <c r="AP86" s="7" t="str">
        <f>IF($I86&gt;0,VLOOKUP($I86,'Lista de Precios'!$A$3:$K$2883,10,0),"")</f>
        <v/>
      </c>
      <c r="AQ86" s="7" t="str">
        <f>IF($I86&gt;0,VLOOKUP($I86,'Lista de Precios'!$A$3:$M$4893,13,0),"")</f>
        <v/>
      </c>
      <c r="AR86" s="7" t="str">
        <f>IF($I86&gt;0,VLOOKUP(I86,'Lista de Precios'!$A$3:$M$2883,13,0),"")</f>
        <v/>
      </c>
      <c r="HR86" s="134"/>
      <c r="HS86" s="134"/>
      <c r="HT86" s="134"/>
      <c r="HU86" s="134"/>
      <c r="HV86" s="134"/>
      <c r="HW86" s="134"/>
      <c r="HX86" s="134"/>
      <c r="HY86" s="134"/>
      <c r="HZ86" s="134"/>
      <c r="IA86" s="134"/>
      <c r="IB86" s="134"/>
      <c r="IC86" s="134"/>
      <c r="IE86" s="134"/>
      <c r="IF86" s="134"/>
      <c r="IG86" s="134"/>
      <c r="IH86" s="134"/>
      <c r="II86" s="134"/>
      <c r="IJ86" s="134"/>
      <c r="IK86" s="134"/>
      <c r="IL86" s="134"/>
      <c r="IM86" s="134"/>
      <c r="IN86" s="135"/>
      <c r="IO86" s="135"/>
      <c r="IP86" s="135"/>
      <c r="XEP86" s="7" t="str">
        <f t="shared" si="19"/>
        <v/>
      </c>
      <c r="XEQ86" s="7" t="str">
        <f t="shared" si="20"/>
        <v/>
      </c>
      <c r="XER86" s="7" t="str">
        <f t="shared" si="21"/>
        <v/>
      </c>
      <c r="XES86" s="7" t="str">
        <f t="shared" si="22"/>
        <v/>
      </c>
    </row>
    <row r="87" spans="1:250 16370:16373" ht="23.25" customHeight="1" x14ac:dyDescent="0.25">
      <c r="A87" s="74">
        <f>IF($I87&gt;0,VLOOKUP(I87,'Lista de Precios'!$A$3:$L$2883,9,0),0)</f>
        <v>0</v>
      </c>
      <c r="B87" s="74">
        <f>IF($I87&gt;0,VLOOKUP(I87,'Lista de Precios'!$A$3:$H$2883,7,0),0)</f>
        <v>0</v>
      </c>
      <c r="C87" s="7" t="str">
        <f>IF($I87&gt;0,VLOOKUP(I87,'Lista de Precios'!$A$3:$H$2883,2,0),"")</f>
        <v/>
      </c>
      <c r="D87" s="7" t="str">
        <f>IF($I87&gt;0,VLOOKUP(I87,'Lista de Precios'!$A$3:$H$2883,3,0),"")</f>
        <v/>
      </c>
      <c r="E87" s="76" t="str">
        <f>IF($I87&gt;0,VLOOKUP(I87,'Lista de Precios'!$A$3:$H$2883,6,0),"")</f>
        <v/>
      </c>
      <c r="F87" s="76" t="str">
        <f>IF($I87&gt;0,VLOOKUP(I87,'Lista de Precios'!$A$3:$H$2883,8,0),"")</f>
        <v/>
      </c>
      <c r="G87" s="101" t="str">
        <f t="shared" si="17"/>
        <v/>
      </c>
      <c r="H87" s="20" t="s">
        <v>3</v>
      </c>
      <c r="I87" s="18"/>
      <c r="J87" s="28" t="str">
        <f t="shared" si="23"/>
        <v/>
      </c>
      <c r="K87" s="24">
        <f>+IF($I87&gt;0,VLOOKUP($I87,'Lista de Precios'!$A$3:$H$2883,5,0),0)</f>
        <v>0</v>
      </c>
      <c r="L87" s="54"/>
      <c r="M87" s="54"/>
      <c r="N87" s="54"/>
      <c r="O87" s="48"/>
      <c r="P87" s="55"/>
      <c r="Q87" s="50"/>
      <c r="R87" s="43"/>
      <c r="S87" s="43"/>
      <c r="T87" s="43"/>
      <c r="U87" s="43"/>
      <c r="V87" s="43"/>
      <c r="W87" s="43"/>
      <c r="X87" s="43"/>
      <c r="Y87" s="43"/>
      <c r="Z87" s="44"/>
      <c r="AA87" s="53"/>
      <c r="AB87" s="48"/>
      <c r="AC87" s="48"/>
      <c r="AD87" s="48"/>
      <c r="AE87" s="48"/>
      <c r="AF87" s="48"/>
      <c r="AG87" s="54"/>
      <c r="AH87" s="54"/>
      <c r="AI87" s="54"/>
      <c r="AJ87" s="54"/>
      <c r="AK87" s="54"/>
      <c r="AL87" s="54"/>
      <c r="AM87" s="73">
        <f t="shared" si="16"/>
        <v>0</v>
      </c>
      <c r="AN87" s="71" t="str">
        <f>+IF($I87&gt;0,VLOOKUP($I87,'Lista de Precios'!$A$3:$H$2883,4,0),"")</f>
        <v/>
      </c>
      <c r="AO87" s="68" t="str">
        <f t="shared" si="18"/>
        <v/>
      </c>
      <c r="AP87" s="7" t="str">
        <f>IF($I87&gt;0,VLOOKUP($I87,'Lista de Precios'!$A$3:$K$2883,10,0),"")</f>
        <v/>
      </c>
      <c r="AQ87" s="7" t="str">
        <f>IF($I87&gt;0,VLOOKUP($I87,'Lista de Precios'!$A$3:$M$4893,13,0),"")</f>
        <v/>
      </c>
      <c r="AR87" s="7" t="str">
        <f>IF($I87&gt;0,VLOOKUP(I87,'Lista de Precios'!$A$3:$M$2883,13,0),"")</f>
        <v/>
      </c>
      <c r="HR87" s="134"/>
      <c r="HS87" s="134"/>
      <c r="HT87" s="134"/>
      <c r="HU87" s="134"/>
      <c r="HV87" s="134"/>
      <c r="HW87" s="134"/>
      <c r="HX87" s="134"/>
      <c r="HY87" s="134"/>
      <c r="HZ87" s="134"/>
      <c r="IA87" s="134"/>
      <c r="IB87" s="134"/>
      <c r="IC87" s="134"/>
      <c r="IE87" s="134"/>
      <c r="IF87" s="134"/>
      <c r="IG87" s="134"/>
      <c r="IH87" s="134"/>
      <c r="II87" s="134"/>
      <c r="IJ87" s="134"/>
      <c r="IK87" s="134"/>
      <c r="IL87" s="134"/>
      <c r="IM87" s="134"/>
      <c r="IN87" s="135"/>
      <c r="IO87" s="135"/>
      <c r="IP87" s="135"/>
      <c r="XEP87" s="7" t="str">
        <f t="shared" si="19"/>
        <v/>
      </c>
      <c r="XEQ87" s="7" t="str">
        <f t="shared" si="20"/>
        <v/>
      </c>
      <c r="XER87" s="7" t="str">
        <f t="shared" si="21"/>
        <v/>
      </c>
      <c r="XES87" s="7" t="str">
        <f t="shared" si="22"/>
        <v/>
      </c>
    </row>
    <row r="88" spans="1:250 16370:16373" ht="23.25" customHeight="1" x14ac:dyDescent="0.25">
      <c r="A88" s="74">
        <f>IF($I88&gt;0,VLOOKUP(I88,'Lista de Precios'!$A$3:$L$2883,9,0),0)</f>
        <v>0</v>
      </c>
      <c r="B88" s="74">
        <f>IF($I88&gt;0,VLOOKUP(I88,'Lista de Precios'!$A$3:$H$2883,7,0),0)</f>
        <v>0</v>
      </c>
      <c r="C88" s="7" t="str">
        <f>IF($I88&gt;0,VLOOKUP(I88,'Lista de Precios'!$A$3:$H$2883,2,0),"")</f>
        <v/>
      </c>
      <c r="D88" s="7" t="str">
        <f>IF($I88&gt;0,VLOOKUP(I88,'Lista de Precios'!$A$3:$H$2883,3,0),"")</f>
        <v/>
      </c>
      <c r="E88" s="76" t="str">
        <f>IF($I88&gt;0,VLOOKUP(I88,'Lista de Precios'!$A$3:$H$2883,6,0),"")</f>
        <v/>
      </c>
      <c r="F88" s="76" t="str">
        <f>IF($I88&gt;0,VLOOKUP(I88,'Lista de Precios'!$A$3:$H$2883,8,0),"")</f>
        <v/>
      </c>
      <c r="G88" s="101" t="str">
        <f t="shared" si="17"/>
        <v/>
      </c>
      <c r="H88" s="20" t="s">
        <v>3</v>
      </c>
      <c r="I88" s="18"/>
      <c r="J88" s="28" t="str">
        <f t="shared" si="23"/>
        <v/>
      </c>
      <c r="K88" s="24">
        <f>+IF($I88&gt;0,VLOOKUP($I88,'Lista de Precios'!$A$3:$H$2883,5,0),0)</f>
        <v>0</v>
      </c>
      <c r="L88" s="43"/>
      <c r="M88" s="43"/>
      <c r="N88" s="43"/>
      <c r="O88" s="48"/>
      <c r="P88" s="44"/>
      <c r="Q88" s="50"/>
      <c r="R88" s="43"/>
      <c r="S88" s="43"/>
      <c r="T88" s="43"/>
      <c r="U88" s="43"/>
      <c r="V88" s="43"/>
      <c r="W88" s="43"/>
      <c r="X88" s="43"/>
      <c r="Y88" s="43"/>
      <c r="Z88" s="44"/>
      <c r="AA88" s="53"/>
      <c r="AB88" s="48"/>
      <c r="AC88" s="48"/>
      <c r="AD88" s="48"/>
      <c r="AE88" s="49"/>
      <c r="AF88" s="48"/>
      <c r="AG88" s="43"/>
      <c r="AH88" s="42"/>
      <c r="AI88" s="42"/>
      <c r="AJ88" s="42"/>
      <c r="AK88" s="42"/>
      <c r="AL88" s="42"/>
      <c r="AM88" s="73">
        <f t="shared" si="16"/>
        <v>0</v>
      </c>
      <c r="AN88" s="71" t="str">
        <f>+IF($I88&gt;0,VLOOKUP($I88,'Lista de Precios'!$A$3:$H$2883,4,0),"")</f>
        <v/>
      </c>
      <c r="AO88" s="68" t="str">
        <f t="shared" si="18"/>
        <v/>
      </c>
      <c r="AP88" s="7" t="str">
        <f>IF($I88&gt;0,VLOOKUP($I88,'Lista de Precios'!$A$3:$K$2883,10,0),"")</f>
        <v/>
      </c>
      <c r="AQ88" s="7" t="str">
        <f>IF($I88&gt;0,VLOOKUP($I88,'Lista de Precios'!$A$3:$M$4893,13,0),"")</f>
        <v/>
      </c>
      <c r="AR88" s="7" t="str">
        <f>IF($I88&gt;0,VLOOKUP(I88,'Lista de Precios'!$A$3:$M$2883,13,0),"")</f>
        <v/>
      </c>
      <c r="HR88" s="134"/>
      <c r="HS88" s="134"/>
      <c r="HT88" s="134"/>
      <c r="HU88" s="134"/>
      <c r="HV88" s="134"/>
      <c r="HW88" s="134"/>
      <c r="HX88" s="134"/>
      <c r="HY88" s="134"/>
      <c r="HZ88" s="134"/>
      <c r="IA88" s="134"/>
      <c r="IB88" s="134"/>
      <c r="IC88" s="134"/>
      <c r="IE88" s="134"/>
      <c r="IF88" s="134"/>
      <c r="IG88" s="134"/>
      <c r="IH88" s="134"/>
      <c r="II88" s="134"/>
      <c r="IJ88" s="134"/>
      <c r="IK88" s="134"/>
      <c r="IL88" s="134"/>
      <c r="IM88" s="134"/>
      <c r="IN88" s="135"/>
      <c r="IO88" s="135"/>
      <c r="IP88" s="135"/>
      <c r="XEP88" s="7" t="str">
        <f t="shared" si="19"/>
        <v/>
      </c>
      <c r="XEQ88" s="7" t="str">
        <f t="shared" si="20"/>
        <v/>
      </c>
      <c r="XER88" s="7" t="str">
        <f t="shared" si="21"/>
        <v/>
      </c>
      <c r="XES88" s="7" t="str">
        <f t="shared" si="22"/>
        <v/>
      </c>
    </row>
    <row r="89" spans="1:250 16370:16373" ht="23.25" customHeight="1" x14ac:dyDescent="0.25">
      <c r="A89" s="74">
        <f>IF($I89&gt;0,VLOOKUP(I89,'Lista de Precios'!$A$3:$L$2883,9,0),0)</f>
        <v>0</v>
      </c>
      <c r="B89" s="74">
        <f>IF($I89&gt;0,VLOOKUP(I89,'Lista de Precios'!$A$3:$H$2883,7,0),0)</f>
        <v>0</v>
      </c>
      <c r="C89" s="7" t="str">
        <f>IF($I89&gt;0,VLOOKUP(I89,'Lista de Precios'!$A$3:$H$2883,2,0),"")</f>
        <v/>
      </c>
      <c r="D89" s="7" t="str">
        <f>IF($I89&gt;0,VLOOKUP(I89,'Lista de Precios'!$A$3:$H$2883,3,0),"")</f>
        <v/>
      </c>
      <c r="E89" s="76" t="str">
        <f>IF($I89&gt;0,VLOOKUP(I89,'Lista de Precios'!$A$3:$H$2883,6,0),"")</f>
        <v/>
      </c>
      <c r="F89" s="76" t="str">
        <f>IF($I89&gt;0,VLOOKUP(I89,'Lista de Precios'!$A$3:$H$2883,8,0),"")</f>
        <v/>
      </c>
      <c r="G89" s="101" t="str">
        <f t="shared" si="17"/>
        <v/>
      </c>
      <c r="H89" s="20" t="s">
        <v>3</v>
      </c>
      <c r="I89" s="18"/>
      <c r="J89" s="28" t="str">
        <f t="shared" si="23"/>
        <v/>
      </c>
      <c r="K89" s="24">
        <f>+IF($I89&gt;0,VLOOKUP($I89,'Lista de Precios'!$A$3:$H$2883,5,0),0)</f>
        <v>0</v>
      </c>
      <c r="L89" s="54"/>
      <c r="M89" s="54"/>
      <c r="N89" s="54"/>
      <c r="O89" s="43"/>
      <c r="P89" s="55"/>
      <c r="Q89" s="45"/>
      <c r="R89" s="43"/>
      <c r="S89" s="43"/>
      <c r="T89" s="43"/>
      <c r="U89" s="43"/>
      <c r="V89" s="43"/>
      <c r="W89" s="43"/>
      <c r="X89" s="43"/>
      <c r="Y89" s="43"/>
      <c r="Z89" s="44"/>
      <c r="AA89" s="56"/>
      <c r="AB89" s="43"/>
      <c r="AC89" s="43"/>
      <c r="AD89" s="43"/>
      <c r="AE89" s="43"/>
      <c r="AF89" s="43"/>
      <c r="AG89" s="54"/>
      <c r="AH89" s="54"/>
      <c r="AI89" s="54"/>
      <c r="AJ89" s="54"/>
      <c r="AK89" s="54"/>
      <c r="AL89" s="54"/>
      <c r="AM89" s="73">
        <f t="shared" si="16"/>
        <v>0</v>
      </c>
      <c r="AN89" s="71" t="str">
        <f>+IF($I89&gt;0,VLOOKUP($I89,'Lista de Precios'!$A$3:$H$2883,4,0),"")</f>
        <v/>
      </c>
      <c r="AO89" s="68" t="str">
        <f t="shared" si="18"/>
        <v/>
      </c>
      <c r="AP89" s="7" t="str">
        <f>IF($I89&gt;0,VLOOKUP($I89,'Lista de Precios'!$A$3:$K$2883,10,0),"")</f>
        <v/>
      </c>
      <c r="AQ89" s="7" t="str">
        <f>IF($I89&gt;0,VLOOKUP($I89,'Lista de Precios'!$A$3:$M$4893,13,0),"")</f>
        <v/>
      </c>
      <c r="AR89" s="7" t="str">
        <f>IF($I89&gt;0,VLOOKUP(I89,'Lista de Precios'!$A$3:$M$2883,13,0),"")</f>
        <v/>
      </c>
      <c r="HR89" s="134"/>
      <c r="HS89" s="134"/>
      <c r="HT89" s="134"/>
      <c r="HU89" s="134"/>
      <c r="HV89" s="134"/>
      <c r="HW89" s="134"/>
      <c r="HX89" s="134"/>
      <c r="HY89" s="134"/>
      <c r="HZ89" s="134"/>
      <c r="IA89" s="134"/>
      <c r="IB89" s="134"/>
      <c r="IC89" s="134"/>
      <c r="IE89" s="134"/>
      <c r="IF89" s="134"/>
      <c r="IG89" s="134"/>
      <c r="IH89" s="134"/>
      <c r="II89" s="134"/>
      <c r="IJ89" s="134"/>
      <c r="IK89" s="134"/>
      <c r="IL89" s="134"/>
      <c r="IM89" s="134"/>
      <c r="IN89" s="135"/>
      <c r="IO89" s="135"/>
      <c r="IP89" s="135"/>
      <c r="XEP89" s="7" t="str">
        <f t="shared" si="19"/>
        <v/>
      </c>
      <c r="XEQ89" s="7" t="str">
        <f t="shared" si="20"/>
        <v/>
      </c>
      <c r="XER89" s="7" t="str">
        <f t="shared" si="21"/>
        <v/>
      </c>
      <c r="XES89" s="7" t="str">
        <f t="shared" si="22"/>
        <v/>
      </c>
    </row>
    <row r="90" spans="1:250 16370:16373" ht="23.25" customHeight="1" x14ac:dyDescent="0.25">
      <c r="A90" s="74">
        <f>IF($I90&gt;0,VLOOKUP(I90,'Lista de Precios'!$A$3:$L$2883,9,0),0)</f>
        <v>0</v>
      </c>
      <c r="B90" s="74">
        <f>IF($I90&gt;0,VLOOKUP(I90,'Lista de Precios'!$A$3:$H$2883,7,0),0)</f>
        <v>0</v>
      </c>
      <c r="C90" s="7" t="str">
        <f>IF($I90&gt;0,VLOOKUP(I90,'Lista de Precios'!$A$3:$H$2883,2,0),"")</f>
        <v/>
      </c>
      <c r="D90" s="7" t="str">
        <f>IF($I90&gt;0,VLOOKUP(I90,'Lista de Precios'!$A$3:$H$2883,3,0),"")</f>
        <v/>
      </c>
      <c r="E90" s="76" t="str">
        <f>IF($I90&gt;0,VLOOKUP(I90,'Lista de Precios'!$A$3:$H$2883,6,0),"")</f>
        <v/>
      </c>
      <c r="F90" s="76" t="str">
        <f>IF($I90&gt;0,VLOOKUP(I90,'Lista de Precios'!$A$3:$H$2883,8,0),"")</f>
        <v/>
      </c>
      <c r="G90" s="101" t="str">
        <f t="shared" si="17"/>
        <v/>
      </c>
      <c r="H90" s="20" t="s">
        <v>3</v>
      </c>
      <c r="I90" s="18"/>
      <c r="J90" s="28" t="str">
        <f t="shared" si="23"/>
        <v/>
      </c>
      <c r="K90" s="24">
        <f>+IF($I90&gt;0,VLOOKUP($I90,'Lista de Precios'!$A$3:$H$2883,5,0),0)</f>
        <v>0</v>
      </c>
      <c r="L90" s="37"/>
      <c r="M90" s="37"/>
      <c r="N90" s="37"/>
      <c r="O90" s="37"/>
      <c r="P90" s="40"/>
      <c r="Q90" s="39"/>
      <c r="R90" s="37"/>
      <c r="S90" s="37"/>
      <c r="T90" s="37"/>
      <c r="U90" s="37"/>
      <c r="V90" s="37"/>
      <c r="W90" s="37"/>
      <c r="X90" s="37"/>
      <c r="Y90" s="37"/>
      <c r="Z90" s="40"/>
      <c r="AA90" s="41"/>
      <c r="AB90" s="37"/>
      <c r="AC90" s="37"/>
      <c r="AD90" s="37"/>
      <c r="AE90" s="37"/>
      <c r="AF90" s="37"/>
      <c r="AG90" s="37"/>
      <c r="AH90" s="36"/>
      <c r="AI90" s="36"/>
      <c r="AJ90" s="36"/>
      <c r="AK90" s="42"/>
      <c r="AL90" s="36"/>
      <c r="AM90" s="73">
        <f t="shared" si="16"/>
        <v>0</v>
      </c>
      <c r="AN90" s="71" t="str">
        <f>+IF($I90&gt;0,VLOOKUP($I90,'Lista de Precios'!$A$3:$H$2883,4,0),"")</f>
        <v/>
      </c>
      <c r="AO90" s="68" t="str">
        <f t="shared" si="18"/>
        <v/>
      </c>
      <c r="AP90" s="7" t="str">
        <f>IF($I90&gt;0,VLOOKUP($I90,'Lista de Precios'!$A$3:$K$2883,10,0),"")</f>
        <v/>
      </c>
      <c r="AQ90" s="7" t="str">
        <f>IF($I90&gt;0,VLOOKUP($I90,'Lista de Precios'!$A$3:$M$4893,13,0),"")</f>
        <v/>
      </c>
      <c r="AR90" s="7" t="str">
        <f>IF($I90&gt;0,VLOOKUP(I90,'Lista de Precios'!$A$3:$M$2883,13,0),"")</f>
        <v/>
      </c>
      <c r="HR90" s="134"/>
      <c r="HS90" s="134"/>
      <c r="HT90" s="134"/>
      <c r="HU90" s="134"/>
      <c r="HV90" s="134"/>
      <c r="HW90" s="134"/>
      <c r="HX90" s="134"/>
      <c r="HY90" s="134"/>
      <c r="HZ90" s="134"/>
      <c r="IA90" s="134"/>
      <c r="IB90" s="134"/>
      <c r="IC90" s="134"/>
      <c r="IE90" s="134"/>
      <c r="IF90" s="134"/>
      <c r="IG90" s="134"/>
      <c r="IH90" s="134"/>
      <c r="II90" s="134"/>
      <c r="IJ90" s="134"/>
      <c r="IK90" s="134"/>
      <c r="IL90" s="134"/>
      <c r="IM90" s="134"/>
      <c r="IN90" s="135"/>
      <c r="IO90" s="135"/>
      <c r="IP90" s="135"/>
      <c r="XEP90" s="7" t="str">
        <f t="shared" si="19"/>
        <v/>
      </c>
      <c r="XEQ90" s="7" t="str">
        <f t="shared" si="20"/>
        <v/>
      </c>
      <c r="XER90" s="7" t="str">
        <f t="shared" si="21"/>
        <v/>
      </c>
      <c r="XES90" s="7" t="str">
        <f t="shared" si="22"/>
        <v/>
      </c>
    </row>
    <row r="91" spans="1:250 16370:16373" ht="23.25" customHeight="1" x14ac:dyDescent="0.25">
      <c r="A91" s="74">
        <f>IF($I91&gt;0,VLOOKUP(I91,'Lista de Precios'!$A$3:$L$2883,9,0),0)</f>
        <v>0</v>
      </c>
      <c r="B91" s="74">
        <f>IF($I91&gt;0,VLOOKUP(I91,'Lista de Precios'!$A$3:$H$2883,7,0),0)</f>
        <v>0</v>
      </c>
      <c r="C91" s="7" t="str">
        <f>IF($I91&gt;0,VLOOKUP(I91,'Lista de Precios'!$A$3:$H$2883,2,0),"")</f>
        <v/>
      </c>
      <c r="D91" s="7" t="str">
        <f>IF($I91&gt;0,VLOOKUP(I91,'Lista de Precios'!$A$3:$H$2883,3,0),"")</f>
        <v/>
      </c>
      <c r="E91" s="76" t="str">
        <f>IF($I91&gt;0,VLOOKUP(I91,'Lista de Precios'!$A$3:$H$2883,6,0),"")</f>
        <v/>
      </c>
      <c r="F91" s="76" t="str">
        <f>IF($I91&gt;0,VLOOKUP(I91,'Lista de Precios'!$A$3:$H$2883,8,0),"")</f>
        <v/>
      </c>
      <c r="G91" s="101" t="str">
        <f t="shared" si="17"/>
        <v/>
      </c>
      <c r="H91" s="20" t="s">
        <v>3</v>
      </c>
      <c r="I91" s="18"/>
      <c r="J91" s="28" t="str">
        <f t="shared" si="23"/>
        <v/>
      </c>
      <c r="K91" s="24">
        <f>+IF($I91&gt;0,VLOOKUP($I91,'Lista de Precios'!$A$3:$H$2883,5,0),0)</f>
        <v>0</v>
      </c>
      <c r="L91" s="37"/>
      <c r="M91" s="37"/>
      <c r="N91" s="37"/>
      <c r="O91" s="37"/>
      <c r="P91" s="40"/>
      <c r="Q91" s="39"/>
      <c r="R91" s="37"/>
      <c r="S91" s="37"/>
      <c r="T91" s="37"/>
      <c r="U91" s="37"/>
      <c r="V91" s="37"/>
      <c r="W91" s="37"/>
      <c r="X91" s="37"/>
      <c r="Y91" s="37"/>
      <c r="Z91" s="40"/>
      <c r="AA91" s="41"/>
      <c r="AB91" s="37"/>
      <c r="AC91" s="37"/>
      <c r="AD91" s="37"/>
      <c r="AE91" s="37"/>
      <c r="AF91" s="37"/>
      <c r="AG91" s="37"/>
      <c r="AH91" s="36"/>
      <c r="AI91" s="36"/>
      <c r="AJ91" s="36"/>
      <c r="AK91" s="42"/>
      <c r="AL91" s="36"/>
      <c r="AM91" s="73">
        <f t="shared" si="16"/>
        <v>0</v>
      </c>
      <c r="AN91" s="71" t="str">
        <f>+IF($I91&gt;0,VLOOKUP($I91,'Lista de Precios'!$A$3:$H$2883,4,0),"")</f>
        <v/>
      </c>
      <c r="AO91" s="68" t="str">
        <f t="shared" si="18"/>
        <v/>
      </c>
      <c r="AP91" s="7" t="str">
        <f>IF($I91&gt;0,VLOOKUP($I91,'Lista de Precios'!$A$3:$K$2883,10,0),"")</f>
        <v/>
      </c>
      <c r="AQ91" s="7" t="str">
        <f>IF($I91&gt;0,VLOOKUP($I91,'Lista de Precios'!$A$3:$M$4893,13,0),"")</f>
        <v/>
      </c>
      <c r="AR91" s="7" t="str">
        <f>IF($I91&gt;0,VLOOKUP(I91,'Lista de Precios'!$A$3:$M$2883,13,0),"")</f>
        <v/>
      </c>
      <c r="HR91" s="134"/>
      <c r="HS91" s="134"/>
      <c r="HT91" s="134"/>
      <c r="HU91" s="134"/>
      <c r="HV91" s="134"/>
      <c r="HW91" s="134"/>
      <c r="HX91" s="134"/>
      <c r="HY91" s="134"/>
      <c r="HZ91" s="134"/>
      <c r="IA91" s="134"/>
      <c r="IB91" s="134"/>
      <c r="IC91" s="134"/>
      <c r="IE91" s="134"/>
      <c r="IF91" s="134"/>
      <c r="IG91" s="134"/>
      <c r="IH91" s="134"/>
      <c r="II91" s="134"/>
      <c r="IJ91" s="134"/>
      <c r="IK91" s="134"/>
      <c r="IL91" s="134"/>
      <c r="IM91" s="134"/>
      <c r="IN91" s="135"/>
      <c r="IO91" s="135"/>
      <c r="IP91" s="135"/>
      <c r="XEP91" s="7" t="str">
        <f t="shared" si="19"/>
        <v/>
      </c>
      <c r="XEQ91" s="7" t="str">
        <f t="shared" si="20"/>
        <v/>
      </c>
      <c r="XER91" s="7" t="str">
        <f t="shared" si="21"/>
        <v/>
      </c>
      <c r="XES91" s="7" t="str">
        <f t="shared" si="22"/>
        <v/>
      </c>
    </row>
    <row r="92" spans="1:250 16370:16373" ht="23.25" customHeight="1" x14ac:dyDescent="0.25">
      <c r="A92" s="74">
        <f>IF($I92&gt;0,VLOOKUP(I92,'Lista de Precios'!$A$3:$L$2883,9,0),0)</f>
        <v>0</v>
      </c>
      <c r="B92" s="74">
        <f>IF($I92&gt;0,VLOOKUP(I92,'Lista de Precios'!$A$3:$H$2883,7,0),0)</f>
        <v>0</v>
      </c>
      <c r="C92" s="7" t="str">
        <f>IF($I92&gt;0,VLOOKUP(I92,'Lista de Precios'!$A$3:$H$2883,2,0),"")</f>
        <v/>
      </c>
      <c r="D92" s="7" t="str">
        <f>IF($I92&gt;0,VLOOKUP(I92,'Lista de Precios'!$A$3:$H$2883,3,0),"")</f>
        <v/>
      </c>
      <c r="E92" s="76" t="str">
        <f>IF($I92&gt;0,VLOOKUP(I92,'Lista de Precios'!$A$3:$H$2883,6,0),"")</f>
        <v/>
      </c>
      <c r="F92" s="76" t="str">
        <f>IF($I92&gt;0,VLOOKUP(I92,'Lista de Precios'!$A$3:$H$2883,8,0),"")</f>
        <v/>
      </c>
      <c r="G92" s="101" t="str">
        <f t="shared" si="17"/>
        <v/>
      </c>
      <c r="H92" s="20" t="s">
        <v>3</v>
      </c>
      <c r="I92" s="18"/>
      <c r="J92" s="28" t="str">
        <f t="shared" si="23"/>
        <v/>
      </c>
      <c r="K92" s="24">
        <f>+IF($I92&gt;0,VLOOKUP($I92,'Lista de Precios'!$A$3:$H$2883,5,0),0)</f>
        <v>0</v>
      </c>
      <c r="L92" s="36"/>
      <c r="M92" s="36"/>
      <c r="N92" s="36"/>
      <c r="O92" s="37"/>
      <c r="P92" s="38"/>
      <c r="Q92" s="39"/>
      <c r="R92" s="37"/>
      <c r="S92" s="37"/>
      <c r="T92" s="37"/>
      <c r="U92" s="37"/>
      <c r="V92" s="37"/>
      <c r="W92" s="37"/>
      <c r="X92" s="37"/>
      <c r="Y92" s="37"/>
      <c r="Z92" s="40"/>
      <c r="AA92" s="41"/>
      <c r="AB92" s="37"/>
      <c r="AC92" s="37"/>
      <c r="AD92" s="37"/>
      <c r="AE92" s="37"/>
      <c r="AF92" s="37"/>
      <c r="AG92" s="37"/>
      <c r="AH92" s="36"/>
      <c r="AI92" s="36"/>
      <c r="AJ92" s="36"/>
      <c r="AK92" s="42"/>
      <c r="AL92" s="42"/>
      <c r="AM92" s="73">
        <f t="shared" si="16"/>
        <v>0</v>
      </c>
      <c r="AN92" s="71" t="str">
        <f>+IF($I92&gt;0,VLOOKUP($I92,'Lista de Precios'!$A$3:$H$2883,4,0),"")</f>
        <v/>
      </c>
      <c r="AO92" s="68" t="str">
        <f t="shared" si="18"/>
        <v/>
      </c>
      <c r="AP92" s="7" t="str">
        <f>IF($I92&gt;0,VLOOKUP($I92,'Lista de Precios'!$A$3:$K$2883,10,0),"")</f>
        <v/>
      </c>
      <c r="AQ92" s="7" t="str">
        <f>IF($I92&gt;0,VLOOKUP($I92,'Lista de Precios'!$A$3:$M$4893,13,0),"")</f>
        <v/>
      </c>
      <c r="AR92" s="7" t="str">
        <f>IF($I92&gt;0,VLOOKUP(I92,'Lista de Precios'!$A$3:$M$2883,13,0),"")</f>
        <v/>
      </c>
      <c r="HR92" s="134"/>
      <c r="HS92" s="134"/>
      <c r="HT92" s="134"/>
      <c r="HU92" s="134"/>
      <c r="HV92" s="134"/>
      <c r="HW92" s="134"/>
      <c r="HX92" s="134"/>
      <c r="HY92" s="134"/>
      <c r="HZ92" s="134"/>
      <c r="IA92" s="134"/>
      <c r="IB92" s="134"/>
      <c r="IC92" s="134"/>
      <c r="IE92" s="134"/>
      <c r="IF92" s="134"/>
      <c r="IG92" s="134"/>
      <c r="IH92" s="134"/>
      <c r="II92" s="134"/>
      <c r="IJ92" s="134"/>
      <c r="IK92" s="134"/>
      <c r="IL92" s="134"/>
      <c r="IM92" s="134"/>
      <c r="IN92" s="135"/>
      <c r="IO92" s="135"/>
      <c r="IP92" s="135"/>
      <c r="XEP92" s="7" t="str">
        <f t="shared" si="19"/>
        <v/>
      </c>
      <c r="XEQ92" s="7" t="str">
        <f t="shared" si="20"/>
        <v/>
      </c>
      <c r="XER92" s="7" t="str">
        <f t="shared" si="21"/>
        <v/>
      </c>
      <c r="XES92" s="7" t="str">
        <f t="shared" si="22"/>
        <v/>
      </c>
    </row>
    <row r="93" spans="1:250 16370:16373" ht="23.25" customHeight="1" x14ac:dyDescent="0.25">
      <c r="A93" s="74">
        <f>IF($I93&gt;0,VLOOKUP(I93,'Lista de Precios'!$A$3:$L$2883,9,0),0)</f>
        <v>0</v>
      </c>
      <c r="B93" s="74">
        <f>IF($I93&gt;0,VLOOKUP(I93,'Lista de Precios'!$A$3:$H$2883,7,0),0)</f>
        <v>0</v>
      </c>
      <c r="C93" s="7" t="str">
        <f>IF($I93&gt;0,VLOOKUP(I93,'Lista de Precios'!$A$3:$H$2883,2,0),"")</f>
        <v/>
      </c>
      <c r="D93" s="7" t="str">
        <f>IF($I93&gt;0,VLOOKUP(I93,'Lista de Precios'!$A$3:$H$2883,3,0),"")</f>
        <v/>
      </c>
      <c r="E93" s="76" t="str">
        <f>IF($I93&gt;0,VLOOKUP(I93,'Lista de Precios'!$A$3:$H$2883,6,0),"")</f>
        <v/>
      </c>
      <c r="F93" s="76" t="str">
        <f>IF($I93&gt;0,VLOOKUP(I93,'Lista de Precios'!$A$3:$H$2883,8,0),"")</f>
        <v/>
      </c>
      <c r="G93" s="101" t="str">
        <f t="shared" si="17"/>
        <v/>
      </c>
      <c r="H93" s="20" t="s">
        <v>3</v>
      </c>
      <c r="I93" s="18"/>
      <c r="J93" s="28" t="str">
        <f t="shared" si="23"/>
        <v/>
      </c>
      <c r="K93" s="24">
        <f>+IF($I93&gt;0,VLOOKUP($I93,'Lista de Precios'!$A$3:$H$2883,5,0),0)</f>
        <v>0</v>
      </c>
      <c r="L93" s="37"/>
      <c r="M93" s="37"/>
      <c r="N93" s="37"/>
      <c r="O93" s="37"/>
      <c r="P93" s="40"/>
      <c r="Q93" s="39"/>
      <c r="R93" s="37"/>
      <c r="S93" s="37"/>
      <c r="T93" s="37"/>
      <c r="U93" s="37"/>
      <c r="V93" s="37"/>
      <c r="W93" s="37"/>
      <c r="X93" s="37"/>
      <c r="Y93" s="37"/>
      <c r="Z93" s="40"/>
      <c r="AA93" s="41"/>
      <c r="AB93" s="37"/>
      <c r="AC93" s="37"/>
      <c r="AD93" s="37"/>
      <c r="AE93" s="37"/>
      <c r="AF93" s="37"/>
      <c r="AG93" s="37"/>
      <c r="AH93" s="36"/>
      <c r="AI93" s="36"/>
      <c r="AJ93" s="36"/>
      <c r="AK93" s="42"/>
      <c r="AL93" s="42"/>
      <c r="AM93" s="73">
        <f t="shared" si="16"/>
        <v>0</v>
      </c>
      <c r="AN93" s="71" t="str">
        <f>+IF($I93&gt;0,VLOOKUP($I93,'Lista de Precios'!$A$3:$H$2883,4,0),"")</f>
        <v/>
      </c>
      <c r="AO93" s="68" t="str">
        <f t="shared" si="18"/>
        <v/>
      </c>
      <c r="AP93" s="7" t="str">
        <f>IF($I93&gt;0,VLOOKUP($I93,'Lista de Precios'!$A$3:$K$2883,10,0),"")</f>
        <v/>
      </c>
      <c r="AQ93" s="7" t="str">
        <f>IF($I93&gt;0,VLOOKUP($I93,'Lista de Precios'!$A$3:$M$4893,13,0),"")</f>
        <v/>
      </c>
      <c r="AR93" s="7" t="str">
        <f>IF($I93&gt;0,VLOOKUP(I93,'Lista de Precios'!$A$3:$M$2883,13,0),"")</f>
        <v/>
      </c>
      <c r="HR93" s="134"/>
      <c r="HS93" s="134"/>
      <c r="HT93" s="134"/>
      <c r="HU93" s="134"/>
      <c r="HV93" s="134"/>
      <c r="HW93" s="134"/>
      <c r="HX93" s="134"/>
      <c r="HY93" s="134"/>
      <c r="HZ93" s="134"/>
      <c r="IA93" s="134"/>
      <c r="IB93" s="134"/>
      <c r="IC93" s="134"/>
      <c r="IE93" s="134"/>
      <c r="IF93" s="134"/>
      <c r="IG93" s="134"/>
      <c r="IH93" s="134"/>
      <c r="II93" s="134"/>
      <c r="IJ93" s="134"/>
      <c r="IK93" s="134"/>
      <c r="IL93" s="134"/>
      <c r="IM93" s="134"/>
      <c r="IN93" s="135"/>
      <c r="IO93" s="135"/>
      <c r="IP93" s="135"/>
      <c r="XEP93" s="7" t="str">
        <f t="shared" si="19"/>
        <v/>
      </c>
      <c r="XEQ93" s="7" t="str">
        <f t="shared" si="20"/>
        <v/>
      </c>
      <c r="XER93" s="7" t="str">
        <f t="shared" si="21"/>
        <v/>
      </c>
      <c r="XES93" s="7" t="str">
        <f t="shared" si="22"/>
        <v/>
      </c>
    </row>
    <row r="94" spans="1:250 16370:16373" ht="23.25" customHeight="1" x14ac:dyDescent="0.25">
      <c r="A94" s="74">
        <f>IF($I94&gt;0,VLOOKUP(I94,'Lista de Precios'!$A$3:$L$2883,9,0),0)</f>
        <v>0</v>
      </c>
      <c r="B94" s="74">
        <f>IF($I94&gt;0,VLOOKUP(I94,'Lista de Precios'!$A$3:$H$2883,7,0),0)</f>
        <v>0</v>
      </c>
      <c r="C94" s="7" t="str">
        <f>IF($I94&gt;0,VLOOKUP(I94,'Lista de Precios'!$A$3:$H$2883,2,0),"")</f>
        <v/>
      </c>
      <c r="D94" s="7" t="str">
        <f>IF($I94&gt;0,VLOOKUP(I94,'Lista de Precios'!$A$3:$H$2883,3,0),"")</f>
        <v/>
      </c>
      <c r="E94" s="76" t="str">
        <f>IF($I94&gt;0,VLOOKUP(I94,'Lista de Precios'!$A$3:$H$2883,6,0),"")</f>
        <v/>
      </c>
      <c r="F94" s="76" t="str">
        <f>IF($I94&gt;0,VLOOKUP(I94,'Lista de Precios'!$A$3:$H$2883,8,0),"")</f>
        <v/>
      </c>
      <c r="G94" s="101" t="str">
        <f t="shared" si="17"/>
        <v/>
      </c>
      <c r="H94" s="20" t="s">
        <v>3</v>
      </c>
      <c r="I94" s="18"/>
      <c r="J94" s="28" t="str">
        <f t="shared" si="23"/>
        <v/>
      </c>
      <c r="K94" s="24">
        <f>+IF($I94&gt;0,VLOOKUP($I94,'Lista de Precios'!$A$3:$H$2883,5,0),0)</f>
        <v>0</v>
      </c>
      <c r="L94" s="37"/>
      <c r="M94" s="37"/>
      <c r="N94" s="37"/>
      <c r="O94" s="37"/>
      <c r="P94" s="40"/>
      <c r="Q94" s="39"/>
      <c r="R94" s="37"/>
      <c r="S94" s="37"/>
      <c r="T94" s="37"/>
      <c r="U94" s="37"/>
      <c r="V94" s="37"/>
      <c r="W94" s="37"/>
      <c r="X94" s="37"/>
      <c r="Y94" s="37"/>
      <c r="Z94" s="40"/>
      <c r="AA94" s="41"/>
      <c r="AB94" s="37"/>
      <c r="AC94" s="37"/>
      <c r="AD94" s="37"/>
      <c r="AE94" s="36"/>
      <c r="AF94" s="37"/>
      <c r="AG94" s="37"/>
      <c r="AH94" s="36"/>
      <c r="AI94" s="36"/>
      <c r="AJ94" s="42"/>
      <c r="AK94" s="42"/>
      <c r="AL94" s="43"/>
      <c r="AM94" s="73">
        <f t="shared" si="16"/>
        <v>0</v>
      </c>
      <c r="AN94" s="71" t="str">
        <f>+IF($I94&gt;0,VLOOKUP($I94,'Lista de Precios'!$A$3:$H$2883,4,0),"")</f>
        <v/>
      </c>
      <c r="AO94" s="68" t="str">
        <f t="shared" si="18"/>
        <v/>
      </c>
      <c r="AP94" s="7" t="str">
        <f>IF($I94&gt;0,VLOOKUP($I94,'Lista de Precios'!$A$3:$K$2883,10,0),"")</f>
        <v/>
      </c>
      <c r="AQ94" s="7" t="str">
        <f>IF($I94&gt;0,VLOOKUP($I94,'Lista de Precios'!$A$3:$M$4893,13,0),"")</f>
        <v/>
      </c>
      <c r="AR94" s="7" t="str">
        <f>IF($I94&gt;0,VLOOKUP(I94,'Lista de Precios'!$A$3:$M$2883,13,0),"")</f>
        <v/>
      </c>
      <c r="HR94" s="134"/>
      <c r="HS94" s="134"/>
      <c r="HT94" s="134"/>
      <c r="HU94" s="134"/>
      <c r="HV94" s="134"/>
      <c r="HW94" s="134"/>
      <c r="HX94" s="134"/>
      <c r="HY94" s="134"/>
      <c r="HZ94" s="134"/>
      <c r="IA94" s="134"/>
      <c r="IB94" s="134"/>
      <c r="IC94" s="134"/>
      <c r="IE94" s="134"/>
      <c r="IF94" s="134"/>
      <c r="IG94" s="134"/>
      <c r="IH94" s="134"/>
      <c r="II94" s="134"/>
      <c r="IJ94" s="134"/>
      <c r="IK94" s="134"/>
      <c r="IL94" s="134"/>
      <c r="IM94" s="134"/>
      <c r="IN94" s="135"/>
      <c r="IO94" s="135"/>
      <c r="IP94" s="135"/>
      <c r="XEP94" s="7" t="str">
        <f t="shared" si="19"/>
        <v/>
      </c>
      <c r="XEQ94" s="7" t="str">
        <f t="shared" si="20"/>
        <v/>
      </c>
      <c r="XER94" s="7" t="str">
        <f t="shared" si="21"/>
        <v/>
      </c>
      <c r="XES94" s="7" t="str">
        <f t="shared" si="22"/>
        <v/>
      </c>
    </row>
    <row r="95" spans="1:250 16370:16373" ht="23.25" customHeight="1" x14ac:dyDescent="0.25">
      <c r="A95" s="74">
        <f>IF($I95&gt;0,VLOOKUP(I95,'Lista de Precios'!$A$3:$L$2883,9,0),0)</f>
        <v>0</v>
      </c>
      <c r="B95" s="74">
        <f>IF($I95&gt;0,VLOOKUP(I95,'Lista de Precios'!$A$3:$H$2883,7,0),0)</f>
        <v>0</v>
      </c>
      <c r="C95" s="7" t="str">
        <f>IF($I95&gt;0,VLOOKUP(I95,'Lista de Precios'!$A$3:$H$2883,2,0),"")</f>
        <v/>
      </c>
      <c r="D95" s="7" t="str">
        <f>IF($I95&gt;0,VLOOKUP(I95,'Lista de Precios'!$A$3:$H$2883,3,0),"")</f>
        <v/>
      </c>
      <c r="E95" s="76" t="str">
        <f>IF($I95&gt;0,VLOOKUP(I95,'Lista de Precios'!$A$3:$H$2883,6,0),"")</f>
        <v/>
      </c>
      <c r="F95" s="76" t="str">
        <f>IF($I95&gt;0,VLOOKUP(I95,'Lista de Precios'!$A$3:$H$2883,8,0),"")</f>
        <v/>
      </c>
      <c r="G95" s="101" t="str">
        <f t="shared" si="17"/>
        <v/>
      </c>
      <c r="H95" s="20" t="s">
        <v>3</v>
      </c>
      <c r="I95" s="18"/>
      <c r="J95" s="28" t="str">
        <f t="shared" si="23"/>
        <v/>
      </c>
      <c r="K95" s="24">
        <f>+IF($I95&gt;0,VLOOKUP($I95,'Lista de Precios'!$A$3:$H$2883,5,0),0)</f>
        <v>0</v>
      </c>
      <c r="L95" s="37"/>
      <c r="M95" s="37"/>
      <c r="N95" s="37"/>
      <c r="O95" s="37"/>
      <c r="P95" s="40"/>
      <c r="Q95" s="39"/>
      <c r="R95" s="37"/>
      <c r="S95" s="37"/>
      <c r="T95" s="37"/>
      <c r="U95" s="37"/>
      <c r="V95" s="37"/>
      <c r="W95" s="37"/>
      <c r="X95" s="37"/>
      <c r="Y95" s="37"/>
      <c r="Z95" s="37"/>
      <c r="AA95" s="41"/>
      <c r="AB95" s="37"/>
      <c r="AC95" s="37"/>
      <c r="AD95" s="37"/>
      <c r="AE95" s="36"/>
      <c r="AF95" s="37"/>
      <c r="AG95" s="37"/>
      <c r="AH95" s="36"/>
      <c r="AI95" s="36"/>
      <c r="AJ95" s="42"/>
      <c r="AK95" s="42"/>
      <c r="AL95" s="42"/>
      <c r="AM95" s="73">
        <f t="shared" si="16"/>
        <v>0</v>
      </c>
      <c r="AN95" s="71" t="str">
        <f>+IF($I95&gt;0,VLOOKUP($I95,'Lista de Precios'!$A$3:$H$2883,4,0),"")</f>
        <v/>
      </c>
      <c r="AO95" s="68" t="str">
        <f t="shared" si="18"/>
        <v/>
      </c>
      <c r="AP95" s="7" t="str">
        <f>IF($I95&gt;0,VLOOKUP($I95,'Lista de Precios'!$A$3:$K$2883,10,0),"")</f>
        <v/>
      </c>
      <c r="AQ95" s="7" t="str">
        <f>IF($I95&gt;0,VLOOKUP($I95,'Lista de Precios'!$A$3:$M$4893,13,0),"")</f>
        <v/>
      </c>
      <c r="AR95" s="7" t="str">
        <f>IF($I95&gt;0,VLOOKUP(I95,'Lista de Precios'!$A$3:$M$2883,13,0),"")</f>
        <v/>
      </c>
      <c r="HR95" s="134"/>
      <c r="HS95" s="134"/>
      <c r="HT95" s="134"/>
      <c r="HU95" s="134"/>
      <c r="HV95" s="134"/>
      <c r="HW95" s="134"/>
      <c r="HX95" s="134"/>
      <c r="HY95" s="134"/>
      <c r="HZ95" s="134"/>
      <c r="IA95" s="134"/>
      <c r="IB95" s="134"/>
      <c r="IC95" s="134"/>
      <c r="IE95" s="134"/>
      <c r="IF95" s="134"/>
      <c r="IG95" s="134"/>
      <c r="IH95" s="134"/>
      <c r="II95" s="134"/>
      <c r="IJ95" s="134"/>
      <c r="IK95" s="134"/>
      <c r="IL95" s="134"/>
      <c r="IM95" s="134"/>
      <c r="IN95" s="135"/>
      <c r="IO95" s="135"/>
      <c r="IP95" s="135"/>
      <c r="XEP95" s="7" t="str">
        <f t="shared" si="19"/>
        <v/>
      </c>
      <c r="XEQ95" s="7" t="str">
        <f t="shared" si="20"/>
        <v/>
      </c>
      <c r="XER95" s="7" t="str">
        <f t="shared" si="21"/>
        <v/>
      </c>
      <c r="XES95" s="7" t="str">
        <f t="shared" si="22"/>
        <v/>
      </c>
    </row>
    <row r="96" spans="1:250 16370:16373" ht="23.25" customHeight="1" x14ac:dyDescent="0.25">
      <c r="A96" s="74">
        <f>IF($I96&gt;0,VLOOKUP(I96,'Lista de Precios'!$A$3:$L$2883,9,0),0)</f>
        <v>0</v>
      </c>
      <c r="B96" s="74">
        <f>IF($I96&gt;0,VLOOKUP(I96,'Lista de Precios'!$A$3:$H$2883,7,0),0)</f>
        <v>0</v>
      </c>
      <c r="C96" s="7" t="str">
        <f>IF($I96&gt;0,VLOOKUP(I96,'Lista de Precios'!$A$3:$H$2883,2,0),"")</f>
        <v/>
      </c>
      <c r="D96" s="7" t="str">
        <f>IF($I96&gt;0,VLOOKUP(I96,'Lista de Precios'!$A$3:$H$2883,3,0),"")</f>
        <v/>
      </c>
      <c r="E96" s="76" t="str">
        <f>IF($I96&gt;0,VLOOKUP(I96,'Lista de Precios'!$A$3:$H$2883,6,0),"")</f>
        <v/>
      </c>
      <c r="F96" s="76" t="str">
        <f>IF($I96&gt;0,VLOOKUP(I96,'Lista de Precios'!$A$3:$H$2883,8,0),"")</f>
        <v/>
      </c>
      <c r="G96" s="101" t="str">
        <f t="shared" si="17"/>
        <v/>
      </c>
      <c r="H96" s="20" t="s">
        <v>3</v>
      </c>
      <c r="I96" s="18"/>
      <c r="J96" s="28" t="str">
        <f t="shared" si="23"/>
        <v/>
      </c>
      <c r="K96" s="24">
        <f>+IF($I96&gt;0,VLOOKUP($I96,'Lista de Precios'!$A$3:$H$2883,5,0),0)</f>
        <v>0</v>
      </c>
      <c r="L96" s="37"/>
      <c r="M96" s="37"/>
      <c r="N96" s="37"/>
      <c r="O96" s="37"/>
      <c r="P96" s="40"/>
      <c r="Q96" s="39"/>
      <c r="R96" s="37"/>
      <c r="S96" s="37"/>
      <c r="T96" s="37"/>
      <c r="U96" s="37"/>
      <c r="V96" s="37"/>
      <c r="W96" s="37"/>
      <c r="X96" s="37"/>
      <c r="Y96" s="37"/>
      <c r="Z96" s="40"/>
      <c r="AA96" s="41"/>
      <c r="AB96" s="37"/>
      <c r="AC96" s="37"/>
      <c r="AD96" s="37"/>
      <c r="AE96" s="36"/>
      <c r="AF96" s="37"/>
      <c r="AG96" s="37"/>
      <c r="AH96" s="36"/>
      <c r="AI96" s="36"/>
      <c r="AJ96" s="42"/>
      <c r="AK96" s="42"/>
      <c r="AL96" s="42"/>
      <c r="AM96" s="73">
        <f t="shared" si="16"/>
        <v>0</v>
      </c>
      <c r="AN96" s="71" t="str">
        <f>+IF($I96&gt;0,VLOOKUP($I96,'Lista de Precios'!$A$3:$H$2883,4,0),"")</f>
        <v/>
      </c>
      <c r="AO96" s="68" t="str">
        <f t="shared" si="18"/>
        <v/>
      </c>
      <c r="AP96" s="7" t="str">
        <f>IF($I96&gt;0,VLOOKUP($I96,'Lista de Precios'!$A$3:$K$2883,10,0),"")</f>
        <v/>
      </c>
      <c r="AQ96" s="7" t="str">
        <f>IF($I96&gt;0,VLOOKUP($I96,'Lista de Precios'!$A$3:$M$4893,13,0),"")</f>
        <v/>
      </c>
      <c r="AR96" s="7" t="str">
        <f>IF($I96&gt;0,VLOOKUP(I96,'Lista de Precios'!$A$3:$M$2883,13,0),"")</f>
        <v/>
      </c>
      <c r="HR96" s="134"/>
      <c r="HS96" s="134"/>
      <c r="HT96" s="134"/>
      <c r="HU96" s="134"/>
      <c r="HV96" s="134"/>
      <c r="HW96" s="134"/>
      <c r="HX96" s="134"/>
      <c r="HY96" s="134"/>
      <c r="HZ96" s="134"/>
      <c r="IA96" s="134"/>
      <c r="IB96" s="134"/>
      <c r="IC96" s="134"/>
      <c r="IE96" s="134"/>
      <c r="IF96" s="134"/>
      <c r="IG96" s="134"/>
      <c r="IH96" s="134"/>
      <c r="II96" s="134"/>
      <c r="IJ96" s="134"/>
      <c r="IK96" s="134"/>
      <c r="IL96" s="134"/>
      <c r="IM96" s="134"/>
      <c r="IN96" s="135"/>
      <c r="IO96" s="135"/>
      <c r="IP96" s="135"/>
      <c r="XEP96" s="7" t="str">
        <f t="shared" si="19"/>
        <v/>
      </c>
      <c r="XEQ96" s="7" t="str">
        <f t="shared" si="20"/>
        <v/>
      </c>
      <c r="XER96" s="7" t="str">
        <f t="shared" si="21"/>
        <v/>
      </c>
      <c r="XES96" s="7" t="str">
        <f t="shared" si="22"/>
        <v/>
      </c>
    </row>
    <row r="97" spans="1:252" ht="23.25" customHeight="1" x14ac:dyDescent="0.25">
      <c r="A97" s="74">
        <f>IF($I97&gt;0,VLOOKUP(I97,'Lista de Precios'!$A$3:$L$2883,9,0),0)</f>
        <v>0</v>
      </c>
      <c r="B97" s="74">
        <f>IF($I97&gt;0,VLOOKUP(I97,'Lista de Precios'!$A$3:$H$2883,7,0),0)</f>
        <v>0</v>
      </c>
      <c r="C97" s="7" t="str">
        <f>IF($I97&gt;0,VLOOKUP(I97,'Lista de Precios'!$A$3:$H$2883,2,0),"")</f>
        <v/>
      </c>
      <c r="D97" s="7" t="str">
        <f>IF($I97&gt;0,VLOOKUP(I97,'Lista de Precios'!$A$3:$H$2883,3,0),"")</f>
        <v/>
      </c>
      <c r="E97" s="76" t="str">
        <f>IF($I97&gt;0,VLOOKUP(I97,'Lista de Precios'!$A$3:$H$2883,6,0),"")</f>
        <v/>
      </c>
      <c r="F97" s="76" t="str">
        <f>IF($I97&gt;0,VLOOKUP(I97,'Lista de Precios'!$A$3:$H$2883,8,0),"")</f>
        <v/>
      </c>
      <c r="G97" s="101" t="str">
        <f t="shared" si="17"/>
        <v/>
      </c>
      <c r="H97" s="20" t="s">
        <v>3</v>
      </c>
      <c r="I97" s="18"/>
      <c r="J97" s="28" t="str">
        <f t="shared" si="23"/>
        <v/>
      </c>
      <c r="K97" s="24">
        <f>+IF($I97&gt;0,VLOOKUP($I97,'Lista de Precios'!$A$3:$H$2883,5,0),0)</f>
        <v>0</v>
      </c>
      <c r="L97" s="37"/>
      <c r="M97" s="37"/>
      <c r="N97" s="37"/>
      <c r="O97" s="37"/>
      <c r="P97" s="40"/>
      <c r="Q97" s="39"/>
      <c r="R97" s="37"/>
      <c r="S97" s="37"/>
      <c r="T97" s="37"/>
      <c r="U97" s="37"/>
      <c r="V97" s="37"/>
      <c r="W97" s="37"/>
      <c r="X97" s="37"/>
      <c r="Y97" s="37"/>
      <c r="Z97" s="40"/>
      <c r="AA97" s="41"/>
      <c r="AB97" s="37"/>
      <c r="AC97" s="37"/>
      <c r="AD97" s="37"/>
      <c r="AE97" s="36"/>
      <c r="AF97" s="37"/>
      <c r="AG97" s="37"/>
      <c r="AH97" s="36"/>
      <c r="AI97" s="36"/>
      <c r="AJ97" s="42"/>
      <c r="AK97" s="42"/>
      <c r="AL97" s="42"/>
      <c r="AM97" s="73">
        <f t="shared" si="16"/>
        <v>0</v>
      </c>
      <c r="AN97" s="71" t="str">
        <f>+IF($I97&gt;0,VLOOKUP($I97,'Lista de Precios'!$A$3:$H$2883,4,0),"")</f>
        <v/>
      </c>
      <c r="AO97" s="68" t="str">
        <f t="shared" si="18"/>
        <v/>
      </c>
      <c r="AP97" s="7" t="str">
        <f>IF($I97&gt;0,VLOOKUP($I97,'Lista de Precios'!$A$3:$K$2883,10,0),"")</f>
        <v/>
      </c>
      <c r="AR97" s="7" t="str">
        <f>IF($I97&gt;0,VLOOKUP(I97,'Lista de Precios'!$A$3:$M$2883,13,0),"")</f>
        <v/>
      </c>
      <c r="HR97" s="134"/>
      <c r="HS97" s="134"/>
      <c r="HT97" s="134"/>
      <c r="HU97" s="134"/>
      <c r="HV97" s="134"/>
      <c r="HW97" s="134"/>
      <c r="HX97" s="134"/>
      <c r="HY97" s="134"/>
      <c r="HZ97" s="134"/>
      <c r="IA97" s="134"/>
      <c r="IB97" s="134"/>
      <c r="IC97" s="134"/>
      <c r="IE97" s="134"/>
      <c r="IF97" s="134"/>
      <c r="IG97" s="134"/>
      <c r="IH97" s="134"/>
      <c r="II97" s="134"/>
      <c r="IJ97" s="134"/>
      <c r="IK97" s="134"/>
      <c r="IL97" s="134"/>
      <c r="IM97" s="134"/>
      <c r="IN97" s="135"/>
      <c r="IO97" s="135"/>
      <c r="IP97" s="135"/>
    </row>
    <row r="98" spans="1:252" ht="23.25" customHeight="1" x14ac:dyDescent="0.25">
      <c r="A98" s="74">
        <f>IF($I98&gt;0,VLOOKUP(I98,'Lista de Precios'!$A$3:$L$2883,9,0),0)</f>
        <v>0</v>
      </c>
      <c r="B98" s="74">
        <f>IF($I98&gt;0,VLOOKUP(I98,'Lista de Precios'!$A$3:$H$2883,7,0),0)</f>
        <v>0</v>
      </c>
      <c r="C98" s="7" t="str">
        <f>IF($I98&gt;0,VLOOKUP(I98,'Lista de Precios'!$A$3:$H$2883,2,0),"")</f>
        <v/>
      </c>
      <c r="D98" s="7" t="str">
        <f>IF($I98&gt;0,VLOOKUP(I98,'Lista de Precios'!$A$3:$H$2883,3,0),"")</f>
        <v/>
      </c>
      <c r="E98" s="76" t="str">
        <f>IF($I98&gt;0,VLOOKUP(I98,'Lista de Precios'!$A$3:$H$2883,6,0),"")</f>
        <v/>
      </c>
      <c r="F98" s="76" t="str">
        <f>IF($I98&gt;0,VLOOKUP(I98,'Lista de Precios'!$A$3:$H$2883,8,0),"")</f>
        <v/>
      </c>
      <c r="G98" s="101" t="str">
        <f t="shared" si="17"/>
        <v/>
      </c>
      <c r="H98" s="20" t="s">
        <v>3</v>
      </c>
      <c r="I98" s="18"/>
      <c r="J98" s="28" t="str">
        <f t="shared" si="23"/>
        <v/>
      </c>
      <c r="K98" s="24">
        <f>+IF($I98&gt;0,VLOOKUP($I98,'Lista de Precios'!$A$3:$H$2883,5,0),0)</f>
        <v>0</v>
      </c>
      <c r="L98" s="37"/>
      <c r="M98" s="37"/>
      <c r="N98" s="37"/>
      <c r="O98" s="37"/>
      <c r="P98" s="40"/>
      <c r="Q98" s="39"/>
      <c r="R98" s="37"/>
      <c r="S98" s="37"/>
      <c r="T98" s="37"/>
      <c r="U98" s="37"/>
      <c r="V98" s="37"/>
      <c r="W98" s="37"/>
      <c r="X98" s="37"/>
      <c r="Y98" s="37"/>
      <c r="Z98" s="40"/>
      <c r="AA98" s="41"/>
      <c r="AB98" s="37"/>
      <c r="AC98" s="37"/>
      <c r="AD98" s="37"/>
      <c r="AE98" s="37"/>
      <c r="AF98" s="37"/>
      <c r="AG98" s="57"/>
      <c r="AH98" s="54"/>
      <c r="AI98" s="54"/>
      <c r="AJ98" s="54"/>
      <c r="AK98" s="54"/>
      <c r="AL98" s="54"/>
      <c r="AM98" s="73">
        <f t="shared" si="16"/>
        <v>0</v>
      </c>
      <c r="AN98" s="71" t="str">
        <f>+IF($I98&gt;0,VLOOKUP($I98,'Lista de Precios'!$A$3:$H$2883,4,0),"")</f>
        <v/>
      </c>
      <c r="AO98" s="68" t="str">
        <f t="shared" si="18"/>
        <v/>
      </c>
      <c r="AP98" s="7" t="str">
        <f>IF($I98&gt;0,VLOOKUP($I98,'Lista de Precios'!$A$3:$K$2883,10,0),"")</f>
        <v/>
      </c>
      <c r="AR98" s="7" t="str">
        <f>IF($I98&gt;0,VLOOKUP(I98,'Lista de Precios'!$A$3:$M$2883,13,0),"")</f>
        <v/>
      </c>
      <c r="HR98" s="134"/>
      <c r="HS98" s="134"/>
      <c r="HT98" s="134"/>
      <c r="HU98" s="134"/>
      <c r="HV98" s="134"/>
      <c r="HW98" s="134"/>
      <c r="HX98" s="134"/>
      <c r="HY98" s="134"/>
      <c r="HZ98" s="134"/>
      <c r="IA98" s="134"/>
      <c r="IB98" s="134"/>
      <c r="IC98" s="134"/>
      <c r="IE98" s="134"/>
      <c r="IF98" s="134"/>
      <c r="IG98" s="134"/>
      <c r="IH98" s="134"/>
      <c r="II98" s="134"/>
      <c r="IJ98" s="134"/>
      <c r="IK98" s="134"/>
      <c r="IL98" s="134"/>
      <c r="IM98" s="134"/>
      <c r="IN98" s="135"/>
      <c r="IO98" s="135"/>
      <c r="IP98" s="135"/>
    </row>
    <row r="99" spans="1:252" ht="23.25" customHeight="1" x14ac:dyDescent="0.25">
      <c r="A99" s="74">
        <f>IF($I99&gt;0,VLOOKUP(I99,'Lista de Precios'!$A$3:$L$2883,9,0),0)</f>
        <v>0</v>
      </c>
      <c r="B99" s="74">
        <f>IF($I99&gt;0,VLOOKUP(I99,'Lista de Precios'!$A$3:$H$2883,7,0),0)</f>
        <v>0</v>
      </c>
      <c r="C99" s="7" t="str">
        <f>IF($I99&gt;0,VLOOKUP(I99,'Lista de Precios'!$A$3:$H$2883,2,0),"")</f>
        <v/>
      </c>
      <c r="D99" s="7" t="str">
        <f>IF($I99&gt;0,VLOOKUP(I99,'Lista de Precios'!$A$3:$H$2883,3,0),"")</f>
        <v/>
      </c>
      <c r="E99" s="76" t="str">
        <f>IF($I99&gt;0,VLOOKUP(I99,'Lista de Precios'!$A$3:$H$2883,6,0),"")</f>
        <v/>
      </c>
      <c r="F99" s="76" t="str">
        <f>IF($I99&gt;0,VLOOKUP(I99,'Lista de Precios'!$A$3:$H$2883,8,0),"")</f>
        <v/>
      </c>
      <c r="G99" s="101" t="str">
        <f t="shared" si="17"/>
        <v/>
      </c>
      <c r="H99" s="20" t="s">
        <v>3</v>
      </c>
      <c r="I99" s="18"/>
      <c r="J99" s="28" t="str">
        <f t="shared" si="23"/>
        <v/>
      </c>
      <c r="K99" s="24">
        <f>+IF($I99&gt;0,VLOOKUP($I99,'Lista de Precios'!$A$3:$H$2883,5,0),0)</f>
        <v>0</v>
      </c>
      <c r="L99" s="37"/>
      <c r="M99" s="37"/>
      <c r="N99" s="37"/>
      <c r="O99" s="37"/>
      <c r="P99" s="40"/>
      <c r="Q99" s="39"/>
      <c r="R99" s="37"/>
      <c r="S99" s="37"/>
      <c r="T99" s="37"/>
      <c r="U99" s="37"/>
      <c r="V99" s="37"/>
      <c r="W99" s="37"/>
      <c r="X99" s="37"/>
      <c r="Y99" s="37"/>
      <c r="Z99" s="40"/>
      <c r="AA99" s="41"/>
      <c r="AB99" s="37"/>
      <c r="AC99" s="37"/>
      <c r="AD99" s="37"/>
      <c r="AE99" s="37"/>
      <c r="AF99" s="37"/>
      <c r="AG99" s="57"/>
      <c r="AH99" s="54"/>
      <c r="AI99" s="54"/>
      <c r="AJ99" s="42"/>
      <c r="AK99" s="42"/>
      <c r="AL99" s="42"/>
      <c r="AM99" s="73">
        <f t="shared" si="16"/>
        <v>0</v>
      </c>
      <c r="AN99" s="71" t="str">
        <f>+IF($I99&gt;0,VLOOKUP($I99,'Lista de Precios'!$A$3:$H$2883,4,0),"")</f>
        <v/>
      </c>
      <c r="AO99" s="68" t="str">
        <f t="shared" si="18"/>
        <v/>
      </c>
      <c r="AP99" s="7" t="str">
        <f>IF($I99&gt;0,VLOOKUP($I99,'Lista de Precios'!$A$3:$K$2883,10,0),"")</f>
        <v/>
      </c>
      <c r="AR99" s="7" t="str">
        <f>IF($I99&gt;0,VLOOKUP(I99,'Lista de Precios'!$A$3:$M$2883,13,0),"")</f>
        <v/>
      </c>
      <c r="HR99" s="134"/>
      <c r="HS99" s="134"/>
      <c r="HT99" s="134"/>
      <c r="HU99" s="134"/>
      <c r="HV99" s="134"/>
      <c r="HW99" s="134"/>
      <c r="HX99" s="134"/>
      <c r="HY99" s="134"/>
      <c r="HZ99" s="134"/>
      <c r="IA99" s="134"/>
      <c r="IB99" s="134"/>
      <c r="IC99" s="134"/>
      <c r="IE99" s="134"/>
      <c r="IF99" s="134"/>
      <c r="IG99" s="134"/>
      <c r="IH99" s="134"/>
      <c r="II99" s="134"/>
      <c r="IJ99" s="134"/>
      <c r="IK99" s="134"/>
      <c r="IL99" s="134"/>
      <c r="IM99" s="134"/>
      <c r="IN99" s="135"/>
      <c r="IO99" s="135"/>
      <c r="IP99" s="135"/>
    </row>
    <row r="100" spans="1:252" ht="23.25" customHeight="1" x14ac:dyDescent="0.25">
      <c r="A100" s="74">
        <f>IF($I100&gt;0,VLOOKUP(I100,'Lista de Precios'!$A$3:$L$2883,9,0),0)</f>
        <v>0</v>
      </c>
      <c r="B100" s="74">
        <f>IF($I100&gt;0,VLOOKUP(I100,'Lista de Precios'!$A$3:$H$2883,7,0),0)</f>
        <v>0</v>
      </c>
      <c r="C100" s="7" t="str">
        <f>IF($I100&gt;0,VLOOKUP(I100,'Lista de Precios'!$A$3:$H$2883,2,0),"")</f>
        <v/>
      </c>
      <c r="D100" s="7" t="str">
        <f>IF($I100&gt;0,VLOOKUP(I100,'Lista de Precios'!$A$3:$H$2883,3,0),"")</f>
        <v/>
      </c>
      <c r="E100" s="76" t="str">
        <f>IF($I100&gt;0,VLOOKUP(I100,'Lista de Precios'!$A$3:$H$2883,6,0),"")</f>
        <v/>
      </c>
      <c r="F100" s="76" t="str">
        <f>IF($I100&gt;0,VLOOKUP(I100,'Lista de Precios'!$A$3:$H$2883,8,0),"")</f>
        <v/>
      </c>
      <c r="G100" s="101" t="str">
        <f t="shared" si="17"/>
        <v/>
      </c>
      <c r="H100" s="20" t="s">
        <v>3</v>
      </c>
      <c r="I100" s="18"/>
      <c r="J100" s="28" t="str">
        <f t="shared" si="23"/>
        <v/>
      </c>
      <c r="K100" s="24">
        <f>+IF($I100&gt;0,VLOOKUP($I100,'Lista de Precios'!$A$3:$H$2883,5,0),0)</f>
        <v>0</v>
      </c>
      <c r="L100" s="37"/>
      <c r="M100" s="37"/>
      <c r="N100" s="37"/>
      <c r="O100" s="37"/>
      <c r="P100" s="40"/>
      <c r="Q100" s="39"/>
      <c r="R100" s="37"/>
      <c r="S100" s="37"/>
      <c r="T100" s="37"/>
      <c r="U100" s="37"/>
      <c r="V100" s="37"/>
      <c r="W100" s="37"/>
      <c r="X100" s="37"/>
      <c r="Y100" s="37"/>
      <c r="Z100" s="40"/>
      <c r="AA100" s="41"/>
      <c r="AB100" s="37"/>
      <c r="AC100" s="37"/>
      <c r="AD100" s="37"/>
      <c r="AE100" s="37"/>
      <c r="AF100" s="37"/>
      <c r="AG100" s="37"/>
      <c r="AH100" s="42"/>
      <c r="AI100" s="42"/>
      <c r="AJ100" s="43"/>
      <c r="AK100" s="43"/>
      <c r="AL100" s="43"/>
      <c r="AM100" s="73">
        <f t="shared" si="16"/>
        <v>0</v>
      </c>
      <c r="AN100" s="71" t="str">
        <f>+IF($I100&gt;0,VLOOKUP($I100,'Lista de Precios'!$A$3:$H$2883,4,0),"")</f>
        <v/>
      </c>
      <c r="AO100" s="68" t="str">
        <f t="shared" si="18"/>
        <v/>
      </c>
      <c r="AP100" s="7" t="str">
        <f>IF($I100&gt;0,VLOOKUP($I100,'Lista de Precios'!$A$3:$K$2883,10,0),"")</f>
        <v/>
      </c>
      <c r="AR100" s="7" t="str">
        <f>IF($I100&gt;0,VLOOKUP(I100,'Lista de Precios'!$A$3:$M$2883,13,0),"")</f>
        <v/>
      </c>
      <c r="HR100" s="134"/>
      <c r="HS100" s="134"/>
      <c r="HT100" s="134"/>
      <c r="HU100" s="134"/>
      <c r="HV100" s="134"/>
      <c r="HW100" s="134"/>
      <c r="HX100" s="134"/>
      <c r="HY100" s="134"/>
      <c r="HZ100" s="134"/>
      <c r="IA100" s="134"/>
      <c r="IB100" s="134"/>
      <c r="IC100" s="134"/>
      <c r="IE100" s="134"/>
      <c r="IF100" s="134"/>
      <c r="IG100" s="134"/>
      <c r="IH100" s="134"/>
      <c r="II100" s="134"/>
      <c r="IJ100" s="134"/>
      <c r="IK100" s="134"/>
      <c r="IL100" s="134"/>
      <c r="IM100" s="134"/>
      <c r="IN100" s="135"/>
      <c r="IO100" s="135"/>
      <c r="IP100" s="135"/>
    </row>
    <row r="101" spans="1:252" ht="23.25" customHeight="1" x14ac:dyDescent="0.25">
      <c r="A101" s="74">
        <f>IF($I101&gt;0,VLOOKUP(I101,'Lista de Precios'!$A$3:$L$2883,9,0),0)</f>
        <v>0</v>
      </c>
      <c r="B101" s="74">
        <f>IF($I101&gt;0,VLOOKUP(I101,'Lista de Precios'!$A$3:$H$2883,7,0),0)</f>
        <v>0</v>
      </c>
      <c r="C101" s="7" t="str">
        <f>IF($I101&gt;0,VLOOKUP(I101,'Lista de Precios'!$A$3:$H$2883,2,0),"")</f>
        <v/>
      </c>
      <c r="D101" s="7" t="str">
        <f>IF($I101&gt;0,VLOOKUP(I101,'Lista de Precios'!$A$3:$H$2883,3,0),"")</f>
        <v/>
      </c>
      <c r="E101" s="76" t="str">
        <f>IF($I101&gt;0,VLOOKUP(I101,'Lista de Precios'!$A$3:$H$2883,6,0),"")</f>
        <v/>
      </c>
      <c r="F101" s="76" t="str">
        <f>IF($I101&gt;0,VLOOKUP(I101,'Lista de Precios'!$A$3:$H$2883,8,0),"")</f>
        <v/>
      </c>
      <c r="G101" s="101" t="str">
        <f t="shared" si="17"/>
        <v/>
      </c>
      <c r="H101" s="20" t="s">
        <v>3</v>
      </c>
      <c r="I101" s="18"/>
      <c r="J101" s="28" t="str">
        <f t="shared" si="23"/>
        <v/>
      </c>
      <c r="K101" s="24">
        <f>+IF($I101&gt;0,VLOOKUP($I101,'Lista de Precios'!$A$3:$H$2883,5,0),0)</f>
        <v>0</v>
      </c>
      <c r="L101" s="36"/>
      <c r="M101" s="36"/>
      <c r="N101" s="36"/>
      <c r="O101" s="37"/>
      <c r="P101" s="38"/>
      <c r="Q101" s="39"/>
      <c r="R101" s="37"/>
      <c r="S101" s="37"/>
      <c r="T101" s="37"/>
      <c r="U101" s="37"/>
      <c r="V101" s="37"/>
      <c r="W101" s="37"/>
      <c r="X101" s="37"/>
      <c r="Y101" s="37"/>
      <c r="Z101" s="40"/>
      <c r="AA101" s="41"/>
      <c r="AB101" s="37"/>
      <c r="AC101" s="37"/>
      <c r="AD101" s="37"/>
      <c r="AE101" s="37"/>
      <c r="AF101" s="37"/>
      <c r="AG101" s="37"/>
      <c r="AH101" s="42"/>
      <c r="AI101" s="42"/>
      <c r="AJ101" s="43"/>
      <c r="AK101" s="43"/>
      <c r="AL101" s="43"/>
      <c r="AM101" s="73">
        <f t="shared" si="16"/>
        <v>0</v>
      </c>
      <c r="AN101" s="71" t="str">
        <f>+IF($I101&gt;0,VLOOKUP($I101,'Lista de Precios'!$A$3:$H$2883,4,0),"")</f>
        <v/>
      </c>
      <c r="AO101" s="68" t="str">
        <f t="shared" si="18"/>
        <v/>
      </c>
      <c r="AP101" s="7" t="str">
        <f>IF($I101&gt;0,VLOOKUP($I101,'Lista de Precios'!$A$3:$K$2883,10,0),"")</f>
        <v/>
      </c>
      <c r="AR101" s="7" t="str">
        <f>IF($I101&gt;0,VLOOKUP(I101,'Lista de Precios'!$A$3:$M$2883,13,0),"")</f>
        <v/>
      </c>
      <c r="HR101" s="134"/>
      <c r="HS101" s="134"/>
      <c r="HT101" s="134"/>
      <c r="HU101" s="134"/>
      <c r="HV101" s="134"/>
      <c r="HW101" s="134"/>
      <c r="HX101" s="134"/>
      <c r="HY101" s="134"/>
      <c r="HZ101" s="134"/>
      <c r="IA101" s="134"/>
      <c r="IB101" s="134"/>
      <c r="IC101" s="134"/>
      <c r="IE101" s="134"/>
      <c r="IF101" s="134"/>
      <c r="IG101" s="134"/>
      <c r="IH101" s="134"/>
      <c r="II101" s="134"/>
      <c r="IJ101" s="134"/>
      <c r="IK101" s="134"/>
      <c r="IL101" s="134"/>
      <c r="IM101" s="134"/>
      <c r="IN101" s="135"/>
      <c r="IO101" s="135"/>
      <c r="IP101" s="135"/>
    </row>
    <row r="102" spans="1:252" ht="23.25" customHeight="1" x14ac:dyDescent="0.25">
      <c r="A102" s="74">
        <f>IF($I102&gt;0,VLOOKUP(I102,'Lista de Precios'!$A$3:$L$2883,9,0),0)</f>
        <v>0</v>
      </c>
      <c r="B102" s="74">
        <f>IF($I102&gt;0,VLOOKUP(I102,'Lista de Precios'!$A$3:$H$2883,7,0),0)</f>
        <v>0</v>
      </c>
      <c r="C102" s="7" t="str">
        <f>IF($I102&gt;0,VLOOKUP(I102,'Lista de Precios'!$A$3:$H$2883,2,0),"")</f>
        <v/>
      </c>
      <c r="D102" s="7" t="str">
        <f>IF($I102&gt;0,VLOOKUP(I102,'Lista de Precios'!$A$3:$H$2883,3,0),"")</f>
        <v/>
      </c>
      <c r="E102" s="76" t="str">
        <f>IF($I102&gt;0,VLOOKUP(I102,'Lista de Precios'!$A$3:$H$2883,6,0),"")</f>
        <v/>
      </c>
      <c r="F102" s="76" t="str">
        <f>IF($I102&gt;0,VLOOKUP(I102,'Lista de Precios'!$A$3:$H$2883,8,0),"")</f>
        <v/>
      </c>
      <c r="G102" s="101" t="str">
        <f t="shared" si="17"/>
        <v/>
      </c>
      <c r="H102" s="20" t="s">
        <v>3</v>
      </c>
      <c r="I102" s="18"/>
      <c r="J102" s="28" t="str">
        <f t="shared" si="23"/>
        <v/>
      </c>
      <c r="K102" s="24">
        <f>+IF($I102&gt;0,VLOOKUP($I102,'Lista de Precios'!$A$3:$H$2883,5,0),0)</f>
        <v>0</v>
      </c>
      <c r="L102" s="37"/>
      <c r="M102" s="37"/>
      <c r="N102" s="37"/>
      <c r="O102" s="37"/>
      <c r="P102" s="40"/>
      <c r="Q102" s="39"/>
      <c r="R102" s="37"/>
      <c r="S102" s="37"/>
      <c r="T102" s="37"/>
      <c r="U102" s="37"/>
      <c r="V102" s="37"/>
      <c r="W102" s="37"/>
      <c r="X102" s="37"/>
      <c r="Y102" s="37"/>
      <c r="Z102" s="40"/>
      <c r="AA102" s="41"/>
      <c r="AB102" s="37"/>
      <c r="AC102" s="43"/>
      <c r="AD102" s="43"/>
      <c r="AE102" s="43"/>
      <c r="AF102" s="43"/>
      <c r="AG102" s="43"/>
      <c r="AH102" s="42"/>
      <c r="AI102" s="42"/>
      <c r="AJ102" s="42"/>
      <c r="AK102" s="42"/>
      <c r="AL102" s="43"/>
      <c r="AM102" s="73">
        <f t="shared" si="16"/>
        <v>0</v>
      </c>
      <c r="AN102" s="71" t="str">
        <f>+IF($I102&gt;0,VLOOKUP($I102,'Lista de Precios'!$A$3:$H$2883,4,0),"")</f>
        <v/>
      </c>
      <c r="AO102" s="68" t="str">
        <f t="shared" si="18"/>
        <v/>
      </c>
      <c r="AP102" s="7" t="str">
        <f>IF($I102&gt;0,VLOOKUP($I102,'Lista de Precios'!$A$3:$K$2883,10,0),"")</f>
        <v/>
      </c>
      <c r="AR102" s="7" t="str">
        <f>IF($I102&gt;0,VLOOKUP(I102,'Lista de Precios'!$A$3:$M$2883,13,0),"")</f>
        <v/>
      </c>
      <c r="HR102" s="134"/>
      <c r="HS102" s="134"/>
      <c r="HT102" s="134"/>
      <c r="HU102" s="134"/>
      <c r="HV102" s="134"/>
      <c r="HW102" s="134"/>
      <c r="HX102" s="134"/>
      <c r="HY102" s="134"/>
      <c r="HZ102" s="134"/>
      <c r="IA102" s="134"/>
      <c r="IB102" s="134"/>
      <c r="IC102" s="134"/>
      <c r="IE102" s="134"/>
      <c r="IF102" s="134"/>
      <c r="IG102" s="134"/>
      <c r="IH102" s="134"/>
      <c r="II102" s="134"/>
      <c r="IJ102" s="134"/>
      <c r="IK102" s="134"/>
      <c r="IL102" s="134"/>
      <c r="IM102" s="134"/>
      <c r="IN102" s="135"/>
      <c r="IO102" s="135"/>
      <c r="IP102" s="135"/>
    </row>
    <row r="103" spans="1:252" ht="23.25" customHeight="1" x14ac:dyDescent="0.25">
      <c r="A103" s="74">
        <f>IF($I103&gt;0,VLOOKUP(I103,'Lista de Precios'!$A$3:$L$2883,9,0),0)</f>
        <v>0</v>
      </c>
      <c r="B103" s="74">
        <f>IF($I103&gt;0,VLOOKUP(I103,'Lista de Precios'!$A$3:$H$2883,7,0),0)</f>
        <v>0</v>
      </c>
      <c r="C103" s="7" t="str">
        <f>IF($I103&gt;0,VLOOKUP(I103,'Lista de Precios'!$A$3:$H$2883,2,0),"")</f>
        <v/>
      </c>
      <c r="D103" s="7" t="str">
        <f>IF($I103&gt;0,VLOOKUP(I103,'Lista de Precios'!$A$3:$H$2883,3,0),"")</f>
        <v/>
      </c>
      <c r="E103" s="76" t="str">
        <f>IF($I103&gt;0,VLOOKUP(I103,'Lista de Precios'!$A$3:$H$2883,6,0),"")</f>
        <v/>
      </c>
      <c r="F103" s="76" t="str">
        <f>IF($I103&gt;0,VLOOKUP(I103,'Lista de Precios'!$A$3:$H$2883,8,0),"")</f>
        <v/>
      </c>
      <c r="G103" s="101" t="str">
        <f t="shared" si="17"/>
        <v/>
      </c>
      <c r="H103" s="20" t="s">
        <v>3</v>
      </c>
      <c r="I103" s="18"/>
      <c r="J103" s="28" t="str">
        <f t="shared" si="23"/>
        <v/>
      </c>
      <c r="K103" s="24">
        <f>+IF($I103&gt;0,VLOOKUP($I103,'Lista de Precios'!$A$3:$H$2883,5,0),0)</f>
        <v>0</v>
      </c>
      <c r="L103" s="36"/>
      <c r="M103" s="36"/>
      <c r="N103" s="36"/>
      <c r="O103" s="37"/>
      <c r="P103" s="38"/>
      <c r="Q103" s="45"/>
      <c r="R103" s="43"/>
      <c r="S103" s="43"/>
      <c r="T103" s="43"/>
      <c r="U103" s="43"/>
      <c r="V103" s="43"/>
      <c r="W103" s="43"/>
      <c r="X103" s="43"/>
      <c r="Y103" s="37"/>
      <c r="Z103" s="40"/>
      <c r="AA103" s="41"/>
      <c r="AB103" s="37"/>
      <c r="AC103" s="43"/>
      <c r="AD103" s="43"/>
      <c r="AE103" s="43"/>
      <c r="AF103" s="43"/>
      <c r="AG103" s="43"/>
      <c r="AH103" s="42"/>
      <c r="AI103" s="42"/>
      <c r="AJ103" s="42"/>
      <c r="AK103" s="42"/>
      <c r="AL103" s="43"/>
      <c r="AM103" s="73">
        <f t="shared" si="16"/>
        <v>0</v>
      </c>
      <c r="AN103" s="71" t="str">
        <f>+IF($I103&gt;0,VLOOKUP($I103,'Lista de Precios'!$A$3:$H$2883,4,0),"")</f>
        <v/>
      </c>
      <c r="AO103" s="68" t="str">
        <f t="shared" si="18"/>
        <v/>
      </c>
      <c r="AP103" s="7" t="str">
        <f>IF($I103&gt;0,VLOOKUP($I103,'Lista de Precios'!$A$3:$K$2883,10,0),"")</f>
        <v/>
      </c>
      <c r="AR103" s="7" t="str">
        <f>IF($I103&gt;0,VLOOKUP(I103,'Lista de Precios'!$A$3:$M$2883,13,0),"")</f>
        <v/>
      </c>
      <c r="HR103" s="134"/>
      <c r="HS103" s="134"/>
      <c r="HT103" s="134"/>
      <c r="HU103" s="134"/>
      <c r="HV103" s="134"/>
      <c r="HW103" s="134"/>
      <c r="HX103" s="134"/>
      <c r="HY103" s="134"/>
      <c r="HZ103" s="134"/>
      <c r="IA103" s="134"/>
      <c r="IB103" s="134"/>
      <c r="IC103" s="134"/>
      <c r="IE103" s="134"/>
      <c r="IF103" s="134"/>
      <c r="IG103" s="134"/>
      <c r="IH103" s="134"/>
      <c r="II103" s="134"/>
      <c r="IJ103" s="134"/>
      <c r="IK103" s="134"/>
      <c r="IL103" s="134"/>
      <c r="IM103" s="134"/>
      <c r="IN103" s="135"/>
      <c r="IO103" s="135"/>
      <c r="IP103" s="135"/>
    </row>
    <row r="104" spans="1:252" x14ac:dyDescent="0.2">
      <c r="C104" s="17"/>
      <c r="HT104" s="134"/>
      <c r="HU104" s="134"/>
      <c r="HV104" s="134"/>
      <c r="HW104" s="134"/>
      <c r="HX104" s="134"/>
      <c r="HY104" s="134"/>
      <c r="HZ104" s="134"/>
      <c r="IA104" s="134"/>
      <c r="IB104" s="134"/>
      <c r="IC104" s="134"/>
      <c r="ID104" s="134"/>
      <c r="IE104" s="134"/>
      <c r="IG104" s="134"/>
      <c r="IH104" s="134"/>
      <c r="II104" s="134"/>
      <c r="IJ104" s="134"/>
      <c r="IK104" s="134"/>
      <c r="IL104" s="134"/>
      <c r="IM104" s="134"/>
      <c r="IN104" s="134"/>
      <c r="IO104" s="134"/>
      <c r="IP104" s="134"/>
      <c r="IQ104" s="134"/>
      <c r="IR104" s="134"/>
    </row>
  </sheetData>
  <mergeCells count="6">
    <mergeCell ref="H12:I12"/>
    <mergeCell ref="D5:J5"/>
    <mergeCell ref="I7:Q8"/>
    <mergeCell ref="J9:K9"/>
    <mergeCell ref="M9:Q9"/>
    <mergeCell ref="H11:I11"/>
  </mergeCells>
  <conditionalFormatting sqref="A14:B20 A29:B103 A23:B27">
    <cfRule type="cellIs" dxfId="58" priority="33" stopIfTrue="1" operator="greaterThan">
      <formula>0</formula>
    </cfRule>
    <cfRule type="cellIs" dxfId="57" priority="34" stopIfTrue="1" operator="equal">
      <formula>0</formula>
    </cfRule>
    <cfRule type="cellIs" dxfId="56" priority="35" operator="greaterThan">
      <formula>0</formula>
    </cfRule>
    <cfRule type="cellIs" dxfId="55" priority="36" stopIfTrue="1" operator="greaterThan">
      <formula>0</formula>
    </cfRule>
    <cfRule type="cellIs" dxfId="54" priority="37" stopIfTrue="1" operator="equal">
      <formula>0</formula>
    </cfRule>
  </conditionalFormatting>
  <conditionalFormatting sqref="J14:J20 J29:J103 J23:J27">
    <cfRule type="cellIs" dxfId="53" priority="38" stopIfTrue="1" operator="lessThan">
      <formula>E14</formula>
    </cfRule>
  </conditionalFormatting>
  <conditionalFormatting sqref="A28:B28">
    <cfRule type="cellIs" dxfId="52" priority="14" stopIfTrue="1" operator="greaterThan">
      <formula>0</formula>
    </cfRule>
    <cfRule type="cellIs" dxfId="51" priority="15" stopIfTrue="1" operator="equal">
      <formula>0</formula>
    </cfRule>
    <cfRule type="cellIs" dxfId="50" priority="16" operator="greaterThan">
      <formula>0</formula>
    </cfRule>
    <cfRule type="cellIs" dxfId="49" priority="17" stopIfTrue="1" operator="greaterThan">
      <formula>0</formula>
    </cfRule>
    <cfRule type="cellIs" dxfId="48" priority="18" stopIfTrue="1" operator="equal">
      <formula>0</formula>
    </cfRule>
  </conditionalFormatting>
  <conditionalFormatting sqref="J28">
    <cfRule type="cellIs" dxfId="47" priority="13" stopIfTrue="1" operator="lessThan">
      <formula>E28</formula>
    </cfRule>
  </conditionalFormatting>
  <conditionalFormatting sqref="A21:B21">
    <cfRule type="cellIs" dxfId="23" priority="7" stopIfTrue="1" operator="greaterThan">
      <formula>0</formula>
    </cfRule>
    <cfRule type="cellIs" dxfId="22" priority="8" stopIfTrue="1" operator="equal">
      <formula>0</formula>
    </cfRule>
    <cfRule type="cellIs" dxfId="21" priority="9" operator="greaterThan">
      <formula>0</formula>
    </cfRule>
    <cfRule type="cellIs" dxfId="20" priority="10" stopIfTrue="1" operator="greaterThan">
      <formula>0</formula>
    </cfRule>
    <cfRule type="cellIs" dxfId="19" priority="11" stopIfTrue="1" operator="equal">
      <formula>0</formula>
    </cfRule>
  </conditionalFormatting>
  <conditionalFormatting sqref="J21">
    <cfRule type="cellIs" dxfId="13" priority="12" stopIfTrue="1" operator="lessThan">
      <formula>E21</formula>
    </cfRule>
  </conditionalFormatting>
  <conditionalFormatting sqref="A22:B22">
    <cfRule type="cellIs" dxfId="11" priority="1" stopIfTrue="1" operator="greaterThan">
      <formula>0</formula>
    </cfRule>
    <cfRule type="cellIs" dxfId="10" priority="2" stopIfTrue="1" operator="equal">
      <formula>0</formula>
    </cfRule>
    <cfRule type="cellIs" dxfId="9" priority="3" operator="greaterThan">
      <formula>0</formula>
    </cfRule>
    <cfRule type="cellIs" dxfId="8" priority="4" stopIfTrue="1" operator="greaterThan">
      <formula>0</formula>
    </cfRule>
    <cfRule type="cellIs" dxfId="7" priority="5" stopIfTrue="1" operator="equal">
      <formula>0</formula>
    </cfRule>
  </conditionalFormatting>
  <conditionalFormatting sqref="J22">
    <cfRule type="cellIs" dxfId="1" priority="6" stopIfTrue="1" operator="lessThan">
      <formula>E22</formula>
    </cfRule>
  </conditionalFormatting>
  <printOptions horizontalCentered="1"/>
  <pageMargins left="0" right="0" top="0.39370078740157483" bottom="0.39370078740157483" header="0" footer="0"/>
  <pageSetup paperSize="5" scale="38" fitToHeight="2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V1712"/>
  <sheetViews>
    <sheetView showGridLines="0" view="pageBreakPreview" zoomScale="85" zoomScaleNormal="90" zoomScaleSheetLayoutView="85" workbookViewId="0">
      <pane ySplit="2" topLeftCell="A198" activePane="bottomLeft" state="frozen"/>
      <selection activeCell="I3" sqref="I3:I8"/>
      <selection pane="bottomLeft" activeCell="B206" sqref="B206"/>
    </sheetView>
  </sheetViews>
  <sheetFormatPr baseColWidth="10" defaultColWidth="11.42578125" defaultRowHeight="12.75" x14ac:dyDescent="0.2"/>
  <cols>
    <col min="1" max="1" width="7.42578125" style="106" customWidth="1"/>
    <col min="2" max="2" width="38.5703125" style="106" bestFit="1" customWidth="1"/>
    <col min="3" max="3" width="44" style="106" bestFit="1" customWidth="1"/>
    <col min="4" max="4" width="12.5703125" style="110" bestFit="1" customWidth="1"/>
    <col min="5" max="5" width="7.7109375" style="106" bestFit="1" customWidth="1"/>
    <col min="6" max="6" width="13.7109375" style="111" bestFit="1" customWidth="1"/>
    <col min="7" max="7" width="13.7109375" style="111" customWidth="1"/>
    <col min="8" max="8" width="12.7109375" style="106" bestFit="1" customWidth="1"/>
    <col min="9" max="16384" width="11.42578125" style="106"/>
  </cols>
  <sheetData>
    <row r="1" spans="1:48" ht="13.5" thickBot="1" x14ac:dyDescent="0.25"/>
    <row r="2" spans="1:48" x14ac:dyDescent="0.2">
      <c r="A2" s="112" t="s">
        <v>37</v>
      </c>
      <c r="B2" s="113" t="s">
        <v>39</v>
      </c>
      <c r="C2" s="113" t="s">
        <v>40</v>
      </c>
      <c r="D2" s="114" t="s">
        <v>438</v>
      </c>
      <c r="E2" s="114" t="s">
        <v>41</v>
      </c>
      <c r="F2" s="115" t="s">
        <v>439</v>
      </c>
      <c r="G2" s="116" t="s">
        <v>58</v>
      </c>
      <c r="H2" s="116" t="s">
        <v>440</v>
      </c>
      <c r="I2" s="116" t="s">
        <v>441</v>
      </c>
      <c r="J2" s="117" t="s">
        <v>442</v>
      </c>
      <c r="K2" s="116" t="s">
        <v>443</v>
      </c>
      <c r="L2" s="115" t="s">
        <v>380</v>
      </c>
      <c r="M2" s="115" t="s">
        <v>608</v>
      </c>
    </row>
    <row r="3" spans="1:48" x14ac:dyDescent="0.2">
      <c r="A3" s="222">
        <v>52404</v>
      </c>
      <c r="B3" s="222" t="s">
        <v>598</v>
      </c>
      <c r="C3" s="222" t="s">
        <v>755</v>
      </c>
      <c r="D3" s="268">
        <f t="shared" ref="D3:D66" si="0">+L3/1.87</f>
        <v>53422.459893048122</v>
      </c>
      <c r="E3" s="269">
        <v>1</v>
      </c>
      <c r="F3" s="254" t="s">
        <v>543</v>
      </c>
      <c r="G3" s="222" t="s">
        <v>57</v>
      </c>
      <c r="H3" s="222" t="s">
        <v>716</v>
      </c>
      <c r="I3" s="224" t="s">
        <v>501</v>
      </c>
      <c r="J3" s="225" t="s">
        <v>542</v>
      </c>
      <c r="K3" s="225" t="s">
        <v>542</v>
      </c>
      <c r="L3" s="268">
        <v>99900</v>
      </c>
      <c r="M3" s="225" t="s">
        <v>720</v>
      </c>
      <c r="S3" s="121" t="s">
        <v>452</v>
      </c>
    </row>
    <row r="4" spans="1:48" x14ac:dyDescent="0.2">
      <c r="A4" s="222">
        <v>52405</v>
      </c>
      <c r="B4" s="222" t="s">
        <v>598</v>
      </c>
      <c r="C4" s="222" t="s">
        <v>756</v>
      </c>
      <c r="D4" s="268">
        <f t="shared" si="0"/>
        <v>53422.459893048122</v>
      </c>
      <c r="E4" s="269">
        <v>1</v>
      </c>
      <c r="F4" s="254" t="s">
        <v>545</v>
      </c>
      <c r="G4" s="222" t="s">
        <v>57</v>
      </c>
      <c r="H4" s="222" t="s">
        <v>716</v>
      </c>
      <c r="I4" s="224" t="s">
        <v>501</v>
      </c>
      <c r="J4" s="225" t="s">
        <v>542</v>
      </c>
      <c r="K4" s="225" t="s">
        <v>542</v>
      </c>
      <c r="L4" s="268">
        <v>99900</v>
      </c>
      <c r="M4" s="225" t="s">
        <v>720</v>
      </c>
      <c r="S4" s="121" t="s">
        <v>491</v>
      </c>
    </row>
    <row r="5" spans="1:48" x14ac:dyDescent="0.2">
      <c r="A5" s="222">
        <v>50626</v>
      </c>
      <c r="B5" s="222" t="s">
        <v>818</v>
      </c>
      <c r="C5" s="222" t="s">
        <v>819</v>
      </c>
      <c r="D5" s="268">
        <f t="shared" si="0"/>
        <v>42727.272727272728</v>
      </c>
      <c r="E5" s="269">
        <v>1</v>
      </c>
      <c r="F5" s="254" t="s">
        <v>546</v>
      </c>
      <c r="G5" s="222" t="s">
        <v>58</v>
      </c>
      <c r="H5" s="222" t="s">
        <v>376</v>
      </c>
      <c r="I5" s="224" t="s">
        <v>501</v>
      </c>
      <c r="J5" s="225" t="s">
        <v>542</v>
      </c>
      <c r="K5" s="225" t="s">
        <v>542</v>
      </c>
      <c r="L5" s="268">
        <v>79900</v>
      </c>
      <c r="M5" s="225" t="s">
        <v>720</v>
      </c>
      <c r="S5" s="118" t="s">
        <v>446</v>
      </c>
    </row>
    <row r="6" spans="1:48" x14ac:dyDescent="0.2">
      <c r="A6" s="222">
        <v>27355</v>
      </c>
      <c r="B6" s="222" t="s">
        <v>820</v>
      </c>
      <c r="C6" s="222" t="s">
        <v>821</v>
      </c>
      <c r="D6" s="268">
        <f t="shared" si="0"/>
        <v>40053.475935828872</v>
      </c>
      <c r="E6" s="269">
        <v>1</v>
      </c>
      <c r="F6" s="254" t="s">
        <v>544</v>
      </c>
      <c r="G6" s="222" t="s">
        <v>58</v>
      </c>
      <c r="H6" s="222" t="s">
        <v>376</v>
      </c>
      <c r="I6" s="224" t="s">
        <v>501</v>
      </c>
      <c r="J6" s="225" t="s">
        <v>542</v>
      </c>
      <c r="K6" s="225" t="s">
        <v>542</v>
      </c>
      <c r="L6" s="268">
        <v>74900</v>
      </c>
      <c r="M6" s="225" t="s">
        <v>720</v>
      </c>
      <c r="S6" s="118" t="s">
        <v>587</v>
      </c>
    </row>
    <row r="7" spans="1:48" x14ac:dyDescent="0.2">
      <c r="A7" s="222">
        <v>52397</v>
      </c>
      <c r="B7" s="222" t="s">
        <v>729</v>
      </c>
      <c r="C7" s="222" t="s">
        <v>730</v>
      </c>
      <c r="D7" s="268">
        <f t="shared" si="0"/>
        <v>50748.663101604274</v>
      </c>
      <c r="E7" s="269">
        <v>1</v>
      </c>
      <c r="F7" s="254" t="s">
        <v>544</v>
      </c>
      <c r="G7" s="222" t="s">
        <v>58</v>
      </c>
      <c r="H7" s="222" t="s">
        <v>376</v>
      </c>
      <c r="I7" s="224" t="s">
        <v>501</v>
      </c>
      <c r="J7" s="225" t="s">
        <v>533</v>
      </c>
      <c r="K7" s="225" t="s">
        <v>534</v>
      </c>
      <c r="L7" s="268">
        <v>94900</v>
      </c>
      <c r="M7" s="225" t="s">
        <v>719</v>
      </c>
      <c r="S7" s="118" t="s">
        <v>558</v>
      </c>
    </row>
    <row r="8" spans="1:48" x14ac:dyDescent="0.2">
      <c r="A8" s="222">
        <v>52398</v>
      </c>
      <c r="B8" s="222" t="s">
        <v>729</v>
      </c>
      <c r="C8" s="222" t="s">
        <v>731</v>
      </c>
      <c r="D8" s="268">
        <f t="shared" si="0"/>
        <v>50748.663101604274</v>
      </c>
      <c r="E8" s="269">
        <v>1</v>
      </c>
      <c r="F8" s="254" t="s">
        <v>544</v>
      </c>
      <c r="G8" s="222" t="s">
        <v>58</v>
      </c>
      <c r="H8" s="222" t="s">
        <v>374</v>
      </c>
      <c r="I8" s="224" t="s">
        <v>500</v>
      </c>
      <c r="J8" s="225" t="s">
        <v>533</v>
      </c>
      <c r="K8" s="225" t="s">
        <v>534</v>
      </c>
      <c r="L8" s="268">
        <v>94900</v>
      </c>
      <c r="M8" s="225" t="s">
        <v>719</v>
      </c>
      <c r="S8" s="118" t="s">
        <v>494</v>
      </c>
    </row>
    <row r="9" spans="1:48" x14ac:dyDescent="0.2">
      <c r="A9" s="222">
        <v>27335</v>
      </c>
      <c r="B9" s="222" t="s">
        <v>822</v>
      </c>
      <c r="C9" s="222" t="s">
        <v>823</v>
      </c>
      <c r="D9" s="268">
        <f t="shared" si="0"/>
        <v>42727.272727272728</v>
      </c>
      <c r="E9" s="269">
        <v>1</v>
      </c>
      <c r="F9" s="254" t="s">
        <v>545</v>
      </c>
      <c r="G9" s="222" t="s">
        <v>58</v>
      </c>
      <c r="H9" s="222" t="s">
        <v>376</v>
      </c>
      <c r="I9" s="224" t="s">
        <v>501</v>
      </c>
      <c r="J9" s="225" t="s">
        <v>533</v>
      </c>
      <c r="K9" s="225" t="s">
        <v>534</v>
      </c>
      <c r="L9" s="268">
        <v>79900</v>
      </c>
      <c r="M9" s="225" t="s">
        <v>719</v>
      </c>
      <c r="S9" s="118" t="s">
        <v>559</v>
      </c>
    </row>
    <row r="10" spans="1:48" x14ac:dyDescent="0.2">
      <c r="A10" s="222">
        <v>27336</v>
      </c>
      <c r="B10" s="222" t="s">
        <v>822</v>
      </c>
      <c r="C10" s="222" t="s">
        <v>824</v>
      </c>
      <c r="D10" s="268">
        <f t="shared" si="0"/>
        <v>42727.272727272728</v>
      </c>
      <c r="E10" s="269">
        <v>1</v>
      </c>
      <c r="F10" s="254" t="s">
        <v>545</v>
      </c>
      <c r="G10" s="222" t="s">
        <v>58</v>
      </c>
      <c r="H10" s="222" t="s">
        <v>374</v>
      </c>
      <c r="I10" s="224" t="s">
        <v>500</v>
      </c>
      <c r="J10" s="225" t="s">
        <v>533</v>
      </c>
      <c r="K10" s="225" t="s">
        <v>534</v>
      </c>
      <c r="L10" s="268">
        <v>79900</v>
      </c>
      <c r="M10" s="225" t="s">
        <v>719</v>
      </c>
      <c r="S10" s="122" t="s">
        <v>588</v>
      </c>
    </row>
    <row r="11" spans="1:48" x14ac:dyDescent="0.2">
      <c r="A11" s="222">
        <v>25860</v>
      </c>
      <c r="B11" s="222" t="s">
        <v>680</v>
      </c>
      <c r="C11" s="222" t="s">
        <v>698</v>
      </c>
      <c r="D11" s="268">
        <f t="shared" si="0"/>
        <v>40053.475935828872</v>
      </c>
      <c r="E11" s="269">
        <v>1</v>
      </c>
      <c r="F11" s="254" t="s">
        <v>543</v>
      </c>
      <c r="G11" s="222" t="s">
        <v>524</v>
      </c>
      <c r="H11" s="222" t="s">
        <v>375</v>
      </c>
      <c r="I11" s="224" t="s">
        <v>501</v>
      </c>
      <c r="J11" s="225" t="s">
        <v>533</v>
      </c>
      <c r="K11" s="225" t="s">
        <v>534</v>
      </c>
      <c r="L11" s="268">
        <v>74900</v>
      </c>
      <c r="M11" s="225" t="s">
        <v>719</v>
      </c>
      <c r="S11" s="118" t="s">
        <v>519</v>
      </c>
    </row>
    <row r="12" spans="1:48" x14ac:dyDescent="0.2">
      <c r="A12" s="222">
        <v>26442</v>
      </c>
      <c r="B12" s="222" t="s">
        <v>680</v>
      </c>
      <c r="C12" s="222" t="s">
        <v>732</v>
      </c>
      <c r="D12" s="268">
        <f t="shared" si="0"/>
        <v>40053.475935828872</v>
      </c>
      <c r="E12" s="269">
        <v>1</v>
      </c>
      <c r="F12" s="254" t="s">
        <v>543</v>
      </c>
      <c r="G12" s="222" t="s">
        <v>524</v>
      </c>
      <c r="H12" s="222" t="s">
        <v>375</v>
      </c>
      <c r="I12" s="224" t="s">
        <v>501</v>
      </c>
      <c r="J12" s="225" t="s">
        <v>533</v>
      </c>
      <c r="K12" s="225" t="s">
        <v>534</v>
      </c>
      <c r="L12" s="268">
        <v>74900</v>
      </c>
      <c r="M12" s="225" t="s">
        <v>719</v>
      </c>
      <c r="S12" s="118" t="s">
        <v>560</v>
      </c>
      <c r="AV12" s="106" t="e">
        <f>IF($I12&gt;0,VLOOKUP($I12,,10,0),"")</f>
        <v>#N/A</v>
      </c>
    </row>
    <row r="13" spans="1:48" x14ac:dyDescent="0.2">
      <c r="A13" s="222">
        <v>27337</v>
      </c>
      <c r="B13" s="222" t="s">
        <v>680</v>
      </c>
      <c r="C13" s="222" t="s">
        <v>825</v>
      </c>
      <c r="D13" s="268">
        <f t="shared" si="0"/>
        <v>40053.475935828872</v>
      </c>
      <c r="E13" s="269">
        <v>1</v>
      </c>
      <c r="F13" s="254" t="s">
        <v>544</v>
      </c>
      <c r="G13" s="222" t="s">
        <v>57</v>
      </c>
      <c r="H13" s="222" t="s">
        <v>375</v>
      </c>
      <c r="I13" s="224" t="s">
        <v>501</v>
      </c>
      <c r="J13" s="225" t="s">
        <v>533</v>
      </c>
      <c r="K13" s="225" t="s">
        <v>534</v>
      </c>
      <c r="L13" s="268">
        <v>74900</v>
      </c>
      <c r="M13" s="225" t="s">
        <v>719</v>
      </c>
      <c r="S13" s="118" t="s">
        <v>507</v>
      </c>
    </row>
    <row r="14" spans="1:48" x14ac:dyDescent="0.2">
      <c r="A14" s="222">
        <v>26443</v>
      </c>
      <c r="B14" s="222" t="s">
        <v>680</v>
      </c>
      <c r="C14" s="222" t="s">
        <v>632</v>
      </c>
      <c r="D14" s="268">
        <f t="shared" si="0"/>
        <v>40053.475935828872</v>
      </c>
      <c r="E14" s="269">
        <v>1</v>
      </c>
      <c r="F14" s="254" t="s">
        <v>544</v>
      </c>
      <c r="G14" s="222" t="s">
        <v>524</v>
      </c>
      <c r="H14" s="222" t="s">
        <v>374</v>
      </c>
      <c r="I14" s="224" t="s">
        <v>500</v>
      </c>
      <c r="J14" s="225" t="s">
        <v>533</v>
      </c>
      <c r="K14" s="225" t="s">
        <v>534</v>
      </c>
      <c r="L14" s="268">
        <v>74900</v>
      </c>
      <c r="M14" s="225" t="s">
        <v>719</v>
      </c>
      <c r="S14" s="118" t="s">
        <v>520</v>
      </c>
    </row>
    <row r="15" spans="1:48" x14ac:dyDescent="0.2">
      <c r="A15" s="222">
        <v>26444</v>
      </c>
      <c r="B15" s="222" t="s">
        <v>680</v>
      </c>
      <c r="C15" s="222" t="s">
        <v>733</v>
      </c>
      <c r="D15" s="268">
        <f t="shared" si="0"/>
        <v>40053.475935828872</v>
      </c>
      <c r="E15" s="269">
        <v>1</v>
      </c>
      <c r="F15" s="254" t="s">
        <v>544</v>
      </c>
      <c r="G15" s="222" t="s">
        <v>524</v>
      </c>
      <c r="H15" s="222" t="s">
        <v>374</v>
      </c>
      <c r="I15" s="224" t="s">
        <v>500</v>
      </c>
      <c r="J15" s="225" t="s">
        <v>533</v>
      </c>
      <c r="K15" s="225" t="s">
        <v>534</v>
      </c>
      <c r="L15" s="268">
        <v>74900</v>
      </c>
      <c r="M15" s="225" t="s">
        <v>719</v>
      </c>
      <c r="S15" s="118" t="s">
        <v>521</v>
      </c>
    </row>
    <row r="16" spans="1:48" x14ac:dyDescent="0.2">
      <c r="A16" s="222">
        <v>27338</v>
      </c>
      <c r="B16" s="222" t="s">
        <v>680</v>
      </c>
      <c r="C16" s="222" t="s">
        <v>826</v>
      </c>
      <c r="D16" s="268">
        <f t="shared" si="0"/>
        <v>40053.475935828872</v>
      </c>
      <c r="E16" s="269">
        <v>1</v>
      </c>
      <c r="F16" s="254" t="s">
        <v>544</v>
      </c>
      <c r="G16" s="222" t="s">
        <v>57</v>
      </c>
      <c r="H16" s="222" t="s">
        <v>374</v>
      </c>
      <c r="I16" s="224" t="s">
        <v>500</v>
      </c>
      <c r="J16" s="225" t="s">
        <v>533</v>
      </c>
      <c r="K16" s="225" t="s">
        <v>534</v>
      </c>
      <c r="L16" s="268">
        <v>74900</v>
      </c>
      <c r="M16" s="225" t="s">
        <v>719</v>
      </c>
      <c r="S16" s="118" t="s">
        <v>378</v>
      </c>
    </row>
    <row r="17" spans="1:19" x14ac:dyDescent="0.2">
      <c r="A17" s="222">
        <v>25787</v>
      </c>
      <c r="B17" s="222" t="s">
        <v>681</v>
      </c>
      <c r="C17" s="222" t="s">
        <v>602</v>
      </c>
      <c r="D17" s="268">
        <f t="shared" si="0"/>
        <v>36844.919786096252</v>
      </c>
      <c r="E17" s="269">
        <v>1</v>
      </c>
      <c r="F17" s="254" t="s">
        <v>543</v>
      </c>
      <c r="G17" s="222" t="s">
        <v>524</v>
      </c>
      <c r="H17" s="222" t="s">
        <v>376</v>
      </c>
      <c r="I17" s="224" t="s">
        <v>501</v>
      </c>
      <c r="J17" s="225" t="s">
        <v>533</v>
      </c>
      <c r="K17" s="225" t="s">
        <v>534</v>
      </c>
      <c r="L17" s="268">
        <v>68900</v>
      </c>
      <c r="M17" s="225" t="s">
        <v>719</v>
      </c>
      <c r="S17" s="118" t="s">
        <v>495</v>
      </c>
    </row>
    <row r="18" spans="1:19" x14ac:dyDescent="0.2">
      <c r="A18" s="222">
        <v>26445</v>
      </c>
      <c r="B18" s="222" t="s">
        <v>681</v>
      </c>
      <c r="C18" s="222" t="s">
        <v>734</v>
      </c>
      <c r="D18" s="268">
        <f t="shared" si="0"/>
        <v>36844.919786096252</v>
      </c>
      <c r="E18" s="269">
        <v>1</v>
      </c>
      <c r="F18" s="254" t="s">
        <v>543</v>
      </c>
      <c r="G18" s="222" t="s">
        <v>524</v>
      </c>
      <c r="H18" s="222" t="s">
        <v>376</v>
      </c>
      <c r="I18" s="224" t="s">
        <v>501</v>
      </c>
      <c r="J18" s="225" t="s">
        <v>533</v>
      </c>
      <c r="K18" s="225" t="s">
        <v>534</v>
      </c>
      <c r="L18" s="268">
        <v>68900</v>
      </c>
      <c r="M18" s="225" t="s">
        <v>719</v>
      </c>
      <c r="S18" s="118" t="s">
        <v>492</v>
      </c>
    </row>
    <row r="19" spans="1:19" x14ac:dyDescent="0.2">
      <c r="A19" s="222">
        <v>25792</v>
      </c>
      <c r="B19" s="222" t="s">
        <v>681</v>
      </c>
      <c r="C19" s="222" t="s">
        <v>627</v>
      </c>
      <c r="D19" s="268">
        <f t="shared" si="0"/>
        <v>36844.919786096252</v>
      </c>
      <c r="E19" s="269">
        <v>1</v>
      </c>
      <c r="F19" s="254" t="s">
        <v>544</v>
      </c>
      <c r="G19" s="222" t="s">
        <v>524</v>
      </c>
      <c r="H19" s="222" t="s">
        <v>374</v>
      </c>
      <c r="I19" s="224" t="s">
        <v>500</v>
      </c>
      <c r="J19" s="225" t="s">
        <v>533</v>
      </c>
      <c r="K19" s="225" t="s">
        <v>534</v>
      </c>
      <c r="L19" s="268">
        <v>68900</v>
      </c>
      <c r="M19" s="225" t="s">
        <v>719</v>
      </c>
      <c r="S19" s="122" t="s">
        <v>589</v>
      </c>
    </row>
    <row r="20" spans="1:19" x14ac:dyDescent="0.2">
      <c r="A20" s="222">
        <v>27339</v>
      </c>
      <c r="B20" s="222" t="s">
        <v>681</v>
      </c>
      <c r="C20" s="222" t="s">
        <v>827</v>
      </c>
      <c r="D20" s="268">
        <f t="shared" si="0"/>
        <v>36844.919786096252</v>
      </c>
      <c r="E20" s="269">
        <v>1</v>
      </c>
      <c r="F20" s="254" t="s">
        <v>544</v>
      </c>
      <c r="G20" s="222" t="s">
        <v>57</v>
      </c>
      <c r="H20" s="222" t="s">
        <v>374</v>
      </c>
      <c r="I20" s="224" t="s">
        <v>500</v>
      </c>
      <c r="J20" s="225" t="s">
        <v>533</v>
      </c>
      <c r="K20" s="225" t="s">
        <v>534</v>
      </c>
      <c r="L20" s="268">
        <v>68900</v>
      </c>
      <c r="M20" s="225" t="s">
        <v>719</v>
      </c>
      <c r="S20" s="118" t="s">
        <v>510</v>
      </c>
    </row>
    <row r="21" spans="1:19" x14ac:dyDescent="0.2">
      <c r="A21" s="222">
        <v>27340</v>
      </c>
      <c r="B21" s="222" t="s">
        <v>828</v>
      </c>
      <c r="C21" s="222" t="s">
        <v>829</v>
      </c>
      <c r="D21" s="268">
        <f t="shared" si="0"/>
        <v>32032.085561497326</v>
      </c>
      <c r="E21" s="269">
        <v>1</v>
      </c>
      <c r="F21" s="254" t="s">
        <v>545</v>
      </c>
      <c r="G21" s="222" t="s">
        <v>58</v>
      </c>
      <c r="H21" s="222" t="s">
        <v>376</v>
      </c>
      <c r="I21" s="224" t="s">
        <v>501</v>
      </c>
      <c r="J21" s="225" t="s">
        <v>533</v>
      </c>
      <c r="K21" s="225" t="s">
        <v>534</v>
      </c>
      <c r="L21" s="268">
        <v>59900</v>
      </c>
      <c r="M21" s="225" t="s">
        <v>719</v>
      </c>
      <c r="S21" s="118" t="s">
        <v>590</v>
      </c>
    </row>
    <row r="22" spans="1:19" x14ac:dyDescent="0.2">
      <c r="A22" s="222">
        <v>27341</v>
      </c>
      <c r="B22" s="222" t="s">
        <v>828</v>
      </c>
      <c r="C22" s="222" t="s">
        <v>830</v>
      </c>
      <c r="D22" s="268">
        <f t="shared" si="0"/>
        <v>32032.085561497326</v>
      </c>
      <c r="E22" s="269">
        <v>1</v>
      </c>
      <c r="F22" s="254" t="s">
        <v>545</v>
      </c>
      <c r="G22" s="222" t="s">
        <v>58</v>
      </c>
      <c r="H22" s="222" t="s">
        <v>374</v>
      </c>
      <c r="I22" s="224" t="s">
        <v>500</v>
      </c>
      <c r="J22" s="225" t="s">
        <v>533</v>
      </c>
      <c r="K22" s="225" t="s">
        <v>534</v>
      </c>
      <c r="L22" s="268">
        <v>59900</v>
      </c>
      <c r="M22" s="225" t="s">
        <v>719</v>
      </c>
      <c r="S22" s="118" t="s">
        <v>522</v>
      </c>
    </row>
    <row r="23" spans="1:19" x14ac:dyDescent="0.2">
      <c r="A23" s="222">
        <v>27342</v>
      </c>
      <c r="B23" s="222" t="s">
        <v>828</v>
      </c>
      <c r="C23" s="222" t="s">
        <v>831</v>
      </c>
      <c r="D23" s="268">
        <f t="shared" si="0"/>
        <v>32032.085561497326</v>
      </c>
      <c r="E23" s="269">
        <v>1</v>
      </c>
      <c r="F23" s="254" t="s">
        <v>545</v>
      </c>
      <c r="G23" s="222" t="s">
        <v>58</v>
      </c>
      <c r="H23" s="222" t="s">
        <v>374</v>
      </c>
      <c r="I23" s="224" t="s">
        <v>500</v>
      </c>
      <c r="J23" s="225" t="s">
        <v>533</v>
      </c>
      <c r="K23" s="225" t="s">
        <v>534</v>
      </c>
      <c r="L23" s="268">
        <v>59900</v>
      </c>
      <c r="M23" s="225" t="s">
        <v>719</v>
      </c>
      <c r="S23" s="118" t="s">
        <v>47</v>
      </c>
    </row>
    <row r="24" spans="1:19" x14ac:dyDescent="0.2">
      <c r="A24" s="222">
        <v>52399</v>
      </c>
      <c r="B24" s="222" t="s">
        <v>739</v>
      </c>
      <c r="C24" s="222" t="s">
        <v>740</v>
      </c>
      <c r="D24" s="268">
        <f t="shared" si="0"/>
        <v>44331.550802139034</v>
      </c>
      <c r="E24" s="269">
        <v>1</v>
      </c>
      <c r="F24" s="254" t="s">
        <v>544</v>
      </c>
      <c r="G24" s="222" t="s">
        <v>524</v>
      </c>
      <c r="H24" s="222" t="s">
        <v>374</v>
      </c>
      <c r="I24" s="224" t="s">
        <v>500</v>
      </c>
      <c r="J24" s="225" t="s">
        <v>535</v>
      </c>
      <c r="K24" s="225" t="s">
        <v>535</v>
      </c>
      <c r="L24" s="268">
        <v>82900</v>
      </c>
      <c r="M24" s="225" t="s">
        <v>719</v>
      </c>
      <c r="S24" s="118" t="s">
        <v>496</v>
      </c>
    </row>
    <row r="25" spans="1:19" x14ac:dyDescent="0.2">
      <c r="A25" s="222">
        <v>52400</v>
      </c>
      <c r="B25" s="222" t="s">
        <v>739</v>
      </c>
      <c r="C25" s="222" t="s">
        <v>741</v>
      </c>
      <c r="D25" s="268">
        <f t="shared" si="0"/>
        <v>44331.550802139034</v>
      </c>
      <c r="E25" s="269">
        <v>1</v>
      </c>
      <c r="F25" s="254" t="s">
        <v>544</v>
      </c>
      <c r="G25" s="222" t="s">
        <v>524</v>
      </c>
      <c r="H25" s="222" t="s">
        <v>374</v>
      </c>
      <c r="I25" s="224" t="s">
        <v>500</v>
      </c>
      <c r="J25" s="225" t="s">
        <v>535</v>
      </c>
      <c r="K25" s="225" t="s">
        <v>535</v>
      </c>
      <c r="L25" s="268">
        <v>82900</v>
      </c>
      <c r="M25" s="225" t="s">
        <v>719</v>
      </c>
      <c r="S25" s="118" t="s">
        <v>563</v>
      </c>
    </row>
    <row r="26" spans="1:19" x14ac:dyDescent="0.2">
      <c r="A26" s="222">
        <v>25652</v>
      </c>
      <c r="B26" s="222" t="s">
        <v>739</v>
      </c>
      <c r="C26" s="222" t="s">
        <v>832</v>
      </c>
      <c r="D26" s="268">
        <f t="shared" si="0"/>
        <v>44331.550802139034</v>
      </c>
      <c r="E26" s="269">
        <v>1</v>
      </c>
      <c r="F26" s="254" t="s">
        <v>545</v>
      </c>
      <c r="G26" s="222" t="s">
        <v>57</v>
      </c>
      <c r="H26" s="222" t="s">
        <v>374</v>
      </c>
      <c r="I26" s="224" t="s">
        <v>500</v>
      </c>
      <c r="J26" s="225" t="s">
        <v>535</v>
      </c>
      <c r="K26" s="225" t="s">
        <v>535</v>
      </c>
      <c r="L26" s="268">
        <v>82900</v>
      </c>
      <c r="M26" s="225" t="s">
        <v>719</v>
      </c>
      <c r="S26"/>
    </row>
    <row r="27" spans="1:19" x14ac:dyDescent="0.2">
      <c r="A27" s="222">
        <v>26555</v>
      </c>
      <c r="B27" s="222" t="s">
        <v>629</v>
      </c>
      <c r="C27" s="222" t="s">
        <v>630</v>
      </c>
      <c r="D27" s="268">
        <f t="shared" si="0"/>
        <v>42192.513368983957</v>
      </c>
      <c r="E27" s="269">
        <v>1</v>
      </c>
      <c r="F27" s="254" t="s">
        <v>543</v>
      </c>
      <c r="G27" s="222" t="s">
        <v>524</v>
      </c>
      <c r="H27" s="222" t="s">
        <v>376</v>
      </c>
      <c r="I27" s="224" t="s">
        <v>501</v>
      </c>
      <c r="J27" s="225" t="s">
        <v>535</v>
      </c>
      <c r="K27" s="225" t="s">
        <v>535</v>
      </c>
      <c r="L27" s="268">
        <v>78900</v>
      </c>
      <c r="M27" s="225" t="s">
        <v>719</v>
      </c>
      <c r="S27"/>
    </row>
    <row r="28" spans="1:19" x14ac:dyDescent="0.2">
      <c r="A28" s="222">
        <v>27350</v>
      </c>
      <c r="B28" s="222" t="s">
        <v>629</v>
      </c>
      <c r="C28" s="222" t="s">
        <v>833</v>
      </c>
      <c r="D28" s="268">
        <f t="shared" si="0"/>
        <v>42192.513368983957</v>
      </c>
      <c r="E28" s="269">
        <v>1</v>
      </c>
      <c r="F28" s="254" t="s">
        <v>544</v>
      </c>
      <c r="G28" s="222" t="s">
        <v>57</v>
      </c>
      <c r="H28" s="222" t="s">
        <v>376</v>
      </c>
      <c r="I28" s="224" t="s">
        <v>501</v>
      </c>
      <c r="J28" s="225" t="s">
        <v>535</v>
      </c>
      <c r="K28" s="225" t="s">
        <v>535</v>
      </c>
      <c r="L28" s="268">
        <v>78900</v>
      </c>
      <c r="M28" s="225" t="s">
        <v>719</v>
      </c>
      <c r="S28"/>
    </row>
    <row r="29" spans="1:19" x14ac:dyDescent="0.2">
      <c r="A29" s="222">
        <v>27351</v>
      </c>
      <c r="B29" s="222" t="s">
        <v>629</v>
      </c>
      <c r="C29" s="222" t="s">
        <v>834</v>
      </c>
      <c r="D29" s="268">
        <f t="shared" si="0"/>
        <v>42192.513368983957</v>
      </c>
      <c r="E29" s="269">
        <v>1</v>
      </c>
      <c r="F29" s="254" t="s">
        <v>544</v>
      </c>
      <c r="G29" s="222" t="s">
        <v>57</v>
      </c>
      <c r="H29" s="222" t="s">
        <v>374</v>
      </c>
      <c r="I29" s="224" t="s">
        <v>500</v>
      </c>
      <c r="J29" s="225" t="s">
        <v>535</v>
      </c>
      <c r="K29" s="225" t="s">
        <v>535</v>
      </c>
      <c r="L29" s="268">
        <v>78900</v>
      </c>
      <c r="M29" s="225" t="s">
        <v>719</v>
      </c>
      <c r="S29"/>
    </row>
    <row r="30" spans="1:19" x14ac:dyDescent="0.2">
      <c r="A30" s="222">
        <v>26448</v>
      </c>
      <c r="B30" s="222" t="s">
        <v>629</v>
      </c>
      <c r="C30" s="222" t="s">
        <v>742</v>
      </c>
      <c r="D30" s="268">
        <f t="shared" si="0"/>
        <v>42192.513368983957</v>
      </c>
      <c r="E30" s="269">
        <v>1</v>
      </c>
      <c r="F30" s="254" t="s">
        <v>543</v>
      </c>
      <c r="G30" s="222" t="s">
        <v>524</v>
      </c>
      <c r="H30" s="222" t="s">
        <v>374</v>
      </c>
      <c r="I30" s="224" t="s">
        <v>500</v>
      </c>
      <c r="J30" s="225" t="s">
        <v>535</v>
      </c>
      <c r="K30" s="225" t="s">
        <v>535</v>
      </c>
      <c r="L30" s="268">
        <v>78900</v>
      </c>
      <c r="M30" s="225" t="s">
        <v>719</v>
      </c>
      <c r="S30"/>
    </row>
    <row r="31" spans="1:19" x14ac:dyDescent="0.2">
      <c r="A31" s="222">
        <v>52369</v>
      </c>
      <c r="B31" s="222" t="s">
        <v>682</v>
      </c>
      <c r="C31" s="222" t="s">
        <v>699</v>
      </c>
      <c r="D31" s="268">
        <f t="shared" si="0"/>
        <v>42192.513368983957</v>
      </c>
      <c r="E31" s="269">
        <v>1</v>
      </c>
      <c r="F31" s="254" t="s">
        <v>543</v>
      </c>
      <c r="G31" s="222" t="s">
        <v>524</v>
      </c>
      <c r="H31" s="222" t="s">
        <v>376</v>
      </c>
      <c r="I31" s="224" t="s">
        <v>501</v>
      </c>
      <c r="J31" s="225" t="s">
        <v>535</v>
      </c>
      <c r="K31" s="225" t="s">
        <v>535</v>
      </c>
      <c r="L31" s="268">
        <v>78900</v>
      </c>
      <c r="M31" s="225" t="s">
        <v>719</v>
      </c>
      <c r="S31"/>
    </row>
    <row r="32" spans="1:19" x14ac:dyDescent="0.2">
      <c r="A32" s="222">
        <v>52401</v>
      </c>
      <c r="B32" s="222" t="s">
        <v>682</v>
      </c>
      <c r="C32" s="222" t="s">
        <v>736</v>
      </c>
      <c r="D32" s="268">
        <f t="shared" si="0"/>
        <v>42192.513368983957</v>
      </c>
      <c r="E32" s="269">
        <v>1</v>
      </c>
      <c r="F32" s="254" t="s">
        <v>545</v>
      </c>
      <c r="G32" s="222" t="s">
        <v>57</v>
      </c>
      <c r="H32" s="222" t="s">
        <v>376</v>
      </c>
      <c r="I32" s="224" t="s">
        <v>501</v>
      </c>
      <c r="J32" s="225" t="s">
        <v>535</v>
      </c>
      <c r="K32" s="225" t="s">
        <v>535</v>
      </c>
      <c r="L32" s="268">
        <v>78900</v>
      </c>
      <c r="M32" s="225" t="s">
        <v>719</v>
      </c>
      <c r="S32"/>
    </row>
    <row r="33" spans="1:19" x14ac:dyDescent="0.2">
      <c r="A33" s="222">
        <v>52402</v>
      </c>
      <c r="B33" s="222" t="s">
        <v>682</v>
      </c>
      <c r="C33" s="222" t="s">
        <v>835</v>
      </c>
      <c r="D33" s="268">
        <f t="shared" si="0"/>
        <v>42192.513368983957</v>
      </c>
      <c r="E33" s="269">
        <v>1</v>
      </c>
      <c r="F33" s="254" t="s">
        <v>545</v>
      </c>
      <c r="G33" s="222" t="s">
        <v>57</v>
      </c>
      <c r="H33" s="222" t="s">
        <v>374</v>
      </c>
      <c r="I33" s="224" t="s">
        <v>500</v>
      </c>
      <c r="J33" s="225" t="s">
        <v>535</v>
      </c>
      <c r="K33" s="225" t="s">
        <v>535</v>
      </c>
      <c r="L33" s="268">
        <v>78900</v>
      </c>
      <c r="M33" s="225" t="s">
        <v>719</v>
      </c>
      <c r="S33"/>
    </row>
    <row r="34" spans="1:19" x14ac:dyDescent="0.2">
      <c r="A34" s="222">
        <v>52403</v>
      </c>
      <c r="B34" s="222" t="s">
        <v>682</v>
      </c>
      <c r="C34" s="222" t="s">
        <v>836</v>
      </c>
      <c r="D34" s="268">
        <f t="shared" si="0"/>
        <v>42192.513368983957</v>
      </c>
      <c r="E34" s="269">
        <v>1</v>
      </c>
      <c r="F34" s="254" t="s">
        <v>545</v>
      </c>
      <c r="G34" s="222" t="s">
        <v>57</v>
      </c>
      <c r="H34" s="222" t="s">
        <v>374</v>
      </c>
      <c r="I34" s="224" t="s">
        <v>500</v>
      </c>
      <c r="J34" s="225" t="s">
        <v>535</v>
      </c>
      <c r="K34" s="225" t="s">
        <v>535</v>
      </c>
      <c r="L34" s="268">
        <v>78900</v>
      </c>
      <c r="M34" s="225" t="s">
        <v>719</v>
      </c>
      <c r="S34"/>
    </row>
    <row r="35" spans="1:19" x14ac:dyDescent="0.2">
      <c r="A35" s="222">
        <v>52245</v>
      </c>
      <c r="B35" s="222" t="s">
        <v>596</v>
      </c>
      <c r="C35" s="222" t="s">
        <v>735</v>
      </c>
      <c r="D35" s="268">
        <f t="shared" si="0"/>
        <v>40053.475935828872</v>
      </c>
      <c r="E35" s="269">
        <v>1</v>
      </c>
      <c r="F35" s="254" t="s">
        <v>543</v>
      </c>
      <c r="G35" s="222" t="s">
        <v>524</v>
      </c>
      <c r="H35" s="222" t="s">
        <v>375</v>
      </c>
      <c r="I35" s="224" t="s">
        <v>501</v>
      </c>
      <c r="J35" s="225" t="s">
        <v>535</v>
      </c>
      <c r="K35" s="225" t="s">
        <v>535</v>
      </c>
      <c r="L35" s="268">
        <v>74900</v>
      </c>
      <c r="M35" s="225" t="s">
        <v>719</v>
      </c>
      <c r="S35"/>
    </row>
    <row r="36" spans="1:19" x14ac:dyDescent="0.2">
      <c r="A36" s="222">
        <v>52246</v>
      </c>
      <c r="B36" s="222" t="s">
        <v>596</v>
      </c>
      <c r="C36" s="222" t="s">
        <v>736</v>
      </c>
      <c r="D36" s="268">
        <f t="shared" si="0"/>
        <v>40053.475935828872</v>
      </c>
      <c r="E36" s="269">
        <v>1</v>
      </c>
      <c r="F36" s="254" t="s">
        <v>543</v>
      </c>
      <c r="G36" s="222" t="s">
        <v>524</v>
      </c>
      <c r="H36" s="222" t="s">
        <v>375</v>
      </c>
      <c r="I36" s="224" t="s">
        <v>501</v>
      </c>
      <c r="J36" s="225" t="s">
        <v>535</v>
      </c>
      <c r="K36" s="225" t="s">
        <v>535</v>
      </c>
      <c r="L36" s="268">
        <v>74900</v>
      </c>
      <c r="M36" s="225" t="s">
        <v>719</v>
      </c>
      <c r="S36"/>
    </row>
    <row r="37" spans="1:19" x14ac:dyDescent="0.2">
      <c r="A37" s="222">
        <v>52247</v>
      </c>
      <c r="B37" s="222" t="s">
        <v>596</v>
      </c>
      <c r="C37" s="222" t="s">
        <v>737</v>
      </c>
      <c r="D37" s="268">
        <f t="shared" si="0"/>
        <v>40053.475935828872</v>
      </c>
      <c r="E37" s="269">
        <v>1</v>
      </c>
      <c r="F37" s="254" t="s">
        <v>543</v>
      </c>
      <c r="G37" s="222" t="s">
        <v>524</v>
      </c>
      <c r="H37" s="222" t="s">
        <v>374</v>
      </c>
      <c r="I37" s="224" t="s">
        <v>500</v>
      </c>
      <c r="J37" s="225" t="s">
        <v>535</v>
      </c>
      <c r="K37" s="225" t="s">
        <v>535</v>
      </c>
      <c r="L37" s="268">
        <v>74900</v>
      </c>
      <c r="M37" s="225" t="s">
        <v>719</v>
      </c>
      <c r="S37"/>
    </row>
    <row r="38" spans="1:19" x14ac:dyDescent="0.2">
      <c r="A38" s="222">
        <v>52248</v>
      </c>
      <c r="B38" s="222" t="s">
        <v>596</v>
      </c>
      <c r="C38" s="222" t="s">
        <v>738</v>
      </c>
      <c r="D38" s="268">
        <f t="shared" si="0"/>
        <v>40053.475935828872</v>
      </c>
      <c r="E38" s="269">
        <v>1</v>
      </c>
      <c r="F38" s="254" t="s">
        <v>543</v>
      </c>
      <c r="G38" s="222" t="s">
        <v>524</v>
      </c>
      <c r="H38" s="222" t="s">
        <v>374</v>
      </c>
      <c r="I38" s="224" t="s">
        <v>500</v>
      </c>
      <c r="J38" s="225" t="s">
        <v>535</v>
      </c>
      <c r="K38" s="225" t="s">
        <v>535</v>
      </c>
      <c r="L38" s="268">
        <v>74900</v>
      </c>
      <c r="M38" s="225" t="s">
        <v>719</v>
      </c>
      <c r="S38"/>
    </row>
    <row r="39" spans="1:19" x14ac:dyDescent="0.2">
      <c r="A39" s="222">
        <v>26205</v>
      </c>
      <c r="B39" s="222" t="s">
        <v>519</v>
      </c>
      <c r="C39" s="222" t="s">
        <v>523</v>
      </c>
      <c r="D39" s="268">
        <f t="shared" si="0"/>
        <v>33636.363636363632</v>
      </c>
      <c r="E39" s="269">
        <v>1</v>
      </c>
      <c r="F39" s="254" t="s">
        <v>543</v>
      </c>
      <c r="G39" s="222" t="s">
        <v>524</v>
      </c>
      <c r="H39" s="222" t="s">
        <v>375</v>
      </c>
      <c r="I39" s="224" t="s">
        <v>501</v>
      </c>
      <c r="J39" s="225" t="s">
        <v>535</v>
      </c>
      <c r="K39" s="225" t="s">
        <v>535</v>
      </c>
      <c r="L39" s="268">
        <v>62900</v>
      </c>
      <c r="M39" s="225" t="s">
        <v>719</v>
      </c>
      <c r="S39"/>
    </row>
    <row r="40" spans="1:19" x14ac:dyDescent="0.2">
      <c r="A40" s="222">
        <v>26449</v>
      </c>
      <c r="B40" s="222" t="s">
        <v>519</v>
      </c>
      <c r="C40" s="222" t="s">
        <v>743</v>
      </c>
      <c r="D40" s="268">
        <f t="shared" si="0"/>
        <v>33636.363636363632</v>
      </c>
      <c r="E40" s="269">
        <v>1</v>
      </c>
      <c r="F40" s="254" t="s">
        <v>543</v>
      </c>
      <c r="G40" s="222" t="s">
        <v>524</v>
      </c>
      <c r="H40" s="222" t="s">
        <v>375</v>
      </c>
      <c r="I40" s="224" t="s">
        <v>501</v>
      </c>
      <c r="J40" s="225" t="s">
        <v>535</v>
      </c>
      <c r="K40" s="225" t="s">
        <v>535</v>
      </c>
      <c r="L40" s="268">
        <v>62900</v>
      </c>
      <c r="M40" s="225" t="s">
        <v>719</v>
      </c>
      <c r="S40"/>
    </row>
    <row r="41" spans="1:19" x14ac:dyDescent="0.2">
      <c r="A41" s="222">
        <v>26221</v>
      </c>
      <c r="B41" s="222" t="s">
        <v>519</v>
      </c>
      <c r="C41" s="222" t="s">
        <v>671</v>
      </c>
      <c r="D41" s="268">
        <f t="shared" si="0"/>
        <v>33636.363636363632</v>
      </c>
      <c r="E41" s="269">
        <v>1</v>
      </c>
      <c r="F41" s="254" t="s">
        <v>543</v>
      </c>
      <c r="G41" s="222" t="s">
        <v>524</v>
      </c>
      <c r="H41" s="222" t="s">
        <v>374</v>
      </c>
      <c r="I41" s="224" t="s">
        <v>500</v>
      </c>
      <c r="J41" s="225" t="s">
        <v>535</v>
      </c>
      <c r="K41" s="225" t="s">
        <v>535</v>
      </c>
      <c r="L41" s="268">
        <v>62900</v>
      </c>
      <c r="M41" s="225" t="s">
        <v>719</v>
      </c>
      <c r="S41"/>
    </row>
    <row r="42" spans="1:19" x14ac:dyDescent="0.2">
      <c r="A42" s="222">
        <v>27352</v>
      </c>
      <c r="B42" s="222" t="s">
        <v>837</v>
      </c>
      <c r="C42" s="222" t="s">
        <v>512</v>
      </c>
      <c r="D42" s="268">
        <f t="shared" si="0"/>
        <v>33636.363636363632</v>
      </c>
      <c r="E42" s="269">
        <v>1</v>
      </c>
      <c r="F42" s="254" t="s">
        <v>545</v>
      </c>
      <c r="G42" s="222" t="s">
        <v>58</v>
      </c>
      <c r="H42" s="222" t="s">
        <v>375</v>
      </c>
      <c r="I42" s="224" t="s">
        <v>501</v>
      </c>
      <c r="J42" s="225" t="s">
        <v>535</v>
      </c>
      <c r="K42" s="225" t="s">
        <v>535</v>
      </c>
      <c r="L42" s="268">
        <v>62900</v>
      </c>
      <c r="M42" s="225" t="s">
        <v>719</v>
      </c>
      <c r="S42"/>
    </row>
    <row r="43" spans="1:19" x14ac:dyDescent="0.2">
      <c r="A43" s="222">
        <v>27353</v>
      </c>
      <c r="B43" s="222" t="s">
        <v>837</v>
      </c>
      <c r="C43" s="222" t="s">
        <v>838</v>
      </c>
      <c r="D43" s="268">
        <f t="shared" si="0"/>
        <v>33636.363636363632</v>
      </c>
      <c r="E43" s="269">
        <v>1</v>
      </c>
      <c r="F43" s="254" t="s">
        <v>545</v>
      </c>
      <c r="G43" s="222" t="s">
        <v>58</v>
      </c>
      <c r="H43" s="222" t="s">
        <v>375</v>
      </c>
      <c r="I43" s="224" t="s">
        <v>501</v>
      </c>
      <c r="J43" s="225" t="s">
        <v>535</v>
      </c>
      <c r="K43" s="225" t="s">
        <v>535</v>
      </c>
      <c r="L43" s="268">
        <v>62900</v>
      </c>
      <c r="M43" s="225" t="s">
        <v>719</v>
      </c>
      <c r="S43"/>
    </row>
    <row r="44" spans="1:19" x14ac:dyDescent="0.2">
      <c r="A44" s="222">
        <v>27354</v>
      </c>
      <c r="B44" s="222" t="s">
        <v>837</v>
      </c>
      <c r="C44" s="222" t="s">
        <v>839</v>
      </c>
      <c r="D44" s="268">
        <f t="shared" si="0"/>
        <v>33636.363636363632</v>
      </c>
      <c r="E44" s="269">
        <v>1</v>
      </c>
      <c r="F44" s="254" t="s">
        <v>545</v>
      </c>
      <c r="G44" s="222" t="s">
        <v>58</v>
      </c>
      <c r="H44" s="222" t="s">
        <v>374</v>
      </c>
      <c r="I44" s="224" t="s">
        <v>500</v>
      </c>
      <c r="J44" s="225" t="s">
        <v>535</v>
      </c>
      <c r="K44" s="225" t="s">
        <v>535</v>
      </c>
      <c r="L44" s="268">
        <v>62900</v>
      </c>
      <c r="M44" s="225" t="s">
        <v>719</v>
      </c>
      <c r="S44"/>
    </row>
    <row r="45" spans="1:19" x14ac:dyDescent="0.2">
      <c r="A45" s="222">
        <v>27344</v>
      </c>
      <c r="B45" s="222" t="s">
        <v>840</v>
      </c>
      <c r="C45" s="222" t="s">
        <v>841</v>
      </c>
      <c r="D45" s="268">
        <f t="shared" si="0"/>
        <v>32032.085561497326</v>
      </c>
      <c r="E45" s="269">
        <v>1</v>
      </c>
      <c r="F45" s="254" t="s">
        <v>545</v>
      </c>
      <c r="G45" s="222" t="s">
        <v>58</v>
      </c>
      <c r="H45" s="222" t="s">
        <v>376</v>
      </c>
      <c r="I45" s="224" t="s">
        <v>501</v>
      </c>
      <c r="J45" s="225" t="s">
        <v>535</v>
      </c>
      <c r="K45" s="225" t="s">
        <v>535</v>
      </c>
      <c r="L45" s="268">
        <v>59900</v>
      </c>
      <c r="M45" s="225" t="s">
        <v>719</v>
      </c>
      <c r="S45"/>
    </row>
    <row r="46" spans="1:19" x14ac:dyDescent="0.2">
      <c r="A46" s="222">
        <v>27345</v>
      </c>
      <c r="B46" s="222" t="s">
        <v>840</v>
      </c>
      <c r="C46" s="222" t="s">
        <v>842</v>
      </c>
      <c r="D46" s="268">
        <f t="shared" si="0"/>
        <v>32032.085561497326</v>
      </c>
      <c r="E46" s="269">
        <v>1</v>
      </c>
      <c r="F46" s="254" t="s">
        <v>545</v>
      </c>
      <c r="G46" s="222" t="s">
        <v>58</v>
      </c>
      <c r="H46" s="222" t="s">
        <v>376</v>
      </c>
      <c r="I46" s="224" t="s">
        <v>501</v>
      </c>
      <c r="J46" s="225" t="s">
        <v>535</v>
      </c>
      <c r="K46" s="225" t="s">
        <v>535</v>
      </c>
      <c r="L46" s="268">
        <v>59900</v>
      </c>
      <c r="M46" s="225" t="s">
        <v>719</v>
      </c>
      <c r="S46"/>
    </row>
    <row r="47" spans="1:19" x14ac:dyDescent="0.2">
      <c r="A47" s="222">
        <v>27346</v>
      </c>
      <c r="B47" s="222" t="s">
        <v>840</v>
      </c>
      <c r="C47" s="222" t="s">
        <v>843</v>
      </c>
      <c r="D47" s="268">
        <f t="shared" si="0"/>
        <v>32032.085561497326</v>
      </c>
      <c r="E47" s="269">
        <v>1</v>
      </c>
      <c r="F47" s="254" t="s">
        <v>545</v>
      </c>
      <c r="G47" s="222" t="s">
        <v>58</v>
      </c>
      <c r="H47" s="222" t="s">
        <v>374</v>
      </c>
      <c r="I47" s="224" t="s">
        <v>500</v>
      </c>
      <c r="J47" s="225" t="s">
        <v>535</v>
      </c>
      <c r="K47" s="225" t="s">
        <v>535</v>
      </c>
      <c r="L47" s="268">
        <v>59900</v>
      </c>
      <c r="M47" s="225" t="s">
        <v>719</v>
      </c>
      <c r="S47"/>
    </row>
    <row r="48" spans="1:19" x14ac:dyDescent="0.2">
      <c r="A48" s="222">
        <v>26916</v>
      </c>
      <c r="B48" s="222" t="s">
        <v>744</v>
      </c>
      <c r="C48" s="222" t="s">
        <v>42</v>
      </c>
      <c r="D48" s="268">
        <f t="shared" si="0"/>
        <v>32032.085561497326</v>
      </c>
      <c r="E48" s="269">
        <v>1</v>
      </c>
      <c r="F48" s="254" t="s">
        <v>543</v>
      </c>
      <c r="G48" s="222" t="s">
        <v>58</v>
      </c>
      <c r="H48" s="222" t="s">
        <v>376</v>
      </c>
      <c r="I48" s="224" t="s">
        <v>501</v>
      </c>
      <c r="J48" s="225" t="s">
        <v>535</v>
      </c>
      <c r="K48" s="225" t="s">
        <v>535</v>
      </c>
      <c r="L48" s="268">
        <v>59900</v>
      </c>
      <c r="M48" s="225" t="s">
        <v>719</v>
      </c>
      <c r="S48"/>
    </row>
    <row r="49" spans="1:19" x14ac:dyDescent="0.2">
      <c r="A49" s="222">
        <v>26917</v>
      </c>
      <c r="B49" s="222" t="s">
        <v>744</v>
      </c>
      <c r="C49" s="222" t="s">
        <v>746</v>
      </c>
      <c r="D49" s="268">
        <f t="shared" si="0"/>
        <v>32032.085561497326</v>
      </c>
      <c r="E49" s="269">
        <v>1</v>
      </c>
      <c r="F49" s="254" t="s">
        <v>543</v>
      </c>
      <c r="G49" s="222" t="s">
        <v>58</v>
      </c>
      <c r="H49" s="222" t="s">
        <v>374</v>
      </c>
      <c r="I49" s="224" t="s">
        <v>500</v>
      </c>
      <c r="J49" s="225" t="s">
        <v>535</v>
      </c>
      <c r="K49" s="225" t="s">
        <v>535</v>
      </c>
      <c r="L49" s="268">
        <v>59900</v>
      </c>
      <c r="M49" s="225" t="s">
        <v>719</v>
      </c>
      <c r="S49"/>
    </row>
    <row r="50" spans="1:19" x14ac:dyDescent="0.2">
      <c r="A50" s="222">
        <v>26906</v>
      </c>
      <c r="B50" s="222" t="s">
        <v>744</v>
      </c>
      <c r="C50" s="222" t="s">
        <v>745</v>
      </c>
      <c r="D50" s="268">
        <f t="shared" si="0"/>
        <v>32032.085561497326</v>
      </c>
      <c r="E50" s="269">
        <v>1</v>
      </c>
      <c r="F50" s="254" t="s">
        <v>543</v>
      </c>
      <c r="G50" s="222" t="s">
        <v>58</v>
      </c>
      <c r="H50" s="222" t="s">
        <v>376</v>
      </c>
      <c r="I50" s="224" t="s">
        <v>501</v>
      </c>
      <c r="J50" s="225" t="s">
        <v>535</v>
      </c>
      <c r="K50" s="225" t="s">
        <v>535</v>
      </c>
      <c r="L50" s="268">
        <v>59900</v>
      </c>
      <c r="M50" s="225" t="s">
        <v>719</v>
      </c>
      <c r="S50"/>
    </row>
    <row r="51" spans="1:19" x14ac:dyDescent="0.2">
      <c r="A51" s="222">
        <v>26907</v>
      </c>
      <c r="B51" s="222" t="s">
        <v>744</v>
      </c>
      <c r="C51" s="222" t="s">
        <v>747</v>
      </c>
      <c r="D51" s="268">
        <f t="shared" si="0"/>
        <v>32032.085561497326</v>
      </c>
      <c r="E51" s="269">
        <v>1</v>
      </c>
      <c r="F51" s="254" t="s">
        <v>543</v>
      </c>
      <c r="G51" s="222" t="s">
        <v>58</v>
      </c>
      <c r="H51" s="222" t="s">
        <v>374</v>
      </c>
      <c r="I51" s="224" t="s">
        <v>501</v>
      </c>
      <c r="J51" s="225" t="s">
        <v>535</v>
      </c>
      <c r="K51" s="225" t="s">
        <v>535</v>
      </c>
      <c r="L51" s="268">
        <v>59900</v>
      </c>
      <c r="M51" s="225" t="s">
        <v>719</v>
      </c>
      <c r="S51"/>
    </row>
    <row r="52" spans="1:19" x14ac:dyDescent="0.2">
      <c r="A52" s="222">
        <v>27347</v>
      </c>
      <c r="B52" s="222" t="s">
        <v>844</v>
      </c>
      <c r="C52" s="222" t="s">
        <v>845</v>
      </c>
      <c r="D52" s="268">
        <f t="shared" si="0"/>
        <v>32032.085561497326</v>
      </c>
      <c r="E52" s="269">
        <v>1</v>
      </c>
      <c r="F52" s="254" t="s">
        <v>545</v>
      </c>
      <c r="G52" s="222" t="s">
        <v>58</v>
      </c>
      <c r="H52" s="222" t="s">
        <v>376</v>
      </c>
      <c r="I52" s="224" t="s">
        <v>501</v>
      </c>
      <c r="J52" s="225" t="s">
        <v>535</v>
      </c>
      <c r="K52" s="225" t="s">
        <v>535</v>
      </c>
      <c r="L52" s="268">
        <v>59900</v>
      </c>
      <c r="M52" s="225" t="s">
        <v>719</v>
      </c>
      <c r="S52"/>
    </row>
    <row r="53" spans="1:19" x14ac:dyDescent="0.2">
      <c r="A53" s="222">
        <v>27348</v>
      </c>
      <c r="B53" s="222" t="s">
        <v>844</v>
      </c>
      <c r="C53" s="222" t="s">
        <v>846</v>
      </c>
      <c r="D53" s="268">
        <f t="shared" si="0"/>
        <v>32032.085561497326</v>
      </c>
      <c r="E53" s="269">
        <v>1</v>
      </c>
      <c r="F53" s="254" t="s">
        <v>545</v>
      </c>
      <c r="G53" s="222" t="s">
        <v>58</v>
      </c>
      <c r="H53" s="222" t="s">
        <v>376</v>
      </c>
      <c r="I53" s="224" t="s">
        <v>501</v>
      </c>
      <c r="J53" s="225" t="s">
        <v>535</v>
      </c>
      <c r="K53" s="225" t="s">
        <v>535</v>
      </c>
      <c r="L53" s="268">
        <v>59900</v>
      </c>
      <c r="M53" s="225" t="s">
        <v>719</v>
      </c>
      <c r="S53"/>
    </row>
    <row r="54" spans="1:19" x14ac:dyDescent="0.2">
      <c r="A54" s="222">
        <v>27349</v>
      </c>
      <c r="B54" s="222" t="s">
        <v>844</v>
      </c>
      <c r="C54" s="222" t="s">
        <v>834</v>
      </c>
      <c r="D54" s="268">
        <f t="shared" si="0"/>
        <v>32032.085561497326</v>
      </c>
      <c r="E54" s="269">
        <v>1</v>
      </c>
      <c r="F54" s="254" t="s">
        <v>545</v>
      </c>
      <c r="G54" s="222" t="s">
        <v>58</v>
      </c>
      <c r="H54" s="222" t="s">
        <v>374</v>
      </c>
      <c r="I54" s="224" t="s">
        <v>500</v>
      </c>
      <c r="J54" s="225" t="s">
        <v>535</v>
      </c>
      <c r="K54" s="225" t="s">
        <v>535</v>
      </c>
      <c r="L54" s="268">
        <v>59900</v>
      </c>
      <c r="M54" s="225" t="s">
        <v>719</v>
      </c>
      <c r="S54"/>
    </row>
    <row r="55" spans="1:19" x14ac:dyDescent="0.2">
      <c r="A55" s="222">
        <v>27356</v>
      </c>
      <c r="B55" s="222" t="s">
        <v>847</v>
      </c>
      <c r="C55" s="222" t="s">
        <v>848</v>
      </c>
      <c r="D55" s="268">
        <f t="shared" si="0"/>
        <v>50748.663101604274</v>
      </c>
      <c r="E55" s="269">
        <v>1</v>
      </c>
      <c r="F55" s="254" t="s">
        <v>545</v>
      </c>
      <c r="G55" s="222" t="s">
        <v>58</v>
      </c>
      <c r="H55" s="222" t="s">
        <v>376</v>
      </c>
      <c r="I55" s="224" t="s">
        <v>501</v>
      </c>
      <c r="J55" s="225" t="s">
        <v>536</v>
      </c>
      <c r="K55" s="225" t="s">
        <v>537</v>
      </c>
      <c r="L55" s="268">
        <v>94900</v>
      </c>
      <c r="M55" s="225" t="s">
        <v>720</v>
      </c>
      <c r="S55"/>
    </row>
    <row r="56" spans="1:19" x14ac:dyDescent="0.2">
      <c r="A56" s="222">
        <v>27357</v>
      </c>
      <c r="B56" s="222" t="s">
        <v>847</v>
      </c>
      <c r="C56" s="222" t="s">
        <v>849</v>
      </c>
      <c r="D56" s="268">
        <f t="shared" si="0"/>
        <v>50748.663101604274</v>
      </c>
      <c r="E56" s="269">
        <v>1</v>
      </c>
      <c r="F56" s="254" t="s">
        <v>545</v>
      </c>
      <c r="G56" s="222" t="s">
        <v>58</v>
      </c>
      <c r="H56" s="222" t="s">
        <v>374</v>
      </c>
      <c r="I56" s="224" t="s">
        <v>500</v>
      </c>
      <c r="J56" s="225" t="s">
        <v>536</v>
      </c>
      <c r="K56" s="225" t="s">
        <v>537</v>
      </c>
      <c r="L56" s="268">
        <v>94900</v>
      </c>
      <c r="M56" s="225" t="s">
        <v>720</v>
      </c>
      <c r="S56"/>
    </row>
    <row r="57" spans="1:19" x14ac:dyDescent="0.2">
      <c r="A57" s="222">
        <v>25486</v>
      </c>
      <c r="B57" s="222" t="s">
        <v>507</v>
      </c>
      <c r="C57" s="222" t="s">
        <v>511</v>
      </c>
      <c r="D57" s="268">
        <f t="shared" si="0"/>
        <v>39518.716577540108</v>
      </c>
      <c r="E57" s="269">
        <v>1</v>
      </c>
      <c r="F57" s="254" t="s">
        <v>543</v>
      </c>
      <c r="G57" s="222" t="s">
        <v>524</v>
      </c>
      <c r="H57" s="222" t="s">
        <v>376</v>
      </c>
      <c r="I57" s="224" t="s">
        <v>501</v>
      </c>
      <c r="J57" s="225" t="s">
        <v>536</v>
      </c>
      <c r="K57" s="225" t="s">
        <v>537</v>
      </c>
      <c r="L57" s="268">
        <v>73900</v>
      </c>
      <c r="M57" s="225" t="s">
        <v>720</v>
      </c>
      <c r="S57"/>
    </row>
    <row r="58" spans="1:19" x14ac:dyDescent="0.2">
      <c r="A58" s="222">
        <v>25468</v>
      </c>
      <c r="B58" s="222" t="s">
        <v>507</v>
      </c>
      <c r="C58" s="222" t="s">
        <v>513</v>
      </c>
      <c r="D58" s="268">
        <f t="shared" si="0"/>
        <v>39518.716577540108</v>
      </c>
      <c r="E58" s="269">
        <v>1</v>
      </c>
      <c r="F58" s="254" t="s">
        <v>543</v>
      </c>
      <c r="G58" s="222" t="s">
        <v>524</v>
      </c>
      <c r="H58" s="222" t="s">
        <v>376</v>
      </c>
      <c r="I58" s="224" t="s">
        <v>501</v>
      </c>
      <c r="J58" s="225" t="s">
        <v>536</v>
      </c>
      <c r="K58" s="225" t="s">
        <v>537</v>
      </c>
      <c r="L58" s="268">
        <v>73900</v>
      </c>
      <c r="M58" s="225" t="s">
        <v>720</v>
      </c>
      <c r="S58"/>
    </row>
    <row r="59" spans="1:19" x14ac:dyDescent="0.2">
      <c r="A59" s="222">
        <v>25470</v>
      </c>
      <c r="B59" s="222" t="s">
        <v>507</v>
      </c>
      <c r="C59" s="222" t="s">
        <v>514</v>
      </c>
      <c r="D59" s="268">
        <f t="shared" si="0"/>
        <v>39518.716577540108</v>
      </c>
      <c r="E59" s="269">
        <v>1</v>
      </c>
      <c r="F59" s="254" t="s">
        <v>543</v>
      </c>
      <c r="G59" s="222" t="s">
        <v>524</v>
      </c>
      <c r="H59" s="222" t="s">
        <v>374</v>
      </c>
      <c r="I59" s="224" t="s">
        <v>500</v>
      </c>
      <c r="J59" s="225" t="s">
        <v>536</v>
      </c>
      <c r="K59" s="225" t="s">
        <v>537</v>
      </c>
      <c r="L59" s="268">
        <v>73900</v>
      </c>
      <c r="M59" s="225" t="s">
        <v>720</v>
      </c>
      <c r="S59"/>
    </row>
    <row r="60" spans="1:19" x14ac:dyDescent="0.2">
      <c r="A60" s="222">
        <v>27376</v>
      </c>
      <c r="B60" s="222" t="s">
        <v>850</v>
      </c>
      <c r="C60" s="222" t="s">
        <v>512</v>
      </c>
      <c r="D60" s="268">
        <f t="shared" si="0"/>
        <v>39518.716577540108</v>
      </c>
      <c r="E60" s="269">
        <v>1</v>
      </c>
      <c r="F60" s="254" t="s">
        <v>545</v>
      </c>
      <c r="G60" s="222" t="s">
        <v>58</v>
      </c>
      <c r="H60" s="222" t="s">
        <v>376</v>
      </c>
      <c r="I60" s="224" t="s">
        <v>501</v>
      </c>
      <c r="J60" s="225" t="s">
        <v>536</v>
      </c>
      <c r="K60" s="225" t="s">
        <v>537</v>
      </c>
      <c r="L60" s="268">
        <v>73900</v>
      </c>
      <c r="M60" s="225" t="s">
        <v>720</v>
      </c>
      <c r="S60"/>
    </row>
    <row r="61" spans="1:19" x14ac:dyDescent="0.2">
      <c r="A61" s="222">
        <v>27377</v>
      </c>
      <c r="B61" s="222" t="s">
        <v>850</v>
      </c>
      <c r="C61" s="222" t="s">
        <v>851</v>
      </c>
      <c r="D61" s="268">
        <f t="shared" si="0"/>
        <v>39518.716577540108</v>
      </c>
      <c r="E61" s="269">
        <v>1</v>
      </c>
      <c r="F61" s="254" t="s">
        <v>545</v>
      </c>
      <c r="G61" s="222" t="s">
        <v>58</v>
      </c>
      <c r="H61" s="222" t="s">
        <v>376</v>
      </c>
      <c r="I61" s="224" t="s">
        <v>501</v>
      </c>
      <c r="J61" s="225" t="s">
        <v>536</v>
      </c>
      <c r="K61" s="225" t="s">
        <v>537</v>
      </c>
      <c r="L61" s="268">
        <v>73900</v>
      </c>
      <c r="M61" s="225" t="s">
        <v>720</v>
      </c>
      <c r="S61"/>
    </row>
    <row r="62" spans="1:19" x14ac:dyDescent="0.2">
      <c r="A62" s="222">
        <v>27378</v>
      </c>
      <c r="B62" s="222" t="s">
        <v>850</v>
      </c>
      <c r="C62" s="222" t="s">
        <v>852</v>
      </c>
      <c r="D62" s="268">
        <f t="shared" si="0"/>
        <v>39518.716577540108</v>
      </c>
      <c r="E62" s="269">
        <v>1</v>
      </c>
      <c r="F62" s="254" t="s">
        <v>545</v>
      </c>
      <c r="G62" s="222" t="s">
        <v>58</v>
      </c>
      <c r="H62" s="222" t="s">
        <v>374</v>
      </c>
      <c r="I62" s="224" t="s">
        <v>500</v>
      </c>
      <c r="J62" s="225" t="s">
        <v>536</v>
      </c>
      <c r="K62" s="225" t="s">
        <v>537</v>
      </c>
      <c r="L62" s="268">
        <v>73900</v>
      </c>
      <c r="M62" s="225" t="s">
        <v>720</v>
      </c>
      <c r="S62"/>
    </row>
    <row r="63" spans="1:19" x14ac:dyDescent="0.2">
      <c r="A63" s="222">
        <v>50621</v>
      </c>
      <c r="B63" s="222" t="s">
        <v>683</v>
      </c>
      <c r="C63" s="222" t="s">
        <v>748</v>
      </c>
      <c r="D63" s="268">
        <f t="shared" si="0"/>
        <v>42192.513368983957</v>
      </c>
      <c r="E63" s="269">
        <v>1</v>
      </c>
      <c r="F63" s="254" t="s">
        <v>546</v>
      </c>
      <c r="G63" s="222" t="s">
        <v>57</v>
      </c>
      <c r="H63" s="222" t="s">
        <v>376</v>
      </c>
      <c r="I63" s="224" t="s">
        <v>501</v>
      </c>
      <c r="J63" s="225" t="s">
        <v>536</v>
      </c>
      <c r="K63" s="225" t="s">
        <v>717</v>
      </c>
      <c r="L63" s="268">
        <v>78900</v>
      </c>
      <c r="M63" s="225" t="s">
        <v>720</v>
      </c>
      <c r="S63"/>
    </row>
    <row r="64" spans="1:19" x14ac:dyDescent="0.2">
      <c r="A64" s="222">
        <v>50622</v>
      </c>
      <c r="B64" s="222" t="s">
        <v>683</v>
      </c>
      <c r="C64" s="222" t="s">
        <v>749</v>
      </c>
      <c r="D64" s="268">
        <f t="shared" si="0"/>
        <v>42192.513368983957</v>
      </c>
      <c r="E64" s="269">
        <v>1</v>
      </c>
      <c r="F64" s="254" t="s">
        <v>546</v>
      </c>
      <c r="G64" s="222" t="s">
        <v>57</v>
      </c>
      <c r="H64" s="222" t="s">
        <v>374</v>
      </c>
      <c r="I64" s="224" t="s">
        <v>500</v>
      </c>
      <c r="J64" s="225" t="s">
        <v>536</v>
      </c>
      <c r="K64" s="225" t="s">
        <v>717</v>
      </c>
      <c r="L64" s="268">
        <v>78900</v>
      </c>
      <c r="M64" s="225" t="s">
        <v>720</v>
      </c>
      <c r="S64"/>
    </row>
    <row r="65" spans="1:19" x14ac:dyDescent="0.2">
      <c r="A65" s="222">
        <v>24305</v>
      </c>
      <c r="B65" s="222" t="s">
        <v>521</v>
      </c>
      <c r="C65" s="222" t="s">
        <v>704</v>
      </c>
      <c r="D65" s="268">
        <f t="shared" si="0"/>
        <v>48074.866310160425</v>
      </c>
      <c r="E65" s="269">
        <v>1</v>
      </c>
      <c r="F65" s="254" t="s">
        <v>543</v>
      </c>
      <c r="G65" s="222" t="s">
        <v>524</v>
      </c>
      <c r="H65" s="222" t="s">
        <v>376</v>
      </c>
      <c r="I65" s="224" t="s">
        <v>501</v>
      </c>
      <c r="J65" s="225" t="s">
        <v>536</v>
      </c>
      <c r="K65" s="225" t="s">
        <v>538</v>
      </c>
      <c r="L65" s="268">
        <v>89900</v>
      </c>
      <c r="M65" s="225" t="s">
        <v>720</v>
      </c>
      <c r="S65"/>
    </row>
    <row r="66" spans="1:19" x14ac:dyDescent="0.2">
      <c r="A66" s="222">
        <v>24306</v>
      </c>
      <c r="B66" s="222" t="s">
        <v>521</v>
      </c>
      <c r="C66" s="222" t="s">
        <v>602</v>
      </c>
      <c r="D66" s="268">
        <f t="shared" si="0"/>
        <v>48074.866310160425</v>
      </c>
      <c r="E66" s="269">
        <v>1</v>
      </c>
      <c r="F66" s="254" t="s">
        <v>543</v>
      </c>
      <c r="G66" s="222" t="s">
        <v>524</v>
      </c>
      <c r="H66" s="222" t="s">
        <v>376</v>
      </c>
      <c r="I66" s="224" t="s">
        <v>501</v>
      </c>
      <c r="J66" s="225" t="s">
        <v>536</v>
      </c>
      <c r="K66" s="225" t="s">
        <v>538</v>
      </c>
      <c r="L66" s="268">
        <v>89900</v>
      </c>
      <c r="M66" s="225" t="s">
        <v>720</v>
      </c>
      <c r="S66"/>
    </row>
    <row r="67" spans="1:19" x14ac:dyDescent="0.2">
      <c r="A67" s="222">
        <v>25884</v>
      </c>
      <c r="B67" s="222" t="s">
        <v>508</v>
      </c>
      <c r="C67" s="222" t="s">
        <v>42</v>
      </c>
      <c r="D67" s="268">
        <f t="shared" ref="D67:D130" si="1">+L67/1.87</f>
        <v>33101.604278074861</v>
      </c>
      <c r="E67" s="269">
        <v>1</v>
      </c>
      <c r="F67" s="254" t="s">
        <v>543</v>
      </c>
      <c r="G67" s="222" t="s">
        <v>524</v>
      </c>
      <c r="H67" s="222" t="s">
        <v>375</v>
      </c>
      <c r="I67" s="224" t="s">
        <v>501</v>
      </c>
      <c r="J67" s="225" t="s">
        <v>539</v>
      </c>
      <c r="K67" s="225" t="s">
        <v>449</v>
      </c>
      <c r="L67" s="268">
        <v>61900</v>
      </c>
      <c r="M67" s="225" t="s">
        <v>720</v>
      </c>
      <c r="S67"/>
    </row>
    <row r="68" spans="1:19" x14ac:dyDescent="0.2">
      <c r="A68" s="222">
        <v>26458</v>
      </c>
      <c r="B68" s="222" t="s">
        <v>508</v>
      </c>
      <c r="C68" s="222" t="s">
        <v>518</v>
      </c>
      <c r="D68" s="268">
        <f t="shared" si="1"/>
        <v>33101.604278074861</v>
      </c>
      <c r="E68" s="269">
        <v>1</v>
      </c>
      <c r="F68" s="254" t="s">
        <v>543</v>
      </c>
      <c r="G68" s="222" t="s">
        <v>524</v>
      </c>
      <c r="H68" s="222" t="s">
        <v>375</v>
      </c>
      <c r="I68" s="224" t="s">
        <v>501</v>
      </c>
      <c r="J68" s="225" t="s">
        <v>539</v>
      </c>
      <c r="K68" s="225" t="s">
        <v>449</v>
      </c>
      <c r="L68" s="268">
        <v>61900</v>
      </c>
      <c r="M68" s="225" t="s">
        <v>720</v>
      </c>
      <c r="S68"/>
    </row>
    <row r="69" spans="1:19" x14ac:dyDescent="0.2">
      <c r="A69" s="222">
        <v>25886</v>
      </c>
      <c r="B69" s="222" t="s">
        <v>495</v>
      </c>
      <c r="C69" s="222" t="s">
        <v>42</v>
      </c>
      <c r="D69" s="268">
        <f t="shared" si="1"/>
        <v>33101.604278074861</v>
      </c>
      <c r="E69" s="269">
        <v>1</v>
      </c>
      <c r="F69" s="254" t="s">
        <v>543</v>
      </c>
      <c r="G69" s="222" t="s">
        <v>524</v>
      </c>
      <c r="H69" s="222" t="s">
        <v>375</v>
      </c>
      <c r="I69" s="224" t="s">
        <v>501</v>
      </c>
      <c r="J69" s="225" t="s">
        <v>539</v>
      </c>
      <c r="K69" s="225" t="s">
        <v>449</v>
      </c>
      <c r="L69" s="268">
        <v>61900</v>
      </c>
      <c r="M69" s="225" t="s">
        <v>720</v>
      </c>
      <c r="S69"/>
    </row>
    <row r="70" spans="1:19" x14ac:dyDescent="0.2">
      <c r="A70" s="222">
        <v>26459</v>
      </c>
      <c r="B70" s="222" t="s">
        <v>495</v>
      </c>
      <c r="C70" s="222" t="s">
        <v>518</v>
      </c>
      <c r="D70" s="268">
        <f t="shared" si="1"/>
        <v>33101.604278074861</v>
      </c>
      <c r="E70" s="269">
        <v>1</v>
      </c>
      <c r="F70" s="254" t="s">
        <v>543</v>
      </c>
      <c r="G70" s="222" t="s">
        <v>524</v>
      </c>
      <c r="H70" s="222" t="s">
        <v>375</v>
      </c>
      <c r="I70" s="224" t="s">
        <v>501</v>
      </c>
      <c r="J70" s="225" t="s">
        <v>539</v>
      </c>
      <c r="K70" s="225" t="s">
        <v>449</v>
      </c>
      <c r="L70" s="268">
        <v>61900</v>
      </c>
      <c r="M70" s="225" t="s">
        <v>720</v>
      </c>
      <c r="S70"/>
    </row>
    <row r="71" spans="1:19" x14ac:dyDescent="0.2">
      <c r="A71" s="222">
        <v>25510</v>
      </c>
      <c r="B71" s="222" t="s">
        <v>509</v>
      </c>
      <c r="C71" s="222" t="s">
        <v>42</v>
      </c>
      <c r="D71" s="268">
        <f t="shared" si="1"/>
        <v>33101.604278074861</v>
      </c>
      <c r="E71" s="269">
        <v>1</v>
      </c>
      <c r="F71" s="254" t="s">
        <v>543</v>
      </c>
      <c r="G71" s="222" t="s">
        <v>524</v>
      </c>
      <c r="H71" s="222" t="s">
        <v>376</v>
      </c>
      <c r="I71" s="224" t="s">
        <v>501</v>
      </c>
      <c r="J71" s="225" t="s">
        <v>539</v>
      </c>
      <c r="K71" s="225" t="s">
        <v>449</v>
      </c>
      <c r="L71" s="268">
        <v>61900</v>
      </c>
      <c r="M71" s="225" t="s">
        <v>720</v>
      </c>
      <c r="S71"/>
    </row>
    <row r="72" spans="1:19" x14ac:dyDescent="0.2">
      <c r="A72" s="222">
        <v>25479</v>
      </c>
      <c r="B72" s="222" t="s">
        <v>509</v>
      </c>
      <c r="C72" s="222" t="s">
        <v>518</v>
      </c>
      <c r="D72" s="268">
        <f t="shared" si="1"/>
        <v>33101.604278074861</v>
      </c>
      <c r="E72" s="269">
        <v>1</v>
      </c>
      <c r="F72" s="254" t="s">
        <v>543</v>
      </c>
      <c r="G72" s="222" t="s">
        <v>524</v>
      </c>
      <c r="H72" s="222" t="s">
        <v>376</v>
      </c>
      <c r="I72" s="224" t="s">
        <v>501</v>
      </c>
      <c r="J72" s="225" t="s">
        <v>539</v>
      </c>
      <c r="K72" s="225" t="s">
        <v>449</v>
      </c>
      <c r="L72" s="268">
        <v>61900</v>
      </c>
      <c r="M72" s="225" t="s">
        <v>720</v>
      </c>
      <c r="S72"/>
    </row>
    <row r="73" spans="1:19" x14ac:dyDescent="0.2">
      <c r="A73" s="222">
        <v>52530</v>
      </c>
      <c r="B73" s="222" t="s">
        <v>750</v>
      </c>
      <c r="C73" s="222" t="s">
        <v>751</v>
      </c>
      <c r="D73" s="268">
        <f t="shared" si="1"/>
        <v>30427.807486631013</v>
      </c>
      <c r="E73" s="269">
        <v>1</v>
      </c>
      <c r="F73" s="254" t="s">
        <v>544</v>
      </c>
      <c r="G73" s="222" t="s">
        <v>524</v>
      </c>
      <c r="H73" s="222" t="s">
        <v>376</v>
      </c>
      <c r="I73" s="224" t="s">
        <v>501</v>
      </c>
      <c r="J73" s="225" t="s">
        <v>539</v>
      </c>
      <c r="K73" s="225" t="s">
        <v>449</v>
      </c>
      <c r="L73" s="268">
        <v>56900</v>
      </c>
      <c r="M73" s="225" t="s">
        <v>720</v>
      </c>
      <c r="S73"/>
    </row>
    <row r="74" spans="1:19" x14ac:dyDescent="0.2">
      <c r="A74" s="222">
        <v>52531</v>
      </c>
      <c r="B74" s="222" t="s">
        <v>750</v>
      </c>
      <c r="C74" s="222" t="s">
        <v>752</v>
      </c>
      <c r="D74" s="268">
        <f t="shared" si="1"/>
        <v>30427.807486631013</v>
      </c>
      <c r="E74" s="269">
        <v>1</v>
      </c>
      <c r="F74" s="254" t="s">
        <v>545</v>
      </c>
      <c r="G74" s="222" t="s">
        <v>524</v>
      </c>
      <c r="H74" s="222" t="s">
        <v>376</v>
      </c>
      <c r="I74" s="224" t="s">
        <v>501</v>
      </c>
      <c r="J74" s="225" t="s">
        <v>539</v>
      </c>
      <c r="K74" s="225" t="s">
        <v>449</v>
      </c>
      <c r="L74" s="268">
        <v>56900</v>
      </c>
      <c r="M74" s="225" t="s">
        <v>720</v>
      </c>
      <c r="S74"/>
    </row>
    <row r="75" spans="1:19" x14ac:dyDescent="0.2">
      <c r="A75" s="222">
        <v>52532</v>
      </c>
      <c r="B75" s="222" t="s">
        <v>753</v>
      </c>
      <c r="C75" s="222" t="s">
        <v>751</v>
      </c>
      <c r="D75" s="268">
        <f t="shared" si="1"/>
        <v>30427.807486631013</v>
      </c>
      <c r="E75" s="269">
        <v>1</v>
      </c>
      <c r="F75" s="254" t="s">
        <v>543</v>
      </c>
      <c r="G75" s="222" t="s">
        <v>524</v>
      </c>
      <c r="H75" s="222" t="s">
        <v>376</v>
      </c>
      <c r="I75" s="224" t="s">
        <v>501</v>
      </c>
      <c r="J75" s="225" t="s">
        <v>539</v>
      </c>
      <c r="K75" s="225" t="s">
        <v>449</v>
      </c>
      <c r="L75" s="268">
        <v>56900</v>
      </c>
      <c r="M75" s="225" t="s">
        <v>720</v>
      </c>
      <c r="S75"/>
    </row>
    <row r="76" spans="1:19" x14ac:dyDescent="0.2">
      <c r="A76" s="222">
        <v>52533</v>
      </c>
      <c r="B76" s="222" t="s">
        <v>753</v>
      </c>
      <c r="C76" s="222" t="s">
        <v>752</v>
      </c>
      <c r="D76" s="268">
        <f t="shared" si="1"/>
        <v>30427.807486631013</v>
      </c>
      <c r="E76" s="269">
        <v>1</v>
      </c>
      <c r="F76" s="254" t="s">
        <v>545</v>
      </c>
      <c r="G76" s="222" t="s">
        <v>524</v>
      </c>
      <c r="H76" s="222" t="s">
        <v>376</v>
      </c>
      <c r="I76" s="224" t="s">
        <v>501</v>
      </c>
      <c r="J76" s="225" t="s">
        <v>539</v>
      </c>
      <c r="K76" s="225" t="s">
        <v>449</v>
      </c>
      <c r="L76" s="268">
        <v>56900</v>
      </c>
      <c r="M76" s="225" t="s">
        <v>720</v>
      </c>
      <c r="S76"/>
    </row>
    <row r="77" spans="1:19" x14ac:dyDescent="0.2">
      <c r="A77" s="222">
        <v>50240</v>
      </c>
      <c r="B77" s="222" t="s">
        <v>684</v>
      </c>
      <c r="C77" s="222" t="s">
        <v>603</v>
      </c>
      <c r="D77" s="268">
        <f t="shared" si="1"/>
        <v>51283.422459893045</v>
      </c>
      <c r="E77" s="269">
        <v>1</v>
      </c>
      <c r="F77" s="254" t="s">
        <v>545</v>
      </c>
      <c r="G77" s="222" t="s">
        <v>524</v>
      </c>
      <c r="H77" s="222" t="s">
        <v>376</v>
      </c>
      <c r="I77" s="224" t="s">
        <v>501</v>
      </c>
      <c r="J77" s="225" t="s">
        <v>541</v>
      </c>
      <c r="K77" s="225" t="s">
        <v>541</v>
      </c>
      <c r="L77" s="268">
        <v>95900</v>
      </c>
      <c r="M77" s="225" t="s">
        <v>720</v>
      </c>
      <c r="S77"/>
    </row>
    <row r="78" spans="1:19" x14ac:dyDescent="0.2">
      <c r="A78" s="222">
        <v>50183</v>
      </c>
      <c r="B78" s="222" t="s">
        <v>684</v>
      </c>
      <c r="C78" s="222" t="s">
        <v>604</v>
      </c>
      <c r="D78" s="268">
        <f t="shared" si="1"/>
        <v>51283.422459893045</v>
      </c>
      <c r="E78" s="269">
        <v>1</v>
      </c>
      <c r="F78" s="254" t="s">
        <v>543</v>
      </c>
      <c r="G78" s="222" t="s">
        <v>524</v>
      </c>
      <c r="H78" s="222" t="s">
        <v>376</v>
      </c>
      <c r="I78" s="224" t="s">
        <v>501</v>
      </c>
      <c r="J78" s="225" t="s">
        <v>541</v>
      </c>
      <c r="K78" s="225" t="s">
        <v>541</v>
      </c>
      <c r="L78" s="268">
        <v>95900</v>
      </c>
      <c r="M78" s="225" t="s">
        <v>720</v>
      </c>
      <c r="S78"/>
    </row>
    <row r="79" spans="1:19" x14ac:dyDescent="0.2">
      <c r="A79" s="222">
        <v>52563</v>
      </c>
      <c r="B79" s="222" t="s">
        <v>853</v>
      </c>
      <c r="C79" s="222" t="s">
        <v>854</v>
      </c>
      <c r="D79" s="268">
        <f t="shared" si="1"/>
        <v>47005.347593582883</v>
      </c>
      <c r="E79" s="269">
        <v>1</v>
      </c>
      <c r="F79" s="254" t="s">
        <v>546</v>
      </c>
      <c r="G79" s="222" t="s">
        <v>58</v>
      </c>
      <c r="H79" s="222" t="s">
        <v>376</v>
      </c>
      <c r="I79" s="224" t="s">
        <v>501</v>
      </c>
      <c r="J79" s="225" t="s">
        <v>541</v>
      </c>
      <c r="K79" s="225" t="s">
        <v>541</v>
      </c>
      <c r="L79" s="268">
        <v>87900</v>
      </c>
      <c r="M79" s="225" t="s">
        <v>720</v>
      </c>
      <c r="S79"/>
    </row>
    <row r="80" spans="1:19" x14ac:dyDescent="0.2">
      <c r="A80" s="222">
        <v>52564</v>
      </c>
      <c r="B80" s="222" t="s">
        <v>853</v>
      </c>
      <c r="C80" s="222" t="s">
        <v>855</v>
      </c>
      <c r="D80" s="268">
        <f t="shared" si="1"/>
        <v>47005.347593582883</v>
      </c>
      <c r="E80" s="269">
        <v>1</v>
      </c>
      <c r="F80" s="254" t="s">
        <v>546</v>
      </c>
      <c r="G80" s="222" t="s">
        <v>58</v>
      </c>
      <c r="H80" s="222" t="s">
        <v>374</v>
      </c>
      <c r="I80" s="224" t="s">
        <v>500</v>
      </c>
      <c r="J80" s="225" t="s">
        <v>541</v>
      </c>
      <c r="K80" s="225" t="s">
        <v>541</v>
      </c>
      <c r="L80" s="268">
        <v>87900</v>
      </c>
      <c r="M80" s="225" t="s">
        <v>720</v>
      </c>
      <c r="S80"/>
    </row>
    <row r="81" spans="1:19" x14ac:dyDescent="0.2">
      <c r="A81" s="222">
        <v>26404</v>
      </c>
      <c r="B81" s="222" t="s">
        <v>597</v>
      </c>
      <c r="C81" s="222" t="s">
        <v>604</v>
      </c>
      <c r="D81" s="268">
        <f t="shared" si="1"/>
        <v>45401.069518716577</v>
      </c>
      <c r="E81" s="269">
        <v>1</v>
      </c>
      <c r="F81" s="254" t="s">
        <v>543</v>
      </c>
      <c r="G81" s="222" t="s">
        <v>524</v>
      </c>
      <c r="H81" s="222" t="s">
        <v>376</v>
      </c>
      <c r="I81" s="224" t="s">
        <v>501</v>
      </c>
      <c r="J81" s="225" t="s">
        <v>541</v>
      </c>
      <c r="K81" s="225" t="s">
        <v>541</v>
      </c>
      <c r="L81" s="268">
        <v>84900</v>
      </c>
      <c r="M81" s="225" t="s">
        <v>720</v>
      </c>
      <c r="S81"/>
    </row>
    <row r="82" spans="1:19" x14ac:dyDescent="0.2">
      <c r="A82" s="222">
        <v>26468</v>
      </c>
      <c r="B82" s="222" t="s">
        <v>597</v>
      </c>
      <c r="C82" s="222" t="s">
        <v>603</v>
      </c>
      <c r="D82" s="268">
        <f t="shared" si="1"/>
        <v>45401.069518716577</v>
      </c>
      <c r="E82" s="269">
        <v>1</v>
      </c>
      <c r="F82" s="254" t="s">
        <v>543</v>
      </c>
      <c r="G82" s="222" t="s">
        <v>524</v>
      </c>
      <c r="H82" s="222" t="s">
        <v>376</v>
      </c>
      <c r="I82" s="224" t="s">
        <v>501</v>
      </c>
      <c r="J82" s="225" t="s">
        <v>541</v>
      </c>
      <c r="K82" s="225" t="s">
        <v>541</v>
      </c>
      <c r="L82" s="268">
        <v>84900</v>
      </c>
      <c r="M82" s="225" t="s">
        <v>720</v>
      </c>
      <c r="S82"/>
    </row>
    <row r="83" spans="1:19" x14ac:dyDescent="0.2">
      <c r="A83" s="222">
        <v>27133</v>
      </c>
      <c r="B83" s="222" t="s">
        <v>492</v>
      </c>
      <c r="C83" s="222" t="s">
        <v>511</v>
      </c>
      <c r="D83" s="268">
        <f t="shared" si="1"/>
        <v>38983.957219251337</v>
      </c>
      <c r="E83" s="269">
        <v>1</v>
      </c>
      <c r="F83" s="254" t="s">
        <v>543</v>
      </c>
      <c r="G83" s="222" t="s">
        <v>524</v>
      </c>
      <c r="H83" s="222" t="s">
        <v>375</v>
      </c>
      <c r="I83" s="224" t="s">
        <v>501</v>
      </c>
      <c r="J83" s="225" t="s">
        <v>541</v>
      </c>
      <c r="K83" s="225" t="s">
        <v>541</v>
      </c>
      <c r="L83" s="268">
        <v>72900</v>
      </c>
      <c r="M83" s="225" t="s">
        <v>720</v>
      </c>
      <c r="S83"/>
    </row>
    <row r="84" spans="1:19" x14ac:dyDescent="0.2">
      <c r="A84" s="222">
        <v>26460</v>
      </c>
      <c r="B84" s="222" t="s">
        <v>492</v>
      </c>
      <c r="C84" s="222" t="s">
        <v>754</v>
      </c>
      <c r="D84" s="268">
        <f t="shared" si="1"/>
        <v>38983.957219251337</v>
      </c>
      <c r="E84" s="269">
        <v>1</v>
      </c>
      <c r="F84" s="254" t="s">
        <v>544</v>
      </c>
      <c r="G84" s="222" t="s">
        <v>524</v>
      </c>
      <c r="H84" s="222" t="s">
        <v>375</v>
      </c>
      <c r="I84" s="224" t="s">
        <v>501</v>
      </c>
      <c r="J84" s="225" t="s">
        <v>541</v>
      </c>
      <c r="K84" s="225" t="s">
        <v>541</v>
      </c>
      <c r="L84" s="268">
        <v>72900</v>
      </c>
      <c r="M84" s="225" t="s">
        <v>720</v>
      </c>
      <c r="S84"/>
    </row>
    <row r="85" spans="1:19" x14ac:dyDescent="0.2">
      <c r="A85" s="222">
        <v>25816</v>
      </c>
      <c r="B85" s="222" t="s">
        <v>492</v>
      </c>
      <c r="C85" s="222" t="s">
        <v>605</v>
      </c>
      <c r="D85" s="268">
        <f t="shared" si="1"/>
        <v>38983.957219251337</v>
      </c>
      <c r="E85" s="269">
        <v>1</v>
      </c>
      <c r="F85" s="254" t="s">
        <v>544</v>
      </c>
      <c r="G85" s="222" t="s">
        <v>524</v>
      </c>
      <c r="H85" s="222" t="s">
        <v>375</v>
      </c>
      <c r="I85" s="224" t="s">
        <v>501</v>
      </c>
      <c r="J85" s="225" t="s">
        <v>541</v>
      </c>
      <c r="K85" s="225" t="s">
        <v>541</v>
      </c>
      <c r="L85" s="268">
        <v>72900</v>
      </c>
      <c r="M85" s="225" t="s">
        <v>720</v>
      </c>
      <c r="S85"/>
    </row>
    <row r="86" spans="1:19" x14ac:dyDescent="0.2">
      <c r="A86" s="222">
        <v>25767</v>
      </c>
      <c r="B86" s="222" t="s">
        <v>856</v>
      </c>
      <c r="C86" s="222" t="s">
        <v>857</v>
      </c>
      <c r="D86" s="268">
        <f t="shared" si="1"/>
        <v>33636.363636363632</v>
      </c>
      <c r="E86" s="269">
        <v>1</v>
      </c>
      <c r="F86" s="254" t="s">
        <v>544</v>
      </c>
      <c r="G86" s="222" t="s">
        <v>58</v>
      </c>
      <c r="H86" s="222" t="s">
        <v>376</v>
      </c>
      <c r="I86" s="224" t="s">
        <v>501</v>
      </c>
      <c r="J86" s="225" t="s">
        <v>541</v>
      </c>
      <c r="K86" s="225" t="s">
        <v>541</v>
      </c>
      <c r="L86" s="268">
        <v>62900</v>
      </c>
      <c r="M86" s="225" t="s">
        <v>720</v>
      </c>
      <c r="S86"/>
    </row>
    <row r="87" spans="1:19" x14ac:dyDescent="0.2">
      <c r="A87" s="222">
        <v>25768</v>
      </c>
      <c r="B87" s="222" t="s">
        <v>856</v>
      </c>
      <c r="C87" s="222" t="s">
        <v>858</v>
      </c>
      <c r="D87" s="268">
        <f t="shared" si="1"/>
        <v>33636.363636363632</v>
      </c>
      <c r="E87" s="269">
        <v>1</v>
      </c>
      <c r="F87" s="254" t="s">
        <v>544</v>
      </c>
      <c r="G87" s="222" t="s">
        <v>58</v>
      </c>
      <c r="H87" s="222" t="s">
        <v>376</v>
      </c>
      <c r="I87" s="224" t="s">
        <v>501</v>
      </c>
      <c r="J87" s="225" t="s">
        <v>541</v>
      </c>
      <c r="K87" s="225" t="s">
        <v>541</v>
      </c>
      <c r="L87" s="268">
        <v>62900</v>
      </c>
      <c r="M87" s="225" t="s">
        <v>720</v>
      </c>
      <c r="S87"/>
    </row>
    <row r="88" spans="1:19" x14ac:dyDescent="0.2">
      <c r="A88" s="222">
        <v>21872</v>
      </c>
      <c r="B88" s="222" t="s">
        <v>520</v>
      </c>
      <c r="C88" s="222" t="s">
        <v>702</v>
      </c>
      <c r="D88" s="268">
        <f t="shared" si="1"/>
        <v>48074.866310160425</v>
      </c>
      <c r="E88" s="269">
        <v>1</v>
      </c>
      <c r="F88" s="254" t="s">
        <v>543</v>
      </c>
      <c r="G88" s="222" t="s">
        <v>524</v>
      </c>
      <c r="H88" s="222" t="s">
        <v>375</v>
      </c>
      <c r="I88" s="224" t="s">
        <v>499</v>
      </c>
      <c r="J88" s="225" t="s">
        <v>526</v>
      </c>
      <c r="K88" s="225" t="s">
        <v>528</v>
      </c>
      <c r="L88" s="268">
        <v>89900</v>
      </c>
      <c r="M88" s="225" t="s">
        <v>526</v>
      </c>
      <c r="S88"/>
    </row>
    <row r="89" spans="1:19" x14ac:dyDescent="0.2">
      <c r="A89" s="222">
        <v>21870</v>
      </c>
      <c r="B89" s="222" t="s">
        <v>520</v>
      </c>
      <c r="C89" s="222" t="s">
        <v>701</v>
      </c>
      <c r="D89" s="268">
        <f t="shared" si="1"/>
        <v>48074.866310160425</v>
      </c>
      <c r="E89" s="269">
        <v>1</v>
      </c>
      <c r="F89" s="254" t="s">
        <v>543</v>
      </c>
      <c r="G89" s="222" t="s">
        <v>524</v>
      </c>
      <c r="H89" s="222" t="s">
        <v>375</v>
      </c>
      <c r="I89" s="224" t="s">
        <v>499</v>
      </c>
      <c r="J89" s="225" t="s">
        <v>526</v>
      </c>
      <c r="K89" s="225" t="s">
        <v>528</v>
      </c>
      <c r="L89" s="268">
        <v>89900</v>
      </c>
      <c r="M89" s="225" t="s">
        <v>526</v>
      </c>
      <c r="S89"/>
    </row>
    <row r="90" spans="1:19" x14ac:dyDescent="0.2">
      <c r="A90" s="222">
        <v>21871</v>
      </c>
      <c r="B90" s="222" t="s">
        <v>520</v>
      </c>
      <c r="C90" s="222" t="s">
        <v>703</v>
      </c>
      <c r="D90" s="268">
        <f t="shared" si="1"/>
        <v>48074.866310160425</v>
      </c>
      <c r="E90" s="269">
        <v>1</v>
      </c>
      <c r="F90" s="254" t="s">
        <v>543</v>
      </c>
      <c r="G90" s="222" t="s">
        <v>524</v>
      </c>
      <c r="H90" s="222" t="s">
        <v>375</v>
      </c>
      <c r="I90" s="224" t="s">
        <v>499</v>
      </c>
      <c r="J90" s="225" t="s">
        <v>526</v>
      </c>
      <c r="K90" s="225" t="s">
        <v>528</v>
      </c>
      <c r="L90" s="268">
        <v>89900</v>
      </c>
      <c r="M90" s="225" t="s">
        <v>526</v>
      </c>
      <c r="S90"/>
    </row>
    <row r="91" spans="1:19" x14ac:dyDescent="0.2">
      <c r="A91" s="222">
        <v>26438</v>
      </c>
      <c r="B91" s="222" t="s">
        <v>782</v>
      </c>
      <c r="C91" s="222" t="s">
        <v>709</v>
      </c>
      <c r="D91" s="268">
        <f t="shared" si="1"/>
        <v>47754.010695187164</v>
      </c>
      <c r="E91" s="269">
        <v>1</v>
      </c>
      <c r="F91" s="254" t="s">
        <v>543</v>
      </c>
      <c r="G91" s="222" t="s">
        <v>58</v>
      </c>
      <c r="H91" s="222" t="s">
        <v>374</v>
      </c>
      <c r="I91" s="224" t="s">
        <v>500</v>
      </c>
      <c r="J91" s="225" t="s">
        <v>526</v>
      </c>
      <c r="K91" s="225" t="s">
        <v>528</v>
      </c>
      <c r="L91" s="268">
        <v>89300</v>
      </c>
      <c r="M91" s="225" t="s">
        <v>526</v>
      </c>
      <c r="S91"/>
    </row>
    <row r="92" spans="1:19" x14ac:dyDescent="0.2">
      <c r="A92" s="222">
        <v>26439</v>
      </c>
      <c r="B92" s="222" t="s">
        <v>782</v>
      </c>
      <c r="C92" s="222" t="s">
        <v>42</v>
      </c>
      <c r="D92" s="268">
        <f t="shared" si="1"/>
        <v>47754.010695187164</v>
      </c>
      <c r="E92" s="269">
        <v>1</v>
      </c>
      <c r="F92" s="254" t="s">
        <v>543</v>
      </c>
      <c r="G92" s="222" t="s">
        <v>58</v>
      </c>
      <c r="H92" s="222" t="s">
        <v>374</v>
      </c>
      <c r="I92" s="224" t="s">
        <v>500</v>
      </c>
      <c r="J92" s="225" t="s">
        <v>526</v>
      </c>
      <c r="K92" s="225" t="s">
        <v>528</v>
      </c>
      <c r="L92" s="268">
        <v>89300</v>
      </c>
      <c r="M92" s="225" t="s">
        <v>526</v>
      </c>
      <c r="S92"/>
    </row>
    <row r="93" spans="1:19" x14ac:dyDescent="0.2">
      <c r="A93" s="222">
        <v>29700</v>
      </c>
      <c r="B93" s="222" t="s">
        <v>378</v>
      </c>
      <c r="C93" s="222" t="s">
        <v>1</v>
      </c>
      <c r="D93" s="268">
        <f t="shared" si="1"/>
        <v>42727.272727272728</v>
      </c>
      <c r="E93" s="269">
        <v>1</v>
      </c>
      <c r="F93" s="254" t="s">
        <v>543</v>
      </c>
      <c r="G93" s="222" t="s">
        <v>524</v>
      </c>
      <c r="H93" s="222" t="s">
        <v>375</v>
      </c>
      <c r="I93" s="224" t="s">
        <v>499</v>
      </c>
      <c r="J93" s="225" t="s">
        <v>526</v>
      </c>
      <c r="K93" s="225" t="s">
        <v>528</v>
      </c>
      <c r="L93" s="268">
        <v>79900</v>
      </c>
      <c r="M93" s="225" t="s">
        <v>526</v>
      </c>
      <c r="S93"/>
    </row>
    <row r="94" spans="1:19" x14ac:dyDescent="0.2">
      <c r="A94" s="222">
        <v>29701</v>
      </c>
      <c r="B94" s="222" t="s">
        <v>378</v>
      </c>
      <c r="C94" s="222" t="s">
        <v>42</v>
      </c>
      <c r="D94" s="268">
        <f t="shared" si="1"/>
        <v>42727.272727272728</v>
      </c>
      <c r="E94" s="269">
        <v>1</v>
      </c>
      <c r="F94" s="254" t="s">
        <v>543</v>
      </c>
      <c r="G94" s="222" t="s">
        <v>524</v>
      </c>
      <c r="H94" s="222" t="s">
        <v>375</v>
      </c>
      <c r="I94" s="224" t="s">
        <v>499</v>
      </c>
      <c r="J94" s="225" t="s">
        <v>526</v>
      </c>
      <c r="K94" s="225" t="s">
        <v>528</v>
      </c>
      <c r="L94" s="268">
        <v>79900</v>
      </c>
      <c r="M94" s="225" t="s">
        <v>526</v>
      </c>
      <c r="S94"/>
    </row>
    <row r="95" spans="1:19" x14ac:dyDescent="0.2">
      <c r="A95" s="222">
        <v>29710</v>
      </c>
      <c r="B95" s="222" t="s">
        <v>378</v>
      </c>
      <c r="C95" s="222" t="s">
        <v>700</v>
      </c>
      <c r="D95" s="268">
        <f t="shared" si="1"/>
        <v>42727.272727272728</v>
      </c>
      <c r="E95" s="269">
        <v>1</v>
      </c>
      <c r="F95" s="254" t="s">
        <v>543</v>
      </c>
      <c r="G95" s="222" t="s">
        <v>524</v>
      </c>
      <c r="H95" s="222" t="s">
        <v>374</v>
      </c>
      <c r="I95" s="224" t="s">
        <v>500</v>
      </c>
      <c r="J95" s="225" t="s">
        <v>526</v>
      </c>
      <c r="K95" s="225" t="s">
        <v>528</v>
      </c>
      <c r="L95" s="268">
        <v>79900</v>
      </c>
      <c r="M95" s="225" t="s">
        <v>526</v>
      </c>
      <c r="S95"/>
    </row>
    <row r="96" spans="1:19" x14ac:dyDescent="0.2">
      <c r="A96" s="222">
        <v>52577</v>
      </c>
      <c r="B96" s="222" t="s">
        <v>859</v>
      </c>
      <c r="C96" s="222" t="s">
        <v>43</v>
      </c>
      <c r="D96" s="268">
        <f t="shared" si="1"/>
        <v>40641.711229946523</v>
      </c>
      <c r="E96" s="269">
        <v>1</v>
      </c>
      <c r="F96" s="254" t="s">
        <v>546</v>
      </c>
      <c r="G96" s="222" t="s">
        <v>58</v>
      </c>
      <c r="H96" s="222" t="s">
        <v>374</v>
      </c>
      <c r="I96" s="224" t="s">
        <v>500</v>
      </c>
      <c r="J96" s="225" t="s">
        <v>526</v>
      </c>
      <c r="K96" s="225" t="s">
        <v>528</v>
      </c>
      <c r="L96" s="268">
        <v>76000</v>
      </c>
      <c r="M96" s="225" t="s">
        <v>526</v>
      </c>
      <c r="S96"/>
    </row>
    <row r="97" spans="1:19" x14ac:dyDescent="0.2">
      <c r="A97" s="222">
        <v>52578</v>
      </c>
      <c r="B97" s="222" t="s">
        <v>859</v>
      </c>
      <c r="C97" s="222" t="s">
        <v>42</v>
      </c>
      <c r="D97" s="268">
        <f t="shared" si="1"/>
        <v>40641.711229946523</v>
      </c>
      <c r="E97" s="269">
        <v>1</v>
      </c>
      <c r="F97" s="254" t="s">
        <v>546</v>
      </c>
      <c r="G97" s="222" t="s">
        <v>58</v>
      </c>
      <c r="H97" s="222" t="s">
        <v>374</v>
      </c>
      <c r="I97" s="224" t="s">
        <v>500</v>
      </c>
      <c r="J97" s="225" t="s">
        <v>526</v>
      </c>
      <c r="K97" s="225" t="s">
        <v>528</v>
      </c>
      <c r="L97" s="268">
        <v>76000</v>
      </c>
      <c r="M97" s="225" t="s">
        <v>526</v>
      </c>
      <c r="S97"/>
    </row>
    <row r="98" spans="1:19" x14ac:dyDescent="0.2">
      <c r="A98" s="222">
        <v>27826</v>
      </c>
      <c r="B98" s="222" t="s">
        <v>557</v>
      </c>
      <c r="C98" s="222" t="s">
        <v>564</v>
      </c>
      <c r="D98" s="268">
        <f t="shared" si="1"/>
        <v>39518.716577540108</v>
      </c>
      <c r="E98" s="269">
        <v>1</v>
      </c>
      <c r="F98" s="254" t="s">
        <v>543</v>
      </c>
      <c r="G98" s="222" t="s">
        <v>524</v>
      </c>
      <c r="H98" s="222" t="s">
        <v>376</v>
      </c>
      <c r="I98" s="224" t="s">
        <v>499</v>
      </c>
      <c r="J98" s="225" t="s">
        <v>526</v>
      </c>
      <c r="K98" s="225" t="s">
        <v>528</v>
      </c>
      <c r="L98" s="268">
        <v>73900</v>
      </c>
      <c r="M98" s="225" t="s">
        <v>526</v>
      </c>
      <c r="S98"/>
    </row>
    <row r="99" spans="1:19" x14ac:dyDescent="0.2">
      <c r="A99" s="222">
        <v>27827</v>
      </c>
      <c r="B99" s="222" t="s">
        <v>557</v>
      </c>
      <c r="C99" s="222" t="s">
        <v>565</v>
      </c>
      <c r="D99" s="268">
        <f t="shared" si="1"/>
        <v>39518.716577540108</v>
      </c>
      <c r="E99" s="269">
        <v>1</v>
      </c>
      <c r="F99" s="254" t="s">
        <v>543</v>
      </c>
      <c r="G99" s="222" t="s">
        <v>524</v>
      </c>
      <c r="H99" s="222" t="s">
        <v>376</v>
      </c>
      <c r="I99" s="224" t="s">
        <v>499</v>
      </c>
      <c r="J99" s="225" t="s">
        <v>526</v>
      </c>
      <c r="K99" s="225" t="s">
        <v>528</v>
      </c>
      <c r="L99" s="268">
        <v>73900</v>
      </c>
      <c r="M99" s="225" t="s">
        <v>526</v>
      </c>
      <c r="S99"/>
    </row>
    <row r="100" spans="1:19" x14ac:dyDescent="0.2">
      <c r="A100" s="222">
        <v>26455</v>
      </c>
      <c r="B100" s="222" t="s">
        <v>557</v>
      </c>
      <c r="C100" s="222" t="s">
        <v>783</v>
      </c>
      <c r="D100" s="268">
        <f t="shared" si="1"/>
        <v>39518.716577540108</v>
      </c>
      <c r="E100" s="269">
        <v>1</v>
      </c>
      <c r="F100" s="254" t="s">
        <v>543</v>
      </c>
      <c r="G100" s="222" t="s">
        <v>524</v>
      </c>
      <c r="H100" s="222" t="s">
        <v>376</v>
      </c>
      <c r="I100" s="224" t="s">
        <v>499</v>
      </c>
      <c r="J100" s="225" t="s">
        <v>526</v>
      </c>
      <c r="K100" s="225" t="s">
        <v>528</v>
      </c>
      <c r="L100" s="268">
        <v>73900</v>
      </c>
      <c r="M100" s="225" t="s">
        <v>526</v>
      </c>
      <c r="S100"/>
    </row>
    <row r="101" spans="1:19" x14ac:dyDescent="0.2">
      <c r="A101" s="222">
        <v>27358</v>
      </c>
      <c r="B101" s="222" t="s">
        <v>557</v>
      </c>
      <c r="C101" s="222" t="s">
        <v>860</v>
      </c>
      <c r="D101" s="268">
        <f t="shared" si="1"/>
        <v>39518.716577540108</v>
      </c>
      <c r="E101" s="269">
        <v>1</v>
      </c>
      <c r="F101" s="254" t="s">
        <v>545</v>
      </c>
      <c r="G101" s="222" t="s">
        <v>57</v>
      </c>
      <c r="H101" s="222" t="s">
        <v>374</v>
      </c>
      <c r="I101" s="224" t="s">
        <v>500</v>
      </c>
      <c r="J101" s="225" t="s">
        <v>526</v>
      </c>
      <c r="K101" s="225" t="s">
        <v>528</v>
      </c>
      <c r="L101" s="268">
        <v>73900</v>
      </c>
      <c r="M101" s="225" t="s">
        <v>526</v>
      </c>
      <c r="S101"/>
    </row>
    <row r="102" spans="1:19" x14ac:dyDescent="0.2">
      <c r="A102" s="222">
        <v>24356</v>
      </c>
      <c r="B102" s="222" t="s">
        <v>784</v>
      </c>
      <c r="C102" s="222" t="s">
        <v>43</v>
      </c>
      <c r="D102" s="268">
        <f t="shared" si="1"/>
        <v>37379.679144385023</v>
      </c>
      <c r="E102" s="269">
        <v>1</v>
      </c>
      <c r="F102" s="254" t="s">
        <v>543</v>
      </c>
      <c r="G102" s="222" t="s">
        <v>524</v>
      </c>
      <c r="H102" s="222" t="s">
        <v>377</v>
      </c>
      <c r="I102" s="224" t="s">
        <v>499</v>
      </c>
      <c r="J102" s="225" t="s">
        <v>526</v>
      </c>
      <c r="K102" s="225" t="s">
        <v>528</v>
      </c>
      <c r="L102" s="268">
        <v>69900</v>
      </c>
      <c r="M102" s="225" t="s">
        <v>526</v>
      </c>
      <c r="S102"/>
    </row>
    <row r="103" spans="1:19" x14ac:dyDescent="0.2">
      <c r="A103" s="222">
        <v>24357</v>
      </c>
      <c r="B103" s="222" t="s">
        <v>784</v>
      </c>
      <c r="C103" s="222" t="s">
        <v>42</v>
      </c>
      <c r="D103" s="268">
        <f t="shared" si="1"/>
        <v>37379.679144385023</v>
      </c>
      <c r="E103" s="269">
        <v>1</v>
      </c>
      <c r="F103" s="254" t="e">
        <v>#N/A</v>
      </c>
      <c r="G103" s="222" t="s">
        <v>524</v>
      </c>
      <c r="H103" s="222" t="s">
        <v>377</v>
      </c>
      <c r="I103" s="224" t="s">
        <v>499</v>
      </c>
      <c r="J103" s="225" t="s">
        <v>526</v>
      </c>
      <c r="K103" s="225" t="s">
        <v>528</v>
      </c>
      <c r="L103" s="268">
        <v>69900</v>
      </c>
      <c r="M103" s="225" t="s">
        <v>526</v>
      </c>
      <c r="S103"/>
    </row>
    <row r="104" spans="1:19" x14ac:dyDescent="0.2">
      <c r="A104" s="222">
        <v>25869</v>
      </c>
      <c r="B104" s="222" t="s">
        <v>687</v>
      </c>
      <c r="C104" s="222" t="s">
        <v>1</v>
      </c>
      <c r="D104" s="268">
        <f t="shared" si="1"/>
        <v>36096.256684491978</v>
      </c>
      <c r="E104" s="269">
        <v>1</v>
      </c>
      <c r="F104" s="254" t="s">
        <v>543</v>
      </c>
      <c r="G104" s="222" t="s">
        <v>524</v>
      </c>
      <c r="H104" s="222" t="s">
        <v>375</v>
      </c>
      <c r="I104" s="224" t="s">
        <v>499</v>
      </c>
      <c r="J104" s="225" t="s">
        <v>526</v>
      </c>
      <c r="K104" s="225" t="s">
        <v>528</v>
      </c>
      <c r="L104" s="268">
        <v>67500</v>
      </c>
      <c r="M104" s="225" t="s">
        <v>526</v>
      </c>
      <c r="S104"/>
    </row>
    <row r="105" spans="1:19" x14ac:dyDescent="0.2">
      <c r="A105" s="222">
        <v>25870</v>
      </c>
      <c r="B105" s="222" t="s">
        <v>687</v>
      </c>
      <c r="C105" s="222" t="s">
        <v>42</v>
      </c>
      <c r="D105" s="268">
        <f t="shared" si="1"/>
        <v>36096.256684491978</v>
      </c>
      <c r="E105" s="269">
        <v>1</v>
      </c>
      <c r="F105" s="254" t="s">
        <v>543</v>
      </c>
      <c r="G105" s="222" t="s">
        <v>524</v>
      </c>
      <c r="H105" s="222" t="s">
        <v>375</v>
      </c>
      <c r="I105" s="224" t="s">
        <v>499</v>
      </c>
      <c r="J105" s="225" t="s">
        <v>526</v>
      </c>
      <c r="K105" s="225" t="s">
        <v>528</v>
      </c>
      <c r="L105" s="268">
        <v>67500</v>
      </c>
      <c r="M105" s="225" t="s">
        <v>526</v>
      </c>
      <c r="S105"/>
    </row>
    <row r="106" spans="1:19" x14ac:dyDescent="0.2">
      <c r="A106" s="222">
        <v>27391</v>
      </c>
      <c r="B106" s="222" t="s">
        <v>687</v>
      </c>
      <c r="C106" s="222" t="s">
        <v>861</v>
      </c>
      <c r="D106" s="268">
        <f t="shared" si="1"/>
        <v>36096.256684491978</v>
      </c>
      <c r="E106" s="269">
        <v>1</v>
      </c>
      <c r="F106" s="254" t="s">
        <v>543</v>
      </c>
      <c r="G106" s="222" t="s">
        <v>57</v>
      </c>
      <c r="H106" s="222" t="s">
        <v>374</v>
      </c>
      <c r="I106" s="224" t="s">
        <v>500</v>
      </c>
      <c r="J106" s="225" t="s">
        <v>526</v>
      </c>
      <c r="K106" s="225" t="s">
        <v>528</v>
      </c>
      <c r="L106" s="268">
        <v>67500</v>
      </c>
      <c r="M106" s="225" t="s">
        <v>526</v>
      </c>
      <c r="S106"/>
    </row>
    <row r="107" spans="1:19" x14ac:dyDescent="0.2">
      <c r="A107" s="222">
        <v>52234</v>
      </c>
      <c r="B107" s="222" t="s">
        <v>785</v>
      </c>
      <c r="C107" s="222" t="s">
        <v>43</v>
      </c>
      <c r="D107" s="268">
        <f t="shared" si="1"/>
        <v>36096.256684491978</v>
      </c>
      <c r="E107" s="269">
        <v>1</v>
      </c>
      <c r="F107" s="254" t="s">
        <v>543</v>
      </c>
      <c r="G107" s="222" t="s">
        <v>524</v>
      </c>
      <c r="H107" s="222" t="s">
        <v>375</v>
      </c>
      <c r="I107" s="224" t="s">
        <v>499</v>
      </c>
      <c r="J107" s="225" t="s">
        <v>526</v>
      </c>
      <c r="K107" s="225" t="s">
        <v>528</v>
      </c>
      <c r="L107" s="268">
        <v>67500</v>
      </c>
      <c r="M107" s="225" t="s">
        <v>526</v>
      </c>
      <c r="S107"/>
    </row>
    <row r="108" spans="1:19" x14ac:dyDescent="0.2">
      <c r="A108" s="222">
        <v>52235</v>
      </c>
      <c r="B108" s="222" t="s">
        <v>785</v>
      </c>
      <c r="C108" s="222" t="s">
        <v>42</v>
      </c>
      <c r="D108" s="268">
        <f t="shared" si="1"/>
        <v>36096.256684491978</v>
      </c>
      <c r="E108" s="269">
        <v>1</v>
      </c>
      <c r="F108" s="254" t="s">
        <v>543</v>
      </c>
      <c r="G108" s="222" t="s">
        <v>524</v>
      </c>
      <c r="H108" s="222" t="s">
        <v>375</v>
      </c>
      <c r="I108" s="224" t="s">
        <v>499</v>
      </c>
      <c r="J108" s="225" t="s">
        <v>526</v>
      </c>
      <c r="K108" s="225" t="s">
        <v>528</v>
      </c>
      <c r="L108" s="268">
        <v>67500</v>
      </c>
      <c r="M108" s="225" t="s">
        <v>526</v>
      </c>
      <c r="S108"/>
    </row>
    <row r="109" spans="1:19" x14ac:dyDescent="0.2">
      <c r="A109" s="222">
        <v>27381</v>
      </c>
      <c r="B109" s="222" t="s">
        <v>785</v>
      </c>
      <c r="C109" s="222" t="s">
        <v>862</v>
      </c>
      <c r="D109" s="268">
        <f t="shared" si="1"/>
        <v>36096.256684491978</v>
      </c>
      <c r="E109" s="269">
        <v>1</v>
      </c>
      <c r="F109" s="254" t="s">
        <v>545</v>
      </c>
      <c r="G109" s="222" t="s">
        <v>57</v>
      </c>
      <c r="H109" s="222" t="s">
        <v>375</v>
      </c>
      <c r="I109" s="224" t="s">
        <v>499</v>
      </c>
      <c r="J109" s="225" t="s">
        <v>526</v>
      </c>
      <c r="K109" s="225" t="s">
        <v>528</v>
      </c>
      <c r="L109" s="268">
        <v>67500</v>
      </c>
      <c r="M109" s="225" t="s">
        <v>526</v>
      </c>
      <c r="S109"/>
    </row>
    <row r="110" spans="1:19" x14ac:dyDescent="0.2">
      <c r="A110" s="222">
        <v>27382</v>
      </c>
      <c r="B110" s="222" t="s">
        <v>785</v>
      </c>
      <c r="C110" s="222" t="s">
        <v>863</v>
      </c>
      <c r="D110" s="268">
        <f t="shared" si="1"/>
        <v>36096.256684491978</v>
      </c>
      <c r="E110" s="269">
        <v>1</v>
      </c>
      <c r="F110" s="254" t="s">
        <v>545</v>
      </c>
      <c r="G110" s="222" t="s">
        <v>57</v>
      </c>
      <c r="H110" s="222" t="s">
        <v>374</v>
      </c>
      <c r="I110" s="224" t="s">
        <v>500</v>
      </c>
      <c r="J110" s="225" t="s">
        <v>526</v>
      </c>
      <c r="K110" s="225" t="s">
        <v>528</v>
      </c>
      <c r="L110" s="268">
        <v>67500</v>
      </c>
      <c r="M110" s="225" t="s">
        <v>526</v>
      </c>
      <c r="S110"/>
    </row>
    <row r="111" spans="1:19" x14ac:dyDescent="0.2">
      <c r="A111" s="222">
        <v>52524</v>
      </c>
      <c r="B111" s="222" t="s">
        <v>633</v>
      </c>
      <c r="C111" s="222" t="s">
        <v>780</v>
      </c>
      <c r="D111" s="268">
        <f t="shared" si="1"/>
        <v>52941.176470588231</v>
      </c>
      <c r="E111" s="269">
        <v>1</v>
      </c>
      <c r="F111" s="254" t="s">
        <v>543</v>
      </c>
      <c r="G111" s="222" t="s">
        <v>524</v>
      </c>
      <c r="H111" s="222" t="s">
        <v>375</v>
      </c>
      <c r="I111" s="224" t="s">
        <v>499</v>
      </c>
      <c r="J111" s="225" t="s">
        <v>526</v>
      </c>
      <c r="K111" s="225" t="s">
        <v>864</v>
      </c>
      <c r="L111" s="268">
        <v>99000</v>
      </c>
      <c r="M111" s="225" t="s">
        <v>526</v>
      </c>
      <c r="S111"/>
    </row>
    <row r="112" spans="1:19" x14ac:dyDescent="0.2">
      <c r="A112" s="222">
        <v>52229</v>
      </c>
      <c r="B112" s="222" t="s">
        <v>633</v>
      </c>
      <c r="C112" s="222" t="s">
        <v>779</v>
      </c>
      <c r="D112" s="268">
        <f t="shared" si="1"/>
        <v>52941.176470588231</v>
      </c>
      <c r="E112" s="269">
        <v>1</v>
      </c>
      <c r="F112" s="254" t="s">
        <v>546</v>
      </c>
      <c r="G112" s="222" t="s">
        <v>524</v>
      </c>
      <c r="H112" s="222" t="s">
        <v>375</v>
      </c>
      <c r="I112" s="224" t="s">
        <v>499</v>
      </c>
      <c r="J112" s="225" t="s">
        <v>526</v>
      </c>
      <c r="K112" s="225" t="s">
        <v>864</v>
      </c>
      <c r="L112" s="268">
        <v>99000</v>
      </c>
      <c r="M112" s="225" t="s">
        <v>526</v>
      </c>
      <c r="S112"/>
    </row>
    <row r="113" spans="1:19" x14ac:dyDescent="0.2">
      <c r="A113" s="222">
        <v>25881</v>
      </c>
      <c r="B113" s="222" t="s">
        <v>634</v>
      </c>
      <c r="C113" s="222" t="s">
        <v>42</v>
      </c>
      <c r="D113" s="268">
        <f t="shared" si="1"/>
        <v>52139.037433155077</v>
      </c>
      <c r="E113" s="269">
        <v>1</v>
      </c>
      <c r="F113" s="254" t="s">
        <v>544</v>
      </c>
      <c r="G113" s="222" t="s">
        <v>524</v>
      </c>
      <c r="H113" s="222" t="s">
        <v>375</v>
      </c>
      <c r="I113" s="224" t="s">
        <v>499</v>
      </c>
      <c r="J113" s="225" t="s">
        <v>526</v>
      </c>
      <c r="K113" s="225" t="s">
        <v>864</v>
      </c>
      <c r="L113" s="268">
        <v>97500</v>
      </c>
      <c r="M113" s="225" t="s">
        <v>526</v>
      </c>
      <c r="S113"/>
    </row>
    <row r="114" spans="1:19" x14ac:dyDescent="0.2">
      <c r="A114" s="222">
        <v>25880</v>
      </c>
      <c r="B114" s="222" t="s">
        <v>634</v>
      </c>
      <c r="C114" s="222" t="s">
        <v>781</v>
      </c>
      <c r="D114" s="268">
        <f t="shared" si="1"/>
        <v>52139.037433155077</v>
      </c>
      <c r="E114" s="269">
        <v>1</v>
      </c>
      <c r="F114" s="254" t="s">
        <v>544</v>
      </c>
      <c r="G114" s="222" t="s">
        <v>524</v>
      </c>
      <c r="H114" s="222" t="s">
        <v>374</v>
      </c>
      <c r="I114" s="224" t="s">
        <v>500</v>
      </c>
      <c r="J114" s="225" t="s">
        <v>526</v>
      </c>
      <c r="K114" s="225" t="s">
        <v>864</v>
      </c>
      <c r="L114" s="268">
        <v>97500</v>
      </c>
      <c r="M114" s="225" t="s">
        <v>526</v>
      </c>
      <c r="S114"/>
    </row>
    <row r="115" spans="1:19" x14ac:dyDescent="0.2">
      <c r="A115" s="222">
        <v>25644</v>
      </c>
      <c r="B115" s="222" t="s">
        <v>634</v>
      </c>
      <c r="C115" s="222" t="s">
        <v>43</v>
      </c>
      <c r="D115" s="268">
        <f t="shared" si="1"/>
        <v>52139.037433155077</v>
      </c>
      <c r="E115" s="269">
        <v>1</v>
      </c>
      <c r="F115" s="254" t="s">
        <v>544</v>
      </c>
      <c r="G115" s="222" t="s">
        <v>57</v>
      </c>
      <c r="H115" s="222" t="s">
        <v>375</v>
      </c>
      <c r="I115" s="224" t="s">
        <v>499</v>
      </c>
      <c r="J115" s="225" t="s">
        <v>526</v>
      </c>
      <c r="K115" s="225" t="s">
        <v>864</v>
      </c>
      <c r="L115" s="268">
        <v>97500</v>
      </c>
      <c r="M115" s="225" t="s">
        <v>526</v>
      </c>
      <c r="S115"/>
    </row>
    <row r="116" spans="1:19" x14ac:dyDescent="0.2">
      <c r="A116" s="222">
        <v>26437</v>
      </c>
      <c r="B116" s="222" t="s">
        <v>634</v>
      </c>
      <c r="C116" s="222" t="s">
        <v>780</v>
      </c>
      <c r="D116" s="268">
        <f t="shared" si="1"/>
        <v>52139.037433155077</v>
      </c>
      <c r="E116" s="269">
        <v>1</v>
      </c>
      <c r="F116" s="254" t="s">
        <v>543</v>
      </c>
      <c r="G116" s="222" t="s">
        <v>524</v>
      </c>
      <c r="H116" s="222" t="s">
        <v>375</v>
      </c>
      <c r="I116" s="224" t="s">
        <v>499</v>
      </c>
      <c r="J116" s="225" t="s">
        <v>526</v>
      </c>
      <c r="K116" s="225" t="s">
        <v>864</v>
      </c>
      <c r="L116" s="268">
        <v>97500</v>
      </c>
      <c r="M116" s="225" t="s">
        <v>526</v>
      </c>
      <c r="S116"/>
    </row>
    <row r="117" spans="1:19" x14ac:dyDescent="0.2">
      <c r="A117" s="222">
        <v>52553</v>
      </c>
      <c r="B117" s="222" t="s">
        <v>865</v>
      </c>
      <c r="C117" s="222" t="s">
        <v>866</v>
      </c>
      <c r="D117" s="268">
        <f t="shared" si="1"/>
        <v>56363.63636363636</v>
      </c>
      <c r="E117" s="269">
        <v>1</v>
      </c>
      <c r="F117" s="254" t="s">
        <v>546</v>
      </c>
      <c r="G117" s="222" t="s">
        <v>58</v>
      </c>
      <c r="H117" s="222" t="s">
        <v>375</v>
      </c>
      <c r="I117" s="224" t="s">
        <v>499</v>
      </c>
      <c r="J117" s="225" t="s">
        <v>526</v>
      </c>
      <c r="K117" s="225" t="s">
        <v>864</v>
      </c>
      <c r="L117" s="268">
        <v>105400</v>
      </c>
      <c r="M117" s="225" t="s">
        <v>526</v>
      </c>
      <c r="S117"/>
    </row>
    <row r="118" spans="1:19" x14ac:dyDescent="0.2">
      <c r="A118" s="222">
        <v>52554</v>
      </c>
      <c r="B118" s="222" t="s">
        <v>865</v>
      </c>
      <c r="C118" s="222" t="s">
        <v>862</v>
      </c>
      <c r="D118" s="268">
        <f t="shared" si="1"/>
        <v>56363.63636363636</v>
      </c>
      <c r="E118" s="269">
        <v>1</v>
      </c>
      <c r="F118" s="254" t="s">
        <v>546</v>
      </c>
      <c r="G118" s="222" t="s">
        <v>58</v>
      </c>
      <c r="H118" s="222" t="s">
        <v>375</v>
      </c>
      <c r="I118" s="224" t="s">
        <v>499</v>
      </c>
      <c r="J118" s="225" t="s">
        <v>526</v>
      </c>
      <c r="K118" s="225" t="s">
        <v>864</v>
      </c>
      <c r="L118" s="268">
        <v>105400</v>
      </c>
      <c r="M118" s="225" t="s">
        <v>526</v>
      </c>
      <c r="S118"/>
    </row>
    <row r="119" spans="1:19" x14ac:dyDescent="0.2">
      <c r="A119" s="222">
        <v>27392</v>
      </c>
      <c r="B119" s="222" t="s">
        <v>867</v>
      </c>
      <c r="C119" s="222" t="s">
        <v>43</v>
      </c>
      <c r="D119" s="268">
        <f t="shared" si="1"/>
        <v>45401.069518716577</v>
      </c>
      <c r="E119" s="269">
        <v>1</v>
      </c>
      <c r="F119" s="254" t="s">
        <v>546</v>
      </c>
      <c r="G119" s="222" t="s">
        <v>58</v>
      </c>
      <c r="H119" s="222" t="s">
        <v>375</v>
      </c>
      <c r="I119" s="224" t="s">
        <v>499</v>
      </c>
      <c r="J119" s="225" t="s">
        <v>526</v>
      </c>
      <c r="K119" s="225" t="s">
        <v>864</v>
      </c>
      <c r="L119" s="268">
        <v>84900</v>
      </c>
      <c r="M119" s="225" t="s">
        <v>526</v>
      </c>
      <c r="S119"/>
    </row>
    <row r="120" spans="1:19" x14ac:dyDescent="0.2">
      <c r="A120" s="222">
        <v>27393</v>
      </c>
      <c r="B120" s="222" t="s">
        <v>867</v>
      </c>
      <c r="C120" s="222" t="s">
        <v>868</v>
      </c>
      <c r="D120" s="268">
        <f t="shared" si="1"/>
        <v>45401.069518716577</v>
      </c>
      <c r="E120" s="269">
        <v>1</v>
      </c>
      <c r="F120" s="254" t="s">
        <v>546</v>
      </c>
      <c r="G120" s="222" t="s">
        <v>58</v>
      </c>
      <c r="H120" s="222" t="s">
        <v>375</v>
      </c>
      <c r="I120" s="224" t="s">
        <v>499</v>
      </c>
      <c r="J120" s="225" t="s">
        <v>526</v>
      </c>
      <c r="K120" s="225" t="s">
        <v>864</v>
      </c>
      <c r="L120" s="268">
        <v>84900</v>
      </c>
      <c r="M120" s="225" t="s">
        <v>526</v>
      </c>
    </row>
    <row r="121" spans="1:19" x14ac:dyDescent="0.2">
      <c r="A121" s="222">
        <v>27397</v>
      </c>
      <c r="B121" s="222" t="s">
        <v>869</v>
      </c>
      <c r="C121" s="222" t="s">
        <v>870</v>
      </c>
      <c r="D121" s="268">
        <f t="shared" si="1"/>
        <v>37379.679144385023</v>
      </c>
      <c r="E121" s="269">
        <v>1</v>
      </c>
      <c r="F121" s="254" t="s">
        <v>544</v>
      </c>
      <c r="G121" s="222" t="s">
        <v>58</v>
      </c>
      <c r="H121" s="222" t="s">
        <v>376</v>
      </c>
      <c r="I121" s="224" t="s">
        <v>499</v>
      </c>
      <c r="J121" s="225" t="s">
        <v>526</v>
      </c>
      <c r="K121" s="225" t="s">
        <v>864</v>
      </c>
      <c r="L121" s="268">
        <v>69900</v>
      </c>
      <c r="M121" s="225" t="s">
        <v>526</v>
      </c>
    </row>
    <row r="122" spans="1:19" x14ac:dyDescent="0.2">
      <c r="A122" s="222">
        <v>27398</v>
      </c>
      <c r="B122" s="222" t="s">
        <v>869</v>
      </c>
      <c r="C122" s="222" t="s">
        <v>871</v>
      </c>
      <c r="D122" s="268">
        <f t="shared" si="1"/>
        <v>37379.679144385023</v>
      </c>
      <c r="E122" s="269">
        <v>1</v>
      </c>
      <c r="F122" s="254" t="s">
        <v>544</v>
      </c>
      <c r="G122" s="222" t="s">
        <v>58</v>
      </c>
      <c r="H122" s="222" t="s">
        <v>376</v>
      </c>
      <c r="I122" s="224" t="s">
        <v>499</v>
      </c>
      <c r="J122" s="225" t="s">
        <v>526</v>
      </c>
      <c r="K122" s="225" t="s">
        <v>864</v>
      </c>
      <c r="L122" s="268">
        <v>69900</v>
      </c>
      <c r="M122" s="225" t="s">
        <v>526</v>
      </c>
    </row>
    <row r="123" spans="1:19" x14ac:dyDescent="0.2">
      <c r="A123" s="222">
        <v>27399</v>
      </c>
      <c r="B123" s="222" t="s">
        <v>869</v>
      </c>
      <c r="C123" s="222" t="s">
        <v>631</v>
      </c>
      <c r="D123" s="268">
        <f t="shared" si="1"/>
        <v>37379.679144385023</v>
      </c>
      <c r="E123" s="269">
        <v>1</v>
      </c>
      <c r="F123" s="254" t="s">
        <v>544</v>
      </c>
      <c r="G123" s="222" t="s">
        <v>58</v>
      </c>
      <c r="H123" s="222" t="s">
        <v>376</v>
      </c>
      <c r="I123" s="224" t="s">
        <v>499</v>
      </c>
      <c r="J123" s="225" t="s">
        <v>526</v>
      </c>
      <c r="K123" s="225" t="s">
        <v>864</v>
      </c>
      <c r="L123" s="268">
        <v>69900</v>
      </c>
      <c r="M123" s="225" t="s">
        <v>526</v>
      </c>
    </row>
    <row r="124" spans="1:19" x14ac:dyDescent="0.2">
      <c r="A124" s="222">
        <v>25882</v>
      </c>
      <c r="B124" s="222" t="s">
        <v>594</v>
      </c>
      <c r="C124" s="222" t="s">
        <v>672</v>
      </c>
      <c r="D124" s="268">
        <f t="shared" si="1"/>
        <v>50534.759358288764</v>
      </c>
      <c r="E124" s="269">
        <v>1</v>
      </c>
      <c r="F124" s="254" t="s">
        <v>543</v>
      </c>
      <c r="G124" s="222" t="s">
        <v>524</v>
      </c>
      <c r="H124" s="222" t="s">
        <v>375</v>
      </c>
      <c r="I124" s="224" t="s">
        <v>499</v>
      </c>
      <c r="J124" s="225" t="s">
        <v>526</v>
      </c>
      <c r="K124" s="225" t="s">
        <v>872</v>
      </c>
      <c r="L124" s="268">
        <v>94500</v>
      </c>
      <c r="M124" s="225" t="s">
        <v>526</v>
      </c>
    </row>
    <row r="125" spans="1:19" x14ac:dyDescent="0.2">
      <c r="A125" s="222">
        <v>25883</v>
      </c>
      <c r="B125" s="222" t="s">
        <v>594</v>
      </c>
      <c r="C125" s="222" t="s">
        <v>757</v>
      </c>
      <c r="D125" s="268">
        <f t="shared" si="1"/>
        <v>50534.759358288764</v>
      </c>
      <c r="E125" s="269">
        <v>1</v>
      </c>
      <c r="F125" s="254" t="s">
        <v>543</v>
      </c>
      <c r="G125" s="222" t="s">
        <v>524</v>
      </c>
      <c r="H125" s="222" t="s">
        <v>374</v>
      </c>
      <c r="I125" s="224" t="s">
        <v>500</v>
      </c>
      <c r="J125" s="225" t="s">
        <v>526</v>
      </c>
      <c r="K125" s="225" t="s">
        <v>872</v>
      </c>
      <c r="L125" s="268">
        <v>94500</v>
      </c>
      <c r="M125" s="225" t="s">
        <v>526</v>
      </c>
    </row>
    <row r="126" spans="1:19" x14ac:dyDescent="0.2">
      <c r="A126" s="222">
        <v>27359</v>
      </c>
      <c r="B126" s="222" t="s">
        <v>873</v>
      </c>
      <c r="C126" s="222" t="s">
        <v>874</v>
      </c>
      <c r="D126" s="268">
        <f t="shared" si="1"/>
        <v>49679.144385026739</v>
      </c>
      <c r="E126" s="269">
        <v>1</v>
      </c>
      <c r="F126" s="254" t="s">
        <v>544</v>
      </c>
      <c r="G126" s="222" t="s">
        <v>58</v>
      </c>
      <c r="H126" s="222" t="s">
        <v>875</v>
      </c>
      <c r="I126" s="224" t="s">
        <v>499</v>
      </c>
      <c r="J126" s="225" t="s">
        <v>526</v>
      </c>
      <c r="K126" s="225" t="s">
        <v>872</v>
      </c>
      <c r="L126" s="268">
        <v>92900</v>
      </c>
      <c r="M126" s="225" t="s">
        <v>526</v>
      </c>
    </row>
    <row r="127" spans="1:19" x14ac:dyDescent="0.2">
      <c r="A127" s="222">
        <v>27360</v>
      </c>
      <c r="B127" s="222" t="s">
        <v>873</v>
      </c>
      <c r="C127" s="222" t="s">
        <v>871</v>
      </c>
      <c r="D127" s="268">
        <f t="shared" si="1"/>
        <v>49679.144385026739</v>
      </c>
      <c r="E127" s="269">
        <v>1</v>
      </c>
      <c r="F127" s="254" t="s">
        <v>544</v>
      </c>
      <c r="G127" s="222" t="s">
        <v>58</v>
      </c>
      <c r="H127" s="222" t="s">
        <v>875</v>
      </c>
      <c r="I127" s="224" t="s">
        <v>499</v>
      </c>
      <c r="J127" s="225" t="s">
        <v>526</v>
      </c>
      <c r="K127" s="225" t="s">
        <v>872</v>
      </c>
      <c r="L127" s="268">
        <v>92900</v>
      </c>
      <c r="M127" s="225" t="s">
        <v>526</v>
      </c>
    </row>
    <row r="128" spans="1:19" x14ac:dyDescent="0.2">
      <c r="A128" s="222">
        <v>27361</v>
      </c>
      <c r="B128" s="222" t="s">
        <v>873</v>
      </c>
      <c r="C128" s="222" t="s">
        <v>876</v>
      </c>
      <c r="D128" s="268">
        <f t="shared" si="1"/>
        <v>49679.144385026739</v>
      </c>
      <c r="E128" s="269">
        <v>1</v>
      </c>
      <c r="F128" s="254" t="s">
        <v>544</v>
      </c>
      <c r="G128" s="222" t="s">
        <v>58</v>
      </c>
      <c r="H128" s="222" t="s">
        <v>875</v>
      </c>
      <c r="I128" s="224" t="s">
        <v>499</v>
      </c>
      <c r="J128" s="225" t="s">
        <v>526</v>
      </c>
      <c r="K128" s="225" t="s">
        <v>872</v>
      </c>
      <c r="L128" s="268">
        <v>92900</v>
      </c>
      <c r="M128" s="225" t="s">
        <v>526</v>
      </c>
    </row>
    <row r="129" spans="1:13" x14ac:dyDescent="0.2">
      <c r="A129" s="222">
        <v>27362</v>
      </c>
      <c r="B129" s="222" t="s">
        <v>873</v>
      </c>
      <c r="C129" s="222" t="s">
        <v>877</v>
      </c>
      <c r="D129" s="268">
        <f t="shared" si="1"/>
        <v>49679.144385026739</v>
      </c>
      <c r="E129" s="269">
        <v>1</v>
      </c>
      <c r="F129" s="254" t="s">
        <v>544</v>
      </c>
      <c r="G129" s="222" t="s">
        <v>58</v>
      </c>
      <c r="H129" s="222" t="s">
        <v>878</v>
      </c>
      <c r="I129" s="224" t="s">
        <v>500</v>
      </c>
      <c r="J129" s="225" t="s">
        <v>526</v>
      </c>
      <c r="K129" s="225" t="s">
        <v>872</v>
      </c>
      <c r="L129" s="268">
        <v>92900</v>
      </c>
      <c r="M129" s="225" t="s">
        <v>526</v>
      </c>
    </row>
    <row r="130" spans="1:13" x14ac:dyDescent="0.2">
      <c r="A130" s="222">
        <v>25765</v>
      </c>
      <c r="B130" s="222" t="s">
        <v>688</v>
      </c>
      <c r="C130" s="222" t="s">
        <v>786</v>
      </c>
      <c r="D130" s="268">
        <f t="shared" si="1"/>
        <v>50481.283422459892</v>
      </c>
      <c r="E130" s="269">
        <v>1</v>
      </c>
      <c r="F130" s="254" t="s">
        <v>544</v>
      </c>
      <c r="G130" s="222" t="s">
        <v>524</v>
      </c>
      <c r="H130" s="222" t="s">
        <v>376</v>
      </c>
      <c r="I130" s="224" t="s">
        <v>499</v>
      </c>
      <c r="J130" s="225" t="s">
        <v>526</v>
      </c>
      <c r="K130" s="225" t="s">
        <v>872</v>
      </c>
      <c r="L130" s="268">
        <v>94400</v>
      </c>
      <c r="M130" s="225" t="s">
        <v>526</v>
      </c>
    </row>
    <row r="131" spans="1:13" x14ac:dyDescent="0.2">
      <c r="A131" s="222">
        <v>25766</v>
      </c>
      <c r="B131" s="222" t="s">
        <v>688</v>
      </c>
      <c r="C131" s="222" t="s">
        <v>787</v>
      </c>
      <c r="D131" s="268">
        <f t="shared" ref="D131:D194" si="2">+L131/1.87</f>
        <v>50481.283422459892</v>
      </c>
      <c r="E131" s="269">
        <v>1</v>
      </c>
      <c r="F131" s="254" t="s">
        <v>544</v>
      </c>
      <c r="G131" s="222" t="s">
        <v>524</v>
      </c>
      <c r="H131" s="222" t="s">
        <v>376</v>
      </c>
      <c r="I131" s="224" t="s">
        <v>499</v>
      </c>
      <c r="J131" s="225" t="s">
        <v>526</v>
      </c>
      <c r="K131" s="225" t="s">
        <v>872</v>
      </c>
      <c r="L131" s="268">
        <v>94400</v>
      </c>
      <c r="M131" s="225" t="s">
        <v>526</v>
      </c>
    </row>
    <row r="132" spans="1:13" x14ac:dyDescent="0.2">
      <c r="A132" s="222">
        <v>26454</v>
      </c>
      <c r="B132" s="222" t="s">
        <v>635</v>
      </c>
      <c r="C132" s="222" t="s">
        <v>760</v>
      </c>
      <c r="D132" s="268">
        <f t="shared" si="2"/>
        <v>47860.962566844915</v>
      </c>
      <c r="E132" s="269">
        <v>1</v>
      </c>
      <c r="F132" s="254" t="s">
        <v>543</v>
      </c>
      <c r="G132" s="222" t="s">
        <v>524</v>
      </c>
      <c r="H132" s="222" t="s">
        <v>375</v>
      </c>
      <c r="I132" s="224" t="s">
        <v>499</v>
      </c>
      <c r="J132" s="225" t="s">
        <v>526</v>
      </c>
      <c r="K132" s="225" t="s">
        <v>872</v>
      </c>
      <c r="L132" s="268">
        <v>89500</v>
      </c>
      <c r="M132" s="225" t="s">
        <v>526</v>
      </c>
    </row>
    <row r="133" spans="1:13" x14ac:dyDescent="0.2">
      <c r="A133" s="222">
        <v>26435</v>
      </c>
      <c r="B133" s="222" t="s">
        <v>635</v>
      </c>
      <c r="C133" s="222" t="s">
        <v>758</v>
      </c>
      <c r="D133" s="268">
        <f t="shared" si="2"/>
        <v>47860.962566844915</v>
      </c>
      <c r="E133" s="269">
        <v>1</v>
      </c>
      <c r="F133" s="254" t="s">
        <v>543</v>
      </c>
      <c r="G133" s="222" t="s">
        <v>524</v>
      </c>
      <c r="H133" s="222" t="s">
        <v>375</v>
      </c>
      <c r="I133" s="224" t="s">
        <v>499</v>
      </c>
      <c r="J133" s="225" t="s">
        <v>526</v>
      </c>
      <c r="K133" s="225" t="s">
        <v>872</v>
      </c>
      <c r="L133" s="268">
        <v>89500</v>
      </c>
      <c r="M133" s="225" t="s">
        <v>526</v>
      </c>
    </row>
    <row r="134" spans="1:13" x14ac:dyDescent="0.2">
      <c r="A134" s="222">
        <v>26436</v>
      </c>
      <c r="B134" s="222" t="s">
        <v>635</v>
      </c>
      <c r="C134" s="222" t="s">
        <v>759</v>
      </c>
      <c r="D134" s="268">
        <f t="shared" si="2"/>
        <v>47860.962566844915</v>
      </c>
      <c r="E134" s="269">
        <v>1</v>
      </c>
      <c r="F134" s="254" t="s">
        <v>543</v>
      </c>
      <c r="G134" s="222" t="s">
        <v>524</v>
      </c>
      <c r="H134" s="222" t="s">
        <v>375</v>
      </c>
      <c r="I134" s="224" t="s">
        <v>499</v>
      </c>
      <c r="J134" s="225" t="s">
        <v>526</v>
      </c>
      <c r="K134" s="225" t="s">
        <v>872</v>
      </c>
      <c r="L134" s="268">
        <v>89500</v>
      </c>
      <c r="M134" s="225" t="s">
        <v>526</v>
      </c>
    </row>
    <row r="135" spans="1:13" x14ac:dyDescent="0.2">
      <c r="A135" s="222">
        <v>25642</v>
      </c>
      <c r="B135" s="222" t="s">
        <v>762</v>
      </c>
      <c r="C135" s="222" t="s">
        <v>763</v>
      </c>
      <c r="D135" s="268">
        <f t="shared" si="2"/>
        <v>47540.106951871654</v>
      </c>
      <c r="E135" s="269">
        <v>1</v>
      </c>
      <c r="F135" s="254" t="s">
        <v>545</v>
      </c>
      <c r="G135" s="222" t="s">
        <v>524</v>
      </c>
      <c r="H135" s="222" t="s">
        <v>376</v>
      </c>
      <c r="I135" s="224" t="s">
        <v>499</v>
      </c>
      <c r="J135" s="225" t="s">
        <v>526</v>
      </c>
      <c r="K135" s="225" t="s">
        <v>872</v>
      </c>
      <c r="L135" s="268">
        <v>88900</v>
      </c>
      <c r="M135" s="225" t="s">
        <v>526</v>
      </c>
    </row>
    <row r="136" spans="1:13" x14ac:dyDescent="0.2">
      <c r="A136" s="222">
        <v>27363</v>
      </c>
      <c r="B136" s="222" t="s">
        <v>762</v>
      </c>
      <c r="C136" s="222" t="s">
        <v>42</v>
      </c>
      <c r="D136" s="268">
        <f t="shared" si="2"/>
        <v>47540.106951871654</v>
      </c>
      <c r="E136" s="269">
        <v>1</v>
      </c>
      <c r="F136" s="254" t="s">
        <v>545</v>
      </c>
      <c r="G136" s="222" t="s">
        <v>524</v>
      </c>
      <c r="H136" s="222" t="s">
        <v>376</v>
      </c>
      <c r="I136" s="224" t="s">
        <v>499</v>
      </c>
      <c r="J136" s="225" t="s">
        <v>526</v>
      </c>
      <c r="K136" s="225" t="s">
        <v>872</v>
      </c>
      <c r="L136" s="268">
        <v>88900</v>
      </c>
      <c r="M136" s="225" t="s">
        <v>526</v>
      </c>
    </row>
    <row r="137" spans="1:13" x14ac:dyDescent="0.2">
      <c r="A137" s="222">
        <v>26896</v>
      </c>
      <c r="B137" s="222" t="s">
        <v>762</v>
      </c>
      <c r="C137" s="222" t="s">
        <v>765</v>
      </c>
      <c r="D137" s="268">
        <f t="shared" si="2"/>
        <v>47540.106951871654</v>
      </c>
      <c r="E137" s="269">
        <v>1</v>
      </c>
      <c r="F137" s="254" t="s">
        <v>543</v>
      </c>
      <c r="G137" s="222" t="s">
        <v>524</v>
      </c>
      <c r="H137" s="222" t="s">
        <v>376</v>
      </c>
      <c r="I137" s="224" t="s">
        <v>499</v>
      </c>
      <c r="J137" s="225" t="s">
        <v>526</v>
      </c>
      <c r="K137" s="225" t="s">
        <v>872</v>
      </c>
      <c r="L137" s="268">
        <v>88900</v>
      </c>
      <c r="M137" s="225" t="s">
        <v>526</v>
      </c>
    </row>
    <row r="138" spans="1:13" x14ac:dyDescent="0.2">
      <c r="A138" s="222">
        <v>52223</v>
      </c>
      <c r="B138" s="222" t="s">
        <v>762</v>
      </c>
      <c r="C138" s="222" t="s">
        <v>764</v>
      </c>
      <c r="D138" s="268">
        <f t="shared" si="2"/>
        <v>47540.106951871654</v>
      </c>
      <c r="E138" s="269">
        <v>1</v>
      </c>
      <c r="F138" s="254" t="s">
        <v>543</v>
      </c>
      <c r="G138" s="222" t="s">
        <v>524</v>
      </c>
      <c r="H138" s="222" t="s">
        <v>376</v>
      </c>
      <c r="I138" s="224" t="s">
        <v>499</v>
      </c>
      <c r="J138" s="225" t="s">
        <v>526</v>
      </c>
      <c r="K138" s="225" t="s">
        <v>872</v>
      </c>
      <c r="L138" s="268">
        <v>88900</v>
      </c>
      <c r="M138" s="225" t="s">
        <v>526</v>
      </c>
    </row>
    <row r="139" spans="1:13" x14ac:dyDescent="0.2">
      <c r="A139" s="222">
        <v>52280</v>
      </c>
      <c r="B139" s="222" t="s">
        <v>685</v>
      </c>
      <c r="C139" s="222" t="s">
        <v>705</v>
      </c>
      <c r="D139" s="268">
        <f t="shared" si="2"/>
        <v>46470.588235294112</v>
      </c>
      <c r="E139" s="269">
        <v>1</v>
      </c>
      <c r="F139" s="254" t="s">
        <v>543</v>
      </c>
      <c r="G139" s="222" t="s">
        <v>524</v>
      </c>
      <c r="H139" s="222" t="s">
        <v>376</v>
      </c>
      <c r="I139" s="224" t="s">
        <v>499</v>
      </c>
      <c r="J139" s="225" t="s">
        <v>526</v>
      </c>
      <c r="K139" s="225" t="s">
        <v>872</v>
      </c>
      <c r="L139" s="268">
        <v>86900</v>
      </c>
      <c r="M139" s="225" t="s">
        <v>526</v>
      </c>
    </row>
    <row r="140" spans="1:13" x14ac:dyDescent="0.2">
      <c r="A140" s="222">
        <v>52224</v>
      </c>
      <c r="B140" s="222" t="s">
        <v>685</v>
      </c>
      <c r="C140" s="222" t="s">
        <v>761</v>
      </c>
      <c r="D140" s="268">
        <f t="shared" si="2"/>
        <v>46470.588235294112</v>
      </c>
      <c r="E140" s="269">
        <v>1</v>
      </c>
      <c r="F140" s="254" t="s">
        <v>543</v>
      </c>
      <c r="G140" s="222" t="s">
        <v>524</v>
      </c>
      <c r="H140" s="222" t="s">
        <v>376</v>
      </c>
      <c r="I140" s="224" t="s">
        <v>499</v>
      </c>
      <c r="J140" s="225" t="s">
        <v>526</v>
      </c>
      <c r="K140" s="225" t="s">
        <v>872</v>
      </c>
      <c r="L140" s="268">
        <v>86900</v>
      </c>
      <c r="M140" s="225" t="s">
        <v>526</v>
      </c>
    </row>
    <row r="141" spans="1:13" x14ac:dyDescent="0.2">
      <c r="A141" s="222">
        <v>52361</v>
      </c>
      <c r="B141" s="222" t="s">
        <v>689</v>
      </c>
      <c r="C141" s="222" t="s">
        <v>42</v>
      </c>
      <c r="D141" s="268">
        <f t="shared" si="2"/>
        <v>44866.310160427805</v>
      </c>
      <c r="E141" s="269">
        <v>1</v>
      </c>
      <c r="F141" s="254" t="s">
        <v>543</v>
      </c>
      <c r="G141" s="222" t="s">
        <v>524</v>
      </c>
      <c r="H141" s="222" t="s">
        <v>374</v>
      </c>
      <c r="I141" s="224" t="s">
        <v>500</v>
      </c>
      <c r="J141" s="225" t="s">
        <v>526</v>
      </c>
      <c r="K141" s="225" t="s">
        <v>872</v>
      </c>
      <c r="L141" s="268">
        <v>83900</v>
      </c>
      <c r="M141" s="225" t="s">
        <v>526</v>
      </c>
    </row>
    <row r="142" spans="1:13" x14ac:dyDescent="0.2">
      <c r="A142" s="222">
        <v>52360</v>
      </c>
      <c r="B142" s="222" t="s">
        <v>689</v>
      </c>
      <c r="C142" s="222" t="s">
        <v>709</v>
      </c>
      <c r="D142" s="268">
        <f t="shared" si="2"/>
        <v>44866.310160427805</v>
      </c>
      <c r="E142" s="269">
        <v>1</v>
      </c>
      <c r="F142" s="254" t="s">
        <v>543</v>
      </c>
      <c r="G142" s="222" t="s">
        <v>524</v>
      </c>
      <c r="H142" s="222" t="s">
        <v>374</v>
      </c>
      <c r="I142" s="224" t="s">
        <v>500</v>
      </c>
      <c r="J142" s="225" t="s">
        <v>526</v>
      </c>
      <c r="K142" s="225" t="s">
        <v>872</v>
      </c>
      <c r="L142" s="268">
        <v>83900</v>
      </c>
      <c r="M142" s="225" t="s">
        <v>526</v>
      </c>
    </row>
    <row r="143" spans="1:13" x14ac:dyDescent="0.2">
      <c r="A143" s="222">
        <v>26925</v>
      </c>
      <c r="B143" s="222" t="s">
        <v>766</v>
      </c>
      <c r="C143" s="222" t="s">
        <v>767</v>
      </c>
      <c r="D143" s="268">
        <f t="shared" si="2"/>
        <v>44866.310160427805</v>
      </c>
      <c r="E143" s="269">
        <v>1</v>
      </c>
      <c r="F143" s="254" t="s">
        <v>543</v>
      </c>
      <c r="G143" s="222" t="s">
        <v>524</v>
      </c>
      <c r="H143" s="222" t="s">
        <v>375</v>
      </c>
      <c r="I143" s="224" t="s">
        <v>499</v>
      </c>
      <c r="J143" s="225" t="s">
        <v>526</v>
      </c>
      <c r="K143" s="225" t="s">
        <v>872</v>
      </c>
      <c r="L143" s="268">
        <v>83900</v>
      </c>
      <c r="M143" s="225" t="s">
        <v>526</v>
      </c>
    </row>
    <row r="144" spans="1:13" x14ac:dyDescent="0.2">
      <c r="A144" s="222">
        <v>52228</v>
      </c>
      <c r="B144" s="222" t="s">
        <v>766</v>
      </c>
      <c r="C144" s="222" t="s">
        <v>770</v>
      </c>
      <c r="D144" s="268">
        <f t="shared" si="2"/>
        <v>44866.310160427805</v>
      </c>
      <c r="E144" s="269">
        <v>1</v>
      </c>
      <c r="F144" s="254" t="s">
        <v>543</v>
      </c>
      <c r="G144" s="222" t="s">
        <v>524</v>
      </c>
      <c r="H144" s="222" t="s">
        <v>375</v>
      </c>
      <c r="I144" s="224" t="s">
        <v>499</v>
      </c>
      <c r="J144" s="225" t="s">
        <v>526</v>
      </c>
      <c r="K144" s="225" t="s">
        <v>872</v>
      </c>
      <c r="L144" s="268">
        <v>83900</v>
      </c>
      <c r="M144" s="225" t="s">
        <v>526</v>
      </c>
    </row>
    <row r="145" spans="1:13" x14ac:dyDescent="0.2">
      <c r="A145" s="222">
        <v>26926</v>
      </c>
      <c r="B145" s="222" t="s">
        <v>766</v>
      </c>
      <c r="C145" s="222" t="s">
        <v>769</v>
      </c>
      <c r="D145" s="268">
        <f t="shared" si="2"/>
        <v>44866.310160427805</v>
      </c>
      <c r="E145" s="269">
        <v>1</v>
      </c>
      <c r="F145" s="254" t="s">
        <v>543</v>
      </c>
      <c r="G145" s="222" t="s">
        <v>524</v>
      </c>
      <c r="H145" s="222" t="s">
        <v>375</v>
      </c>
      <c r="I145" s="224" t="s">
        <v>499</v>
      </c>
      <c r="J145" s="225" t="s">
        <v>526</v>
      </c>
      <c r="K145" s="225" t="s">
        <v>872</v>
      </c>
      <c r="L145" s="268">
        <v>83900</v>
      </c>
      <c r="M145" s="225" t="s">
        <v>526</v>
      </c>
    </row>
    <row r="146" spans="1:13" x14ac:dyDescent="0.2">
      <c r="A146" s="222">
        <v>52226</v>
      </c>
      <c r="B146" s="222" t="s">
        <v>766</v>
      </c>
      <c r="C146" s="222" t="s">
        <v>768</v>
      </c>
      <c r="D146" s="268">
        <f t="shared" si="2"/>
        <v>44866.310160427805</v>
      </c>
      <c r="E146" s="269">
        <v>1</v>
      </c>
      <c r="F146" s="254" t="s">
        <v>543</v>
      </c>
      <c r="G146" s="222" t="s">
        <v>524</v>
      </c>
      <c r="H146" s="222" t="s">
        <v>375</v>
      </c>
      <c r="I146" s="224" t="s">
        <v>499</v>
      </c>
      <c r="J146" s="225" t="s">
        <v>526</v>
      </c>
      <c r="K146" s="225" t="s">
        <v>872</v>
      </c>
      <c r="L146" s="268">
        <v>83900</v>
      </c>
      <c r="M146" s="225" t="s">
        <v>526</v>
      </c>
    </row>
    <row r="147" spans="1:13" x14ac:dyDescent="0.2">
      <c r="A147" s="222">
        <v>27364</v>
      </c>
      <c r="B147" s="222" t="s">
        <v>771</v>
      </c>
      <c r="C147" s="222" t="s">
        <v>879</v>
      </c>
      <c r="D147" s="268">
        <f t="shared" si="2"/>
        <v>44866.310160427805</v>
      </c>
      <c r="E147" s="269">
        <v>1</v>
      </c>
      <c r="F147" s="254" t="s">
        <v>544</v>
      </c>
      <c r="G147" s="222" t="s">
        <v>57</v>
      </c>
      <c r="H147" s="222" t="s">
        <v>376</v>
      </c>
      <c r="I147" s="224" t="s">
        <v>499</v>
      </c>
      <c r="J147" s="225" t="s">
        <v>526</v>
      </c>
      <c r="K147" s="225" t="s">
        <v>872</v>
      </c>
      <c r="L147" s="268">
        <v>83900</v>
      </c>
      <c r="M147" s="225" t="s">
        <v>526</v>
      </c>
    </row>
    <row r="148" spans="1:13" x14ac:dyDescent="0.2">
      <c r="A148" s="222">
        <v>27365</v>
      </c>
      <c r="B148" s="222" t="s">
        <v>771</v>
      </c>
      <c r="C148" s="222" t="s">
        <v>880</v>
      </c>
      <c r="D148" s="268">
        <f t="shared" si="2"/>
        <v>44866.310160427805</v>
      </c>
      <c r="E148" s="269">
        <v>1</v>
      </c>
      <c r="F148" s="254" t="s">
        <v>544</v>
      </c>
      <c r="G148" s="222" t="s">
        <v>57</v>
      </c>
      <c r="H148" s="222" t="s">
        <v>374</v>
      </c>
      <c r="I148" s="224" t="s">
        <v>500</v>
      </c>
      <c r="J148" s="225" t="s">
        <v>526</v>
      </c>
      <c r="K148" s="225" t="s">
        <v>872</v>
      </c>
      <c r="L148" s="268">
        <v>83900</v>
      </c>
      <c r="M148" s="225" t="s">
        <v>526</v>
      </c>
    </row>
    <row r="149" spans="1:13" x14ac:dyDescent="0.2">
      <c r="A149" s="222">
        <v>27394</v>
      </c>
      <c r="B149" s="222" t="s">
        <v>881</v>
      </c>
      <c r="C149" s="222" t="s">
        <v>882</v>
      </c>
      <c r="D149" s="268">
        <f t="shared" si="2"/>
        <v>42727.272727272728</v>
      </c>
      <c r="E149" s="269">
        <v>1</v>
      </c>
      <c r="F149" s="254" t="s">
        <v>546</v>
      </c>
      <c r="G149" s="222" t="s">
        <v>58</v>
      </c>
      <c r="H149" s="222" t="s">
        <v>375</v>
      </c>
      <c r="I149" s="224" t="s">
        <v>499</v>
      </c>
      <c r="J149" s="225" t="s">
        <v>526</v>
      </c>
      <c r="K149" s="225" t="s">
        <v>872</v>
      </c>
      <c r="L149" s="268">
        <v>79900</v>
      </c>
      <c r="M149" s="225" t="s">
        <v>526</v>
      </c>
    </row>
    <row r="150" spans="1:13" x14ac:dyDescent="0.2">
      <c r="A150" s="222">
        <v>27395</v>
      </c>
      <c r="B150" s="222" t="s">
        <v>881</v>
      </c>
      <c r="C150" s="222" t="s">
        <v>883</v>
      </c>
      <c r="D150" s="268">
        <f t="shared" si="2"/>
        <v>42727.272727272728</v>
      </c>
      <c r="E150" s="269">
        <v>1</v>
      </c>
      <c r="F150" s="254" t="s">
        <v>546</v>
      </c>
      <c r="G150" s="222" t="s">
        <v>58</v>
      </c>
      <c r="H150" s="222" t="s">
        <v>375</v>
      </c>
      <c r="I150" s="224" t="s">
        <v>499</v>
      </c>
      <c r="J150" s="225" t="s">
        <v>526</v>
      </c>
      <c r="K150" s="225" t="s">
        <v>872</v>
      </c>
      <c r="L150" s="268">
        <v>79900</v>
      </c>
      <c r="M150" s="225" t="s">
        <v>526</v>
      </c>
    </row>
    <row r="151" spans="1:13" x14ac:dyDescent="0.2">
      <c r="A151" s="222">
        <v>27396</v>
      </c>
      <c r="B151" s="222" t="s">
        <v>881</v>
      </c>
      <c r="C151" s="222" t="s">
        <v>884</v>
      </c>
      <c r="D151" s="268">
        <f t="shared" si="2"/>
        <v>42727.272727272728</v>
      </c>
      <c r="E151" s="269">
        <v>1</v>
      </c>
      <c r="F151" s="254" t="s">
        <v>546</v>
      </c>
      <c r="G151" s="222" t="s">
        <v>58</v>
      </c>
      <c r="H151" s="222" t="s">
        <v>374</v>
      </c>
      <c r="I151" s="224" t="s">
        <v>500</v>
      </c>
      <c r="J151" s="225" t="s">
        <v>526</v>
      </c>
      <c r="K151" s="225" t="s">
        <v>872</v>
      </c>
      <c r="L151" s="268">
        <v>79900</v>
      </c>
      <c r="M151" s="225" t="s">
        <v>526</v>
      </c>
    </row>
    <row r="152" spans="1:13" x14ac:dyDescent="0.2">
      <c r="A152" s="222">
        <v>26897</v>
      </c>
      <c r="B152" s="222" t="s">
        <v>773</v>
      </c>
      <c r="C152" s="222" t="s">
        <v>774</v>
      </c>
      <c r="D152" s="268">
        <f t="shared" si="2"/>
        <v>41978.609625668447</v>
      </c>
      <c r="E152" s="269">
        <v>1</v>
      </c>
      <c r="F152" s="254" t="s">
        <v>543</v>
      </c>
      <c r="G152" s="222" t="s">
        <v>524</v>
      </c>
      <c r="H152" s="222" t="s">
        <v>376</v>
      </c>
      <c r="I152" s="224" t="s">
        <v>499</v>
      </c>
      <c r="J152" s="225" t="s">
        <v>526</v>
      </c>
      <c r="K152" s="225" t="s">
        <v>872</v>
      </c>
      <c r="L152" s="268">
        <v>78500</v>
      </c>
      <c r="M152" s="225" t="s">
        <v>526</v>
      </c>
    </row>
    <row r="153" spans="1:13" x14ac:dyDescent="0.2">
      <c r="A153" s="222">
        <v>26898</v>
      </c>
      <c r="B153" s="222" t="s">
        <v>773</v>
      </c>
      <c r="C153" s="222" t="s">
        <v>775</v>
      </c>
      <c r="D153" s="268">
        <f t="shared" si="2"/>
        <v>41978.609625668447</v>
      </c>
      <c r="E153" s="269">
        <v>1</v>
      </c>
      <c r="F153" s="254" t="s">
        <v>543</v>
      </c>
      <c r="G153" s="222" t="s">
        <v>524</v>
      </c>
      <c r="H153" s="222" t="s">
        <v>376</v>
      </c>
      <c r="I153" s="224" t="s">
        <v>499</v>
      </c>
      <c r="J153" s="225" t="s">
        <v>526</v>
      </c>
      <c r="K153" s="225" t="s">
        <v>872</v>
      </c>
      <c r="L153" s="268">
        <v>78500</v>
      </c>
      <c r="M153" s="225" t="s">
        <v>526</v>
      </c>
    </row>
    <row r="154" spans="1:13" x14ac:dyDescent="0.2">
      <c r="A154" s="222">
        <v>26899</v>
      </c>
      <c r="B154" s="222" t="s">
        <v>773</v>
      </c>
      <c r="C154" s="222" t="s">
        <v>776</v>
      </c>
      <c r="D154" s="268">
        <f t="shared" si="2"/>
        <v>41978.609625668447</v>
      </c>
      <c r="E154" s="269">
        <v>1</v>
      </c>
      <c r="F154" s="254" t="s">
        <v>543</v>
      </c>
      <c r="G154" s="222" t="s">
        <v>524</v>
      </c>
      <c r="H154" s="222" t="s">
        <v>374</v>
      </c>
      <c r="I154" s="224" t="s">
        <v>500</v>
      </c>
      <c r="J154" s="225" t="s">
        <v>526</v>
      </c>
      <c r="K154" s="225" t="s">
        <v>872</v>
      </c>
      <c r="L154" s="268">
        <v>78500</v>
      </c>
      <c r="M154" s="225" t="s">
        <v>526</v>
      </c>
    </row>
    <row r="155" spans="1:13" x14ac:dyDescent="0.2">
      <c r="A155" s="222">
        <v>25763</v>
      </c>
      <c r="B155" s="222" t="s">
        <v>885</v>
      </c>
      <c r="C155" s="222" t="s">
        <v>42</v>
      </c>
      <c r="D155" s="268">
        <f t="shared" si="2"/>
        <v>38770.053475935827</v>
      </c>
      <c r="E155" s="269">
        <v>1</v>
      </c>
      <c r="F155" s="254" t="s">
        <v>544</v>
      </c>
      <c r="G155" s="222" t="s">
        <v>58</v>
      </c>
      <c r="H155" s="222" t="s">
        <v>376</v>
      </c>
      <c r="I155" s="224" t="s">
        <v>499</v>
      </c>
      <c r="J155" s="225" t="s">
        <v>526</v>
      </c>
      <c r="K155" s="225" t="s">
        <v>872</v>
      </c>
      <c r="L155" s="268">
        <v>72500</v>
      </c>
      <c r="M155" s="225" t="s">
        <v>526</v>
      </c>
    </row>
    <row r="156" spans="1:13" x14ac:dyDescent="0.2">
      <c r="A156" s="222">
        <v>25764</v>
      </c>
      <c r="B156" s="222" t="s">
        <v>885</v>
      </c>
      <c r="C156" s="222" t="s">
        <v>772</v>
      </c>
      <c r="D156" s="268">
        <f t="shared" si="2"/>
        <v>38770.053475935827</v>
      </c>
      <c r="E156" s="269">
        <v>1</v>
      </c>
      <c r="F156" s="254" t="s">
        <v>544</v>
      </c>
      <c r="G156" s="222" t="s">
        <v>58</v>
      </c>
      <c r="H156" s="222" t="s">
        <v>376</v>
      </c>
      <c r="I156" s="224" t="s">
        <v>499</v>
      </c>
      <c r="J156" s="225" t="s">
        <v>526</v>
      </c>
      <c r="K156" s="225" t="s">
        <v>872</v>
      </c>
      <c r="L156" s="268">
        <v>72500</v>
      </c>
      <c r="M156" s="225" t="s">
        <v>526</v>
      </c>
    </row>
    <row r="157" spans="1:13" x14ac:dyDescent="0.2">
      <c r="A157" s="222">
        <v>26902</v>
      </c>
      <c r="B157" s="222" t="s">
        <v>690</v>
      </c>
      <c r="C157" s="222" t="s">
        <v>710</v>
      </c>
      <c r="D157" s="268">
        <f t="shared" si="2"/>
        <v>39518.716577540108</v>
      </c>
      <c r="E157" s="269">
        <v>1</v>
      </c>
      <c r="F157" s="254" t="s">
        <v>543</v>
      </c>
      <c r="G157" s="222" t="s">
        <v>524</v>
      </c>
      <c r="H157" s="222" t="s">
        <v>376</v>
      </c>
      <c r="I157" s="224" t="s">
        <v>499</v>
      </c>
      <c r="J157" s="225" t="s">
        <v>526</v>
      </c>
      <c r="K157" s="225" t="s">
        <v>872</v>
      </c>
      <c r="L157" s="268">
        <v>73900</v>
      </c>
      <c r="M157" s="225" t="s">
        <v>526</v>
      </c>
    </row>
    <row r="158" spans="1:13" x14ac:dyDescent="0.2">
      <c r="A158" s="222">
        <v>26903</v>
      </c>
      <c r="B158" s="222" t="s">
        <v>690</v>
      </c>
      <c r="C158" s="222" t="s">
        <v>711</v>
      </c>
      <c r="D158" s="268">
        <f t="shared" si="2"/>
        <v>39518.716577540108</v>
      </c>
      <c r="E158" s="269">
        <v>1</v>
      </c>
      <c r="F158" s="254" t="s">
        <v>543</v>
      </c>
      <c r="G158" s="222" t="s">
        <v>524</v>
      </c>
      <c r="H158" s="222" t="s">
        <v>374</v>
      </c>
      <c r="I158" s="224" t="s">
        <v>500</v>
      </c>
      <c r="J158" s="225" t="s">
        <v>526</v>
      </c>
      <c r="K158" s="225" t="s">
        <v>872</v>
      </c>
      <c r="L158" s="268">
        <v>73900</v>
      </c>
      <c r="M158" s="225" t="s">
        <v>526</v>
      </c>
    </row>
    <row r="159" spans="1:13" x14ac:dyDescent="0.2">
      <c r="A159" s="222">
        <v>25640</v>
      </c>
      <c r="B159" s="222" t="s">
        <v>777</v>
      </c>
      <c r="C159" s="222" t="s">
        <v>42</v>
      </c>
      <c r="D159" s="268">
        <f t="shared" si="2"/>
        <v>38770.053475935827</v>
      </c>
      <c r="E159" s="269">
        <v>1</v>
      </c>
      <c r="F159" s="254" t="s">
        <v>543</v>
      </c>
      <c r="G159" s="222" t="s">
        <v>524</v>
      </c>
      <c r="H159" s="222" t="s">
        <v>376</v>
      </c>
      <c r="I159" s="224" t="s">
        <v>499</v>
      </c>
      <c r="J159" s="225" t="s">
        <v>526</v>
      </c>
      <c r="K159" s="225" t="s">
        <v>872</v>
      </c>
      <c r="L159" s="268">
        <v>72500</v>
      </c>
      <c r="M159" s="225" t="s">
        <v>526</v>
      </c>
    </row>
    <row r="160" spans="1:13" x14ac:dyDescent="0.2">
      <c r="A160" s="222">
        <v>25641</v>
      </c>
      <c r="B160" s="222" t="s">
        <v>777</v>
      </c>
      <c r="C160" s="222" t="s">
        <v>778</v>
      </c>
      <c r="D160" s="268">
        <f t="shared" si="2"/>
        <v>38770.053475935827</v>
      </c>
      <c r="E160" s="269">
        <v>1</v>
      </c>
      <c r="F160" s="254" t="s">
        <v>543</v>
      </c>
      <c r="G160" s="222" t="s">
        <v>524</v>
      </c>
      <c r="H160" s="222" t="s">
        <v>376</v>
      </c>
      <c r="I160" s="224" t="s">
        <v>499</v>
      </c>
      <c r="J160" s="225" t="s">
        <v>526</v>
      </c>
      <c r="K160" s="225" t="s">
        <v>872</v>
      </c>
      <c r="L160" s="268">
        <v>72500</v>
      </c>
      <c r="M160" s="225" t="s">
        <v>526</v>
      </c>
    </row>
    <row r="161" spans="1:13" x14ac:dyDescent="0.2">
      <c r="A161" s="222">
        <v>26900</v>
      </c>
      <c r="B161" s="222" t="s">
        <v>788</v>
      </c>
      <c r="C161" s="222" t="s">
        <v>42</v>
      </c>
      <c r="D161" s="268">
        <f t="shared" si="2"/>
        <v>33101.604278074861</v>
      </c>
      <c r="E161" s="269">
        <v>1</v>
      </c>
      <c r="F161" s="254" t="s">
        <v>543</v>
      </c>
      <c r="G161" s="222" t="s">
        <v>524</v>
      </c>
      <c r="H161" s="222" t="s">
        <v>375</v>
      </c>
      <c r="I161" s="224" t="s">
        <v>499</v>
      </c>
      <c r="J161" s="225" t="s">
        <v>526</v>
      </c>
      <c r="K161" s="225" t="s">
        <v>872</v>
      </c>
      <c r="L161" s="268">
        <v>61900</v>
      </c>
      <c r="M161" s="225" t="s">
        <v>526</v>
      </c>
    </row>
    <row r="162" spans="1:13" x14ac:dyDescent="0.2">
      <c r="A162" s="222">
        <v>27366</v>
      </c>
      <c r="B162" s="222" t="s">
        <v>788</v>
      </c>
      <c r="C162" s="222" t="s">
        <v>886</v>
      </c>
      <c r="D162" s="268">
        <f t="shared" si="2"/>
        <v>33101.604278074861</v>
      </c>
      <c r="E162" s="269">
        <v>1</v>
      </c>
      <c r="F162" s="254" t="s">
        <v>545</v>
      </c>
      <c r="G162" s="222" t="s">
        <v>57</v>
      </c>
      <c r="H162" s="222" t="s">
        <v>375</v>
      </c>
      <c r="I162" s="224" t="s">
        <v>499</v>
      </c>
      <c r="J162" s="225" t="s">
        <v>526</v>
      </c>
      <c r="K162" s="225" t="s">
        <v>872</v>
      </c>
      <c r="L162" s="268">
        <v>61900</v>
      </c>
      <c r="M162" s="225" t="s">
        <v>526</v>
      </c>
    </row>
    <row r="163" spans="1:13" x14ac:dyDescent="0.2">
      <c r="A163" s="222">
        <v>27367</v>
      </c>
      <c r="B163" s="222" t="s">
        <v>788</v>
      </c>
      <c r="C163" s="222" t="s">
        <v>887</v>
      </c>
      <c r="D163" s="268">
        <f t="shared" si="2"/>
        <v>33101.604278074861</v>
      </c>
      <c r="E163" s="269">
        <v>1</v>
      </c>
      <c r="F163" s="254" t="s">
        <v>545</v>
      </c>
      <c r="G163" s="222" t="s">
        <v>57</v>
      </c>
      <c r="H163" s="222" t="s">
        <v>374</v>
      </c>
      <c r="I163" s="224" t="s">
        <v>500</v>
      </c>
      <c r="J163" s="225" t="s">
        <v>526</v>
      </c>
      <c r="K163" s="225" t="s">
        <v>872</v>
      </c>
      <c r="L163" s="268">
        <v>61900</v>
      </c>
      <c r="M163" s="225" t="s">
        <v>526</v>
      </c>
    </row>
    <row r="164" spans="1:13" x14ac:dyDescent="0.2">
      <c r="A164" s="222">
        <v>26901</v>
      </c>
      <c r="B164" s="222" t="s">
        <v>788</v>
      </c>
      <c r="C164" s="222" t="s">
        <v>789</v>
      </c>
      <c r="D164" s="268">
        <f t="shared" si="2"/>
        <v>33101.604278074861</v>
      </c>
      <c r="E164" s="269">
        <v>1</v>
      </c>
      <c r="F164" s="254" t="s">
        <v>543</v>
      </c>
      <c r="G164" s="222" t="s">
        <v>524</v>
      </c>
      <c r="H164" s="222" t="s">
        <v>375</v>
      </c>
      <c r="I164" s="224" t="s">
        <v>499</v>
      </c>
      <c r="J164" s="225" t="s">
        <v>526</v>
      </c>
      <c r="K164" s="225" t="s">
        <v>872</v>
      </c>
      <c r="L164" s="268">
        <v>61900</v>
      </c>
      <c r="M164" s="225" t="s">
        <v>526</v>
      </c>
    </row>
    <row r="165" spans="1:13" x14ac:dyDescent="0.2">
      <c r="A165" s="222">
        <v>52363</v>
      </c>
      <c r="B165" s="222" t="s">
        <v>686</v>
      </c>
      <c r="C165" s="222" t="s">
        <v>706</v>
      </c>
      <c r="D165" s="268">
        <f t="shared" si="2"/>
        <v>48074.866310160425</v>
      </c>
      <c r="E165" s="269">
        <v>1</v>
      </c>
      <c r="F165" s="254" t="s">
        <v>543</v>
      </c>
      <c r="G165" s="222" t="s">
        <v>524</v>
      </c>
      <c r="H165" s="222" t="s">
        <v>376</v>
      </c>
      <c r="I165" s="224" t="s">
        <v>499</v>
      </c>
      <c r="J165" s="225" t="s">
        <v>526</v>
      </c>
      <c r="K165" s="225" t="s">
        <v>888</v>
      </c>
      <c r="L165" s="268">
        <v>89900</v>
      </c>
      <c r="M165" s="225" t="s">
        <v>526</v>
      </c>
    </row>
    <row r="166" spans="1:13" x14ac:dyDescent="0.2">
      <c r="A166" s="222">
        <v>50610</v>
      </c>
      <c r="B166" s="222" t="s">
        <v>686</v>
      </c>
      <c r="C166" s="222" t="s">
        <v>738</v>
      </c>
      <c r="D166" s="268">
        <f t="shared" si="2"/>
        <v>48074.866310160425</v>
      </c>
      <c r="E166" s="269">
        <v>1</v>
      </c>
      <c r="F166" s="254" t="s">
        <v>543</v>
      </c>
      <c r="G166" s="222" t="s">
        <v>524</v>
      </c>
      <c r="H166" s="222" t="s">
        <v>376</v>
      </c>
      <c r="I166" s="224" t="s">
        <v>499</v>
      </c>
      <c r="J166" s="225" t="s">
        <v>526</v>
      </c>
      <c r="K166" s="225" t="s">
        <v>888</v>
      </c>
      <c r="L166" s="268">
        <v>89900</v>
      </c>
      <c r="M166" s="225" t="s">
        <v>526</v>
      </c>
    </row>
    <row r="167" spans="1:13" x14ac:dyDescent="0.2">
      <c r="A167" s="222">
        <v>52364</v>
      </c>
      <c r="B167" s="222" t="s">
        <v>686</v>
      </c>
      <c r="C167" s="222" t="s">
        <v>42</v>
      </c>
      <c r="D167" s="268">
        <f t="shared" si="2"/>
        <v>48074.866310160425</v>
      </c>
      <c r="E167" s="269">
        <v>1</v>
      </c>
      <c r="F167" s="254" t="s">
        <v>543</v>
      </c>
      <c r="G167" s="222" t="s">
        <v>524</v>
      </c>
      <c r="H167" s="222" t="s">
        <v>376</v>
      </c>
      <c r="I167" s="224" t="s">
        <v>499</v>
      </c>
      <c r="J167" s="225" t="s">
        <v>526</v>
      </c>
      <c r="K167" s="225" t="s">
        <v>888</v>
      </c>
      <c r="L167" s="268">
        <v>89900</v>
      </c>
      <c r="M167" s="225" t="s">
        <v>526</v>
      </c>
    </row>
    <row r="168" spans="1:13" x14ac:dyDescent="0.2">
      <c r="A168" s="222">
        <v>25771</v>
      </c>
      <c r="B168" s="222" t="s">
        <v>595</v>
      </c>
      <c r="C168" s="222" t="s">
        <v>498</v>
      </c>
      <c r="D168" s="268">
        <f t="shared" si="2"/>
        <v>38449.197860962566</v>
      </c>
      <c r="E168" s="269">
        <v>1</v>
      </c>
      <c r="F168" s="254" t="s">
        <v>543</v>
      </c>
      <c r="G168" s="222" t="s">
        <v>524</v>
      </c>
      <c r="H168" s="222" t="s">
        <v>376</v>
      </c>
      <c r="I168" s="224" t="s">
        <v>499</v>
      </c>
      <c r="J168" s="225" t="s">
        <v>526</v>
      </c>
      <c r="K168" s="225" t="s">
        <v>718</v>
      </c>
      <c r="L168" s="268">
        <v>71900</v>
      </c>
      <c r="M168" s="225" t="s">
        <v>526</v>
      </c>
    </row>
    <row r="169" spans="1:13" x14ac:dyDescent="0.2">
      <c r="A169" s="222">
        <v>83301</v>
      </c>
      <c r="B169" s="222" t="s">
        <v>48</v>
      </c>
      <c r="C169" s="222" t="s">
        <v>42</v>
      </c>
      <c r="D169" s="268">
        <f t="shared" si="2"/>
        <v>32032.085561497326</v>
      </c>
      <c r="E169" s="269">
        <v>1</v>
      </c>
      <c r="F169" s="254" t="s">
        <v>543</v>
      </c>
      <c r="G169" s="222" t="s">
        <v>524</v>
      </c>
      <c r="H169" s="222" t="s">
        <v>375</v>
      </c>
      <c r="I169" s="224" t="s">
        <v>499</v>
      </c>
      <c r="J169" s="225" t="s">
        <v>526</v>
      </c>
      <c r="K169" s="225" t="s">
        <v>536</v>
      </c>
      <c r="L169" s="268">
        <v>59900</v>
      </c>
      <c r="M169" s="225" t="s">
        <v>526</v>
      </c>
    </row>
    <row r="170" spans="1:13" x14ac:dyDescent="0.2">
      <c r="A170" s="222">
        <v>83302</v>
      </c>
      <c r="B170" s="222" t="s">
        <v>48</v>
      </c>
      <c r="C170" s="222" t="s">
        <v>44</v>
      </c>
      <c r="D170" s="268">
        <f t="shared" si="2"/>
        <v>32032.085561497326</v>
      </c>
      <c r="E170" s="269">
        <v>1</v>
      </c>
      <c r="F170" s="254" t="s">
        <v>543</v>
      </c>
      <c r="G170" s="222" t="s">
        <v>524</v>
      </c>
      <c r="H170" s="222" t="s">
        <v>375</v>
      </c>
      <c r="I170" s="224" t="s">
        <v>499</v>
      </c>
      <c r="J170" s="225" t="s">
        <v>526</v>
      </c>
      <c r="K170" s="225" t="s">
        <v>536</v>
      </c>
      <c r="L170" s="268">
        <v>59900</v>
      </c>
      <c r="M170" s="225" t="s">
        <v>526</v>
      </c>
    </row>
    <row r="171" spans="1:13" x14ac:dyDescent="0.2">
      <c r="A171" s="222">
        <v>83304</v>
      </c>
      <c r="B171" s="222" t="s">
        <v>48</v>
      </c>
      <c r="C171" s="222" t="s">
        <v>592</v>
      </c>
      <c r="D171" s="268">
        <f t="shared" si="2"/>
        <v>32032.085561497326</v>
      </c>
      <c r="E171" s="269">
        <v>1</v>
      </c>
      <c r="F171" s="254" t="s">
        <v>543</v>
      </c>
      <c r="G171" s="222" t="s">
        <v>524</v>
      </c>
      <c r="H171" s="222" t="s">
        <v>375</v>
      </c>
      <c r="I171" s="224" t="s">
        <v>499</v>
      </c>
      <c r="J171" s="225" t="s">
        <v>526</v>
      </c>
      <c r="K171" s="225" t="s">
        <v>536</v>
      </c>
      <c r="L171" s="268">
        <v>59900</v>
      </c>
      <c r="M171" s="225" t="s">
        <v>526</v>
      </c>
    </row>
    <row r="172" spans="1:13" x14ac:dyDescent="0.2">
      <c r="A172" s="222">
        <v>89607</v>
      </c>
      <c r="B172" s="222" t="s">
        <v>49</v>
      </c>
      <c r="C172" s="222" t="s">
        <v>42</v>
      </c>
      <c r="D172" s="268">
        <f t="shared" si="2"/>
        <v>30962.566844919784</v>
      </c>
      <c r="E172" s="269">
        <v>1</v>
      </c>
      <c r="F172" s="254" t="s">
        <v>543</v>
      </c>
      <c r="G172" s="222" t="s">
        <v>524</v>
      </c>
      <c r="H172" s="222" t="s">
        <v>375</v>
      </c>
      <c r="I172" s="224" t="s">
        <v>499</v>
      </c>
      <c r="J172" s="225" t="s">
        <v>526</v>
      </c>
      <c r="K172" s="225" t="s">
        <v>536</v>
      </c>
      <c r="L172" s="268">
        <v>57900</v>
      </c>
      <c r="M172" s="225" t="s">
        <v>526</v>
      </c>
    </row>
    <row r="173" spans="1:13" x14ac:dyDescent="0.2">
      <c r="A173" s="222">
        <v>89599</v>
      </c>
      <c r="B173" s="222" t="s">
        <v>49</v>
      </c>
      <c r="C173" s="222" t="s">
        <v>44</v>
      </c>
      <c r="D173" s="268">
        <f t="shared" si="2"/>
        <v>30962.566844919784</v>
      </c>
      <c r="E173" s="269">
        <v>1</v>
      </c>
      <c r="F173" s="254" t="s">
        <v>543</v>
      </c>
      <c r="G173" s="222" t="s">
        <v>524</v>
      </c>
      <c r="H173" s="222" t="s">
        <v>375</v>
      </c>
      <c r="I173" s="224" t="s">
        <v>499</v>
      </c>
      <c r="J173" s="225" t="s">
        <v>526</v>
      </c>
      <c r="K173" s="225" t="s">
        <v>536</v>
      </c>
      <c r="L173" s="268">
        <v>57900</v>
      </c>
      <c r="M173" s="225" t="s">
        <v>526</v>
      </c>
    </row>
    <row r="174" spans="1:13" x14ac:dyDescent="0.2">
      <c r="A174" s="222">
        <v>89600</v>
      </c>
      <c r="B174" s="222" t="s">
        <v>49</v>
      </c>
      <c r="C174" s="222" t="s">
        <v>43</v>
      </c>
      <c r="D174" s="268">
        <f t="shared" si="2"/>
        <v>30962.566844919784</v>
      </c>
      <c r="E174" s="269">
        <v>1</v>
      </c>
      <c r="F174" s="254" t="s">
        <v>543</v>
      </c>
      <c r="G174" s="222" t="s">
        <v>524</v>
      </c>
      <c r="H174" s="222" t="s">
        <v>375</v>
      </c>
      <c r="I174" s="224" t="s">
        <v>499</v>
      </c>
      <c r="J174" s="225" t="s">
        <v>526</v>
      </c>
      <c r="K174" s="225" t="s">
        <v>536</v>
      </c>
      <c r="L174" s="268">
        <v>57900</v>
      </c>
      <c r="M174" s="225" t="s">
        <v>526</v>
      </c>
    </row>
    <row r="175" spans="1:13" x14ac:dyDescent="0.2">
      <c r="A175" s="222">
        <v>89578</v>
      </c>
      <c r="B175" s="222" t="s">
        <v>692</v>
      </c>
      <c r="C175" s="222" t="s">
        <v>713</v>
      </c>
      <c r="D175" s="268">
        <f t="shared" si="2"/>
        <v>33101.604278074861</v>
      </c>
      <c r="E175" s="269">
        <v>1</v>
      </c>
      <c r="F175" s="254" t="s">
        <v>543</v>
      </c>
      <c r="G175" s="222" t="s">
        <v>524</v>
      </c>
      <c r="H175" s="222" t="s">
        <v>579</v>
      </c>
      <c r="I175" s="224" t="s">
        <v>502</v>
      </c>
      <c r="J175" s="225" t="s">
        <v>533</v>
      </c>
      <c r="K175" s="225" t="s">
        <v>534</v>
      </c>
      <c r="L175" s="268">
        <v>61900</v>
      </c>
      <c r="M175" s="225" t="s">
        <v>502</v>
      </c>
    </row>
    <row r="176" spans="1:13" x14ac:dyDescent="0.2">
      <c r="A176" s="222">
        <v>52406</v>
      </c>
      <c r="B176" s="222" t="s">
        <v>692</v>
      </c>
      <c r="C176" s="222" t="s">
        <v>790</v>
      </c>
      <c r="D176" s="268">
        <f t="shared" si="2"/>
        <v>33101.604278074861</v>
      </c>
      <c r="E176" s="269">
        <v>1</v>
      </c>
      <c r="F176" s="254" t="s">
        <v>545</v>
      </c>
      <c r="G176" s="222" t="s">
        <v>524</v>
      </c>
      <c r="H176" s="222" t="s">
        <v>579</v>
      </c>
      <c r="I176" s="224" t="s">
        <v>502</v>
      </c>
      <c r="J176" s="225" t="s">
        <v>533</v>
      </c>
      <c r="K176" s="225" t="s">
        <v>534</v>
      </c>
      <c r="L176" s="268">
        <v>61900</v>
      </c>
      <c r="M176" s="225" t="s">
        <v>502</v>
      </c>
    </row>
    <row r="177" spans="1:13" x14ac:dyDescent="0.2">
      <c r="A177" s="222">
        <v>52513</v>
      </c>
      <c r="B177" s="222" t="s">
        <v>692</v>
      </c>
      <c r="C177" s="222" t="s">
        <v>791</v>
      </c>
      <c r="D177" s="268">
        <f t="shared" si="2"/>
        <v>33101.604278074861</v>
      </c>
      <c r="E177" s="269">
        <v>1</v>
      </c>
      <c r="F177" s="254" t="s">
        <v>545</v>
      </c>
      <c r="G177" s="222" t="s">
        <v>57</v>
      </c>
      <c r="H177" s="222" t="s">
        <v>579</v>
      </c>
      <c r="I177" s="224" t="s">
        <v>502</v>
      </c>
      <c r="J177" s="225" t="s">
        <v>533</v>
      </c>
      <c r="K177" s="225" t="s">
        <v>534</v>
      </c>
      <c r="L177" s="268">
        <v>61900</v>
      </c>
      <c r="M177" s="225" t="s">
        <v>502</v>
      </c>
    </row>
    <row r="178" spans="1:13" x14ac:dyDescent="0.2">
      <c r="A178" s="222">
        <v>52514</v>
      </c>
      <c r="B178" s="222" t="s">
        <v>636</v>
      </c>
      <c r="C178" s="222" t="s">
        <v>792</v>
      </c>
      <c r="D178" s="268">
        <f t="shared" si="2"/>
        <v>32032.085561497326</v>
      </c>
      <c r="E178" s="269">
        <v>1</v>
      </c>
      <c r="F178" s="254" t="s">
        <v>545</v>
      </c>
      <c r="G178" s="222" t="s">
        <v>57</v>
      </c>
      <c r="H178" s="222" t="s">
        <v>579</v>
      </c>
      <c r="I178" s="224" t="s">
        <v>502</v>
      </c>
      <c r="J178" s="225" t="s">
        <v>533</v>
      </c>
      <c r="K178" s="225" t="s">
        <v>534</v>
      </c>
      <c r="L178" s="268">
        <v>59900</v>
      </c>
      <c r="M178" s="225" t="s">
        <v>502</v>
      </c>
    </row>
    <row r="179" spans="1:13" x14ac:dyDescent="0.2">
      <c r="A179" s="222">
        <v>52515</v>
      </c>
      <c r="B179" s="222" t="s">
        <v>636</v>
      </c>
      <c r="C179" s="222" t="s">
        <v>793</v>
      </c>
      <c r="D179" s="268">
        <f t="shared" si="2"/>
        <v>32032.085561497326</v>
      </c>
      <c r="E179" s="269">
        <v>1</v>
      </c>
      <c r="F179" s="254" t="s">
        <v>545</v>
      </c>
      <c r="G179" s="222" t="s">
        <v>57</v>
      </c>
      <c r="H179" s="222" t="s">
        <v>579</v>
      </c>
      <c r="I179" s="224" t="s">
        <v>502</v>
      </c>
      <c r="J179" s="225" t="s">
        <v>533</v>
      </c>
      <c r="K179" s="225" t="s">
        <v>534</v>
      </c>
      <c r="L179" s="268">
        <v>59900</v>
      </c>
      <c r="M179" s="225" t="s">
        <v>502</v>
      </c>
    </row>
    <row r="180" spans="1:13" x14ac:dyDescent="0.2">
      <c r="A180" s="222">
        <v>89112</v>
      </c>
      <c r="B180" s="222" t="s">
        <v>636</v>
      </c>
      <c r="C180" s="222" t="s">
        <v>637</v>
      </c>
      <c r="D180" s="268">
        <f t="shared" si="2"/>
        <v>32032.085561497326</v>
      </c>
      <c r="E180" s="269">
        <v>1</v>
      </c>
      <c r="F180" s="254" t="s">
        <v>543</v>
      </c>
      <c r="G180" s="222" t="s">
        <v>524</v>
      </c>
      <c r="H180" s="222" t="s">
        <v>579</v>
      </c>
      <c r="I180" s="224" t="s">
        <v>502</v>
      </c>
      <c r="J180" s="225" t="s">
        <v>533</v>
      </c>
      <c r="K180" s="225" t="s">
        <v>534</v>
      </c>
      <c r="L180" s="268">
        <v>59900</v>
      </c>
      <c r="M180" s="225" t="s">
        <v>502</v>
      </c>
    </row>
    <row r="181" spans="1:13" x14ac:dyDescent="0.2">
      <c r="A181" s="222">
        <v>52407</v>
      </c>
      <c r="B181" s="222" t="s">
        <v>794</v>
      </c>
      <c r="C181" s="222" t="s">
        <v>498</v>
      </c>
      <c r="D181" s="268">
        <f t="shared" si="2"/>
        <v>30962.566844919784</v>
      </c>
      <c r="E181" s="269">
        <v>1</v>
      </c>
      <c r="F181" s="254" t="s">
        <v>544</v>
      </c>
      <c r="G181" s="222" t="s">
        <v>524</v>
      </c>
      <c r="H181" s="222" t="s">
        <v>579</v>
      </c>
      <c r="I181" s="224" t="s">
        <v>502</v>
      </c>
      <c r="J181" s="225" t="s">
        <v>533</v>
      </c>
      <c r="K181" s="225" t="s">
        <v>534</v>
      </c>
      <c r="L181" s="268">
        <v>57900</v>
      </c>
      <c r="M181" s="225" t="s">
        <v>502</v>
      </c>
    </row>
    <row r="182" spans="1:13" x14ac:dyDescent="0.2">
      <c r="A182" s="222">
        <v>52408</v>
      </c>
      <c r="B182" s="222" t="s">
        <v>794</v>
      </c>
      <c r="C182" s="222" t="s">
        <v>795</v>
      </c>
      <c r="D182" s="268">
        <f t="shared" si="2"/>
        <v>30962.566844919784</v>
      </c>
      <c r="E182" s="269">
        <v>1</v>
      </c>
      <c r="F182" s="254" t="s">
        <v>544</v>
      </c>
      <c r="G182" s="222" t="s">
        <v>524</v>
      </c>
      <c r="H182" s="222" t="s">
        <v>579</v>
      </c>
      <c r="I182" s="224" t="s">
        <v>502</v>
      </c>
      <c r="J182" s="225" t="s">
        <v>533</v>
      </c>
      <c r="K182" s="225" t="s">
        <v>534</v>
      </c>
      <c r="L182" s="268">
        <v>57900</v>
      </c>
      <c r="M182" s="225" t="s">
        <v>502</v>
      </c>
    </row>
    <row r="183" spans="1:13" x14ac:dyDescent="0.2">
      <c r="A183" s="222">
        <v>52409</v>
      </c>
      <c r="B183" s="222" t="s">
        <v>794</v>
      </c>
      <c r="C183" s="222" t="s">
        <v>796</v>
      </c>
      <c r="D183" s="268">
        <f t="shared" si="2"/>
        <v>30962.566844919784</v>
      </c>
      <c r="E183" s="269">
        <v>1</v>
      </c>
      <c r="F183" s="254" t="s">
        <v>544</v>
      </c>
      <c r="G183" s="222" t="s">
        <v>524</v>
      </c>
      <c r="H183" s="222" t="s">
        <v>579</v>
      </c>
      <c r="I183" s="224" t="s">
        <v>502</v>
      </c>
      <c r="J183" s="225" t="s">
        <v>533</v>
      </c>
      <c r="K183" s="225" t="s">
        <v>534</v>
      </c>
      <c r="L183" s="268">
        <v>57900</v>
      </c>
      <c r="M183" s="225" t="s">
        <v>502</v>
      </c>
    </row>
    <row r="184" spans="1:13" x14ac:dyDescent="0.2">
      <c r="A184" s="222">
        <v>50750</v>
      </c>
      <c r="B184" s="222" t="s">
        <v>889</v>
      </c>
      <c r="C184" s="222" t="s">
        <v>498</v>
      </c>
      <c r="D184" s="268">
        <f t="shared" si="2"/>
        <v>29358.288770053474</v>
      </c>
      <c r="E184" s="269">
        <v>1</v>
      </c>
      <c r="F184" s="254" t="s">
        <v>543</v>
      </c>
      <c r="G184" s="222" t="s">
        <v>58</v>
      </c>
      <c r="H184" s="222" t="s">
        <v>890</v>
      </c>
      <c r="I184" s="224" t="s">
        <v>502</v>
      </c>
      <c r="J184" s="225" t="s">
        <v>533</v>
      </c>
      <c r="K184" s="225" t="s">
        <v>534</v>
      </c>
      <c r="L184" s="268">
        <v>54900</v>
      </c>
      <c r="M184" s="225" t="s">
        <v>502</v>
      </c>
    </row>
    <row r="185" spans="1:13" x14ac:dyDescent="0.2">
      <c r="A185" s="222">
        <v>50751</v>
      </c>
      <c r="B185" s="222" t="s">
        <v>889</v>
      </c>
      <c r="C185" s="222" t="s">
        <v>891</v>
      </c>
      <c r="D185" s="268">
        <f t="shared" si="2"/>
        <v>29358.288770053474</v>
      </c>
      <c r="E185" s="269">
        <v>1</v>
      </c>
      <c r="F185" s="254" t="s">
        <v>543</v>
      </c>
      <c r="G185" s="222" t="s">
        <v>58</v>
      </c>
      <c r="H185" s="222" t="s">
        <v>890</v>
      </c>
      <c r="I185" s="224" t="s">
        <v>502</v>
      </c>
      <c r="J185" s="225" t="s">
        <v>533</v>
      </c>
      <c r="K185" s="225" t="s">
        <v>534</v>
      </c>
      <c r="L185" s="268">
        <v>54900</v>
      </c>
      <c r="M185" s="225" t="s">
        <v>502</v>
      </c>
    </row>
    <row r="186" spans="1:13" x14ac:dyDescent="0.2">
      <c r="A186" s="222">
        <v>50752</v>
      </c>
      <c r="B186" s="222" t="s">
        <v>889</v>
      </c>
      <c r="C186" s="222" t="s">
        <v>892</v>
      </c>
      <c r="D186" s="268">
        <f t="shared" si="2"/>
        <v>29358.288770053474</v>
      </c>
      <c r="E186" s="269">
        <v>1</v>
      </c>
      <c r="F186" s="254" t="s">
        <v>543</v>
      </c>
      <c r="G186" s="222" t="s">
        <v>58</v>
      </c>
      <c r="H186" s="222" t="s">
        <v>890</v>
      </c>
      <c r="I186" s="224" t="s">
        <v>502</v>
      </c>
      <c r="J186" s="225" t="s">
        <v>533</v>
      </c>
      <c r="K186" s="225" t="s">
        <v>534</v>
      </c>
      <c r="L186" s="268">
        <v>54900</v>
      </c>
      <c r="M186" s="225" t="s">
        <v>502</v>
      </c>
    </row>
    <row r="187" spans="1:13" x14ac:dyDescent="0.2">
      <c r="A187" s="222">
        <v>50753</v>
      </c>
      <c r="B187" s="222" t="s">
        <v>889</v>
      </c>
      <c r="C187" s="222" t="s">
        <v>893</v>
      </c>
      <c r="D187" s="268">
        <f t="shared" si="2"/>
        <v>29358.288770053474</v>
      </c>
      <c r="E187" s="269">
        <v>1</v>
      </c>
      <c r="F187" s="254" t="s">
        <v>546</v>
      </c>
      <c r="G187" s="222" t="s">
        <v>58</v>
      </c>
      <c r="H187" s="222" t="s">
        <v>890</v>
      </c>
      <c r="I187" s="224" t="s">
        <v>502</v>
      </c>
      <c r="J187" s="225" t="s">
        <v>533</v>
      </c>
      <c r="K187" s="225" t="s">
        <v>534</v>
      </c>
      <c r="L187" s="268">
        <v>54900</v>
      </c>
      <c r="M187" s="225" t="s">
        <v>502</v>
      </c>
    </row>
    <row r="188" spans="1:13" x14ac:dyDescent="0.2">
      <c r="A188" s="222">
        <v>26320</v>
      </c>
      <c r="B188" s="222" t="s">
        <v>590</v>
      </c>
      <c r="C188" s="222" t="s">
        <v>42</v>
      </c>
      <c r="D188" s="268">
        <f t="shared" si="2"/>
        <v>28288.770053475935</v>
      </c>
      <c r="E188" s="269">
        <v>1</v>
      </c>
      <c r="F188" s="254" t="s">
        <v>543</v>
      </c>
      <c r="G188" s="222" t="s">
        <v>524</v>
      </c>
      <c r="H188" s="222" t="s">
        <v>579</v>
      </c>
      <c r="I188" s="224" t="s">
        <v>502</v>
      </c>
      <c r="J188" s="225" t="s">
        <v>533</v>
      </c>
      <c r="K188" s="225" t="s">
        <v>534</v>
      </c>
      <c r="L188" s="268">
        <v>52900</v>
      </c>
      <c r="M188" s="225" t="s">
        <v>502</v>
      </c>
    </row>
    <row r="189" spans="1:13" x14ac:dyDescent="0.2">
      <c r="A189" s="222">
        <v>26325</v>
      </c>
      <c r="B189" s="222" t="s">
        <v>590</v>
      </c>
      <c r="C189" s="222" t="s">
        <v>497</v>
      </c>
      <c r="D189" s="268">
        <f t="shared" si="2"/>
        <v>28288.770053475935</v>
      </c>
      <c r="E189" s="269">
        <v>1</v>
      </c>
      <c r="F189" s="254" t="s">
        <v>543</v>
      </c>
      <c r="G189" s="222" t="s">
        <v>524</v>
      </c>
      <c r="H189" s="222" t="s">
        <v>579</v>
      </c>
      <c r="I189" s="224" t="s">
        <v>502</v>
      </c>
      <c r="J189" s="225" t="s">
        <v>533</v>
      </c>
      <c r="K189" s="225" t="s">
        <v>534</v>
      </c>
      <c r="L189" s="268">
        <v>52900</v>
      </c>
      <c r="M189" s="225" t="s">
        <v>502</v>
      </c>
    </row>
    <row r="190" spans="1:13" x14ac:dyDescent="0.2">
      <c r="A190" s="222">
        <v>26324</v>
      </c>
      <c r="B190" s="222" t="s">
        <v>590</v>
      </c>
      <c r="C190" s="222" t="s">
        <v>606</v>
      </c>
      <c r="D190" s="268">
        <f t="shared" si="2"/>
        <v>28288.770053475935</v>
      </c>
      <c r="E190" s="269">
        <v>1</v>
      </c>
      <c r="F190" s="254" t="s">
        <v>543</v>
      </c>
      <c r="G190" s="222" t="s">
        <v>524</v>
      </c>
      <c r="H190" s="222" t="s">
        <v>579</v>
      </c>
      <c r="I190" s="224" t="s">
        <v>502</v>
      </c>
      <c r="J190" s="225" t="s">
        <v>533</v>
      </c>
      <c r="K190" s="225" t="s">
        <v>534</v>
      </c>
      <c r="L190" s="268">
        <v>52900</v>
      </c>
      <c r="M190" s="225" t="s">
        <v>502</v>
      </c>
    </row>
    <row r="191" spans="1:13" x14ac:dyDescent="0.2">
      <c r="A191" s="222">
        <v>85465</v>
      </c>
      <c r="B191" s="222" t="s">
        <v>601</v>
      </c>
      <c r="C191" s="222" t="s">
        <v>42</v>
      </c>
      <c r="D191" s="268">
        <f t="shared" si="2"/>
        <v>27754.010695187164</v>
      </c>
      <c r="E191" s="269">
        <v>1</v>
      </c>
      <c r="F191" s="254" t="s">
        <v>544</v>
      </c>
      <c r="G191" s="222" t="s">
        <v>524</v>
      </c>
      <c r="H191" s="222" t="s">
        <v>581</v>
      </c>
      <c r="I191" s="224" t="s">
        <v>525</v>
      </c>
      <c r="J191" s="225" t="s">
        <v>533</v>
      </c>
      <c r="K191" s="225" t="s">
        <v>534</v>
      </c>
      <c r="L191" s="268">
        <v>51900</v>
      </c>
      <c r="M191" s="225" t="s">
        <v>502</v>
      </c>
    </row>
    <row r="192" spans="1:13" x14ac:dyDescent="0.2">
      <c r="A192" s="222">
        <v>85466</v>
      </c>
      <c r="B192" s="222" t="s">
        <v>601</v>
      </c>
      <c r="C192" s="222" t="s">
        <v>894</v>
      </c>
      <c r="D192" s="268">
        <f t="shared" si="2"/>
        <v>27754.010695187164</v>
      </c>
      <c r="E192" s="269">
        <v>1</v>
      </c>
      <c r="F192" s="254" t="s">
        <v>544</v>
      </c>
      <c r="G192" s="222" t="s">
        <v>524</v>
      </c>
      <c r="H192" s="222" t="s">
        <v>581</v>
      </c>
      <c r="I192" s="224" t="s">
        <v>525</v>
      </c>
      <c r="J192" s="225" t="s">
        <v>533</v>
      </c>
      <c r="K192" s="225" t="s">
        <v>534</v>
      </c>
      <c r="L192" s="268">
        <v>51900</v>
      </c>
      <c r="M192" s="225" t="s">
        <v>502</v>
      </c>
    </row>
    <row r="193" spans="1:13" x14ac:dyDescent="0.2">
      <c r="A193" s="222">
        <v>85467</v>
      </c>
      <c r="B193" s="222" t="s">
        <v>601</v>
      </c>
      <c r="C193" s="222" t="s">
        <v>895</v>
      </c>
      <c r="D193" s="268">
        <f t="shared" si="2"/>
        <v>27754.010695187164</v>
      </c>
      <c r="E193" s="269">
        <v>1</v>
      </c>
      <c r="F193" s="254" t="s">
        <v>544</v>
      </c>
      <c r="G193" s="222" t="s">
        <v>524</v>
      </c>
      <c r="H193" s="222" t="s">
        <v>581</v>
      </c>
      <c r="I193" s="224" t="s">
        <v>525</v>
      </c>
      <c r="J193" s="225" t="s">
        <v>533</v>
      </c>
      <c r="K193" s="225" t="s">
        <v>534</v>
      </c>
      <c r="L193" s="268">
        <v>51900</v>
      </c>
      <c r="M193" s="225" t="s">
        <v>502</v>
      </c>
    </row>
    <row r="194" spans="1:13" x14ac:dyDescent="0.2">
      <c r="A194" s="222">
        <v>50720</v>
      </c>
      <c r="B194" s="222" t="s">
        <v>896</v>
      </c>
      <c r="C194" s="222" t="s">
        <v>897</v>
      </c>
      <c r="D194" s="268">
        <f t="shared" si="2"/>
        <v>32032.085561497326</v>
      </c>
      <c r="E194" s="269">
        <v>1</v>
      </c>
      <c r="F194" s="254" t="s">
        <v>544</v>
      </c>
      <c r="G194" s="222" t="s">
        <v>58</v>
      </c>
      <c r="H194" s="222" t="s">
        <v>579</v>
      </c>
      <c r="I194" s="224" t="s">
        <v>502</v>
      </c>
      <c r="J194" s="225" t="s">
        <v>536</v>
      </c>
      <c r="K194" s="225" t="s">
        <v>537</v>
      </c>
      <c r="L194" s="268">
        <v>59900</v>
      </c>
      <c r="M194" s="225" t="s">
        <v>502</v>
      </c>
    </row>
    <row r="195" spans="1:13" x14ac:dyDescent="0.2">
      <c r="A195" s="222">
        <v>50721</v>
      </c>
      <c r="B195" s="222" t="s">
        <v>896</v>
      </c>
      <c r="C195" s="222" t="s">
        <v>898</v>
      </c>
      <c r="D195" s="268">
        <f t="shared" ref="D195:D262" si="3">+L195/1.87</f>
        <v>32032.085561497326</v>
      </c>
      <c r="E195" s="269">
        <v>1</v>
      </c>
      <c r="F195" s="254" t="s">
        <v>544</v>
      </c>
      <c r="G195" s="222" t="s">
        <v>58</v>
      </c>
      <c r="H195" s="222" t="s">
        <v>579</v>
      </c>
      <c r="I195" s="224" t="s">
        <v>502</v>
      </c>
      <c r="J195" s="225" t="s">
        <v>536</v>
      </c>
      <c r="K195" s="225" t="s">
        <v>537</v>
      </c>
      <c r="L195" s="268">
        <v>59900</v>
      </c>
      <c r="M195" s="225" t="s">
        <v>502</v>
      </c>
    </row>
    <row r="196" spans="1:13" x14ac:dyDescent="0.2">
      <c r="A196" s="222">
        <v>26630</v>
      </c>
      <c r="B196" s="222" t="s">
        <v>591</v>
      </c>
      <c r="C196" s="222" t="s">
        <v>511</v>
      </c>
      <c r="D196" s="268">
        <f t="shared" si="3"/>
        <v>25614.973262032083</v>
      </c>
      <c r="E196" s="269">
        <v>1</v>
      </c>
      <c r="F196" s="254" t="s">
        <v>543</v>
      </c>
      <c r="G196" s="222" t="s">
        <v>524</v>
      </c>
      <c r="H196" s="222" t="s">
        <v>579</v>
      </c>
      <c r="I196" s="224" t="s">
        <v>502</v>
      </c>
      <c r="J196" s="225" t="s">
        <v>536</v>
      </c>
      <c r="K196" s="225" t="s">
        <v>537</v>
      </c>
      <c r="L196" s="268">
        <v>47900</v>
      </c>
      <c r="M196" s="225" t="s">
        <v>502</v>
      </c>
    </row>
    <row r="197" spans="1:13" x14ac:dyDescent="0.2">
      <c r="A197" s="222">
        <v>26631</v>
      </c>
      <c r="B197" s="222" t="s">
        <v>591</v>
      </c>
      <c r="C197" s="222" t="s">
        <v>593</v>
      </c>
      <c r="D197" s="268">
        <f t="shared" si="3"/>
        <v>25614.973262032083</v>
      </c>
      <c r="E197" s="269">
        <v>1</v>
      </c>
      <c r="F197" s="254" t="s">
        <v>543</v>
      </c>
      <c r="G197" s="222" t="s">
        <v>524</v>
      </c>
      <c r="H197" s="222" t="s">
        <v>579</v>
      </c>
      <c r="I197" s="224" t="s">
        <v>502</v>
      </c>
      <c r="J197" s="225" t="s">
        <v>536</v>
      </c>
      <c r="K197" s="225" t="s">
        <v>537</v>
      </c>
      <c r="L197" s="268">
        <v>47900</v>
      </c>
      <c r="M197" s="225" t="s">
        <v>502</v>
      </c>
    </row>
    <row r="198" spans="1:13" x14ac:dyDescent="0.2">
      <c r="A198" s="222">
        <v>52516</v>
      </c>
      <c r="B198" s="222" t="s">
        <v>797</v>
      </c>
      <c r="C198" s="222" t="s">
        <v>798</v>
      </c>
      <c r="D198" s="268">
        <f t="shared" si="3"/>
        <v>32032.085561497326</v>
      </c>
      <c r="E198" s="269">
        <v>1</v>
      </c>
      <c r="F198" s="254" t="s">
        <v>544</v>
      </c>
      <c r="G198" s="222" t="s">
        <v>58</v>
      </c>
      <c r="H198" s="222" t="s">
        <v>579</v>
      </c>
      <c r="I198" s="224" t="s">
        <v>502</v>
      </c>
      <c r="J198" s="225" t="s">
        <v>539</v>
      </c>
      <c r="K198" s="225" t="s">
        <v>540</v>
      </c>
      <c r="L198" s="268">
        <v>59900</v>
      </c>
      <c r="M198" s="225" t="s">
        <v>502</v>
      </c>
    </row>
    <row r="199" spans="1:13" x14ac:dyDescent="0.2">
      <c r="A199" s="222">
        <v>52518</v>
      </c>
      <c r="B199" s="222" t="s">
        <v>797</v>
      </c>
      <c r="C199" s="222" t="s">
        <v>800</v>
      </c>
      <c r="D199" s="268">
        <f t="shared" si="3"/>
        <v>32032.085561497326</v>
      </c>
      <c r="E199" s="269">
        <v>1</v>
      </c>
      <c r="F199" s="254" t="s">
        <v>544</v>
      </c>
      <c r="G199" s="222" t="s">
        <v>58</v>
      </c>
      <c r="H199" s="222" t="s">
        <v>579</v>
      </c>
      <c r="I199" s="224" t="s">
        <v>502</v>
      </c>
      <c r="J199" s="225" t="s">
        <v>539</v>
      </c>
      <c r="K199" s="225" t="s">
        <v>540</v>
      </c>
      <c r="L199" s="268">
        <v>59900</v>
      </c>
      <c r="M199" s="225" t="s">
        <v>502</v>
      </c>
    </row>
    <row r="200" spans="1:13" x14ac:dyDescent="0.2">
      <c r="A200" s="222">
        <v>52517</v>
      </c>
      <c r="B200" s="222" t="s">
        <v>797</v>
      </c>
      <c r="C200" s="222" t="s">
        <v>799</v>
      </c>
      <c r="D200" s="268">
        <f t="shared" si="3"/>
        <v>32032.085561497326</v>
      </c>
      <c r="E200" s="269">
        <v>1</v>
      </c>
      <c r="F200" s="254" t="s">
        <v>544</v>
      </c>
      <c r="G200" s="222" t="s">
        <v>58</v>
      </c>
      <c r="H200" s="222" t="s">
        <v>579</v>
      </c>
      <c r="I200" s="224" t="s">
        <v>502</v>
      </c>
      <c r="J200" s="225" t="s">
        <v>539</v>
      </c>
      <c r="K200" s="225" t="s">
        <v>540</v>
      </c>
      <c r="L200" s="268">
        <v>59900</v>
      </c>
      <c r="M200" s="225" t="s">
        <v>502</v>
      </c>
    </row>
    <row r="201" spans="1:13" x14ac:dyDescent="0.2">
      <c r="A201" s="222">
        <v>55182</v>
      </c>
      <c r="B201" s="222" t="s">
        <v>562</v>
      </c>
      <c r="C201" s="222" t="s">
        <v>42</v>
      </c>
      <c r="D201" s="268">
        <f t="shared" si="3"/>
        <v>25080.213903743315</v>
      </c>
      <c r="E201" s="269">
        <v>1</v>
      </c>
      <c r="F201" s="254" t="s">
        <v>543</v>
      </c>
      <c r="G201" s="222" t="s">
        <v>524</v>
      </c>
      <c r="H201" s="222" t="s">
        <v>580</v>
      </c>
      <c r="I201" s="224" t="s">
        <v>502</v>
      </c>
      <c r="J201" s="225" t="s">
        <v>539</v>
      </c>
      <c r="K201" s="225" t="s">
        <v>449</v>
      </c>
      <c r="L201" s="268">
        <v>46900</v>
      </c>
      <c r="M201" s="225" t="s">
        <v>502</v>
      </c>
    </row>
    <row r="202" spans="1:13" x14ac:dyDescent="0.2">
      <c r="A202" s="222">
        <v>55185</v>
      </c>
      <c r="B202" s="222" t="s">
        <v>562</v>
      </c>
      <c r="C202" s="222" t="s">
        <v>566</v>
      </c>
      <c r="D202" s="268">
        <f t="shared" si="3"/>
        <v>25080.213903743315</v>
      </c>
      <c r="E202" s="269">
        <v>1</v>
      </c>
      <c r="F202" s="254" t="s">
        <v>543</v>
      </c>
      <c r="G202" s="222" t="s">
        <v>524</v>
      </c>
      <c r="H202" s="222" t="s">
        <v>580</v>
      </c>
      <c r="I202" s="224" t="s">
        <v>502</v>
      </c>
      <c r="J202" s="225" t="s">
        <v>539</v>
      </c>
      <c r="K202" s="225" t="s">
        <v>449</v>
      </c>
      <c r="L202" s="268">
        <v>46900</v>
      </c>
      <c r="M202" s="225" t="s">
        <v>502</v>
      </c>
    </row>
    <row r="203" spans="1:13" x14ac:dyDescent="0.2">
      <c r="A203" s="222">
        <v>55194</v>
      </c>
      <c r="B203" s="222" t="s">
        <v>562</v>
      </c>
      <c r="C203" s="222" t="s">
        <v>607</v>
      </c>
      <c r="D203" s="268">
        <f t="shared" si="3"/>
        <v>25080.213903743315</v>
      </c>
      <c r="E203" s="269">
        <v>1</v>
      </c>
      <c r="F203" s="254" t="s">
        <v>543</v>
      </c>
      <c r="G203" s="222" t="s">
        <v>524</v>
      </c>
      <c r="H203" s="222" t="s">
        <v>580</v>
      </c>
      <c r="I203" s="224" t="s">
        <v>502</v>
      </c>
      <c r="J203" s="225" t="s">
        <v>539</v>
      </c>
      <c r="K203" s="225" t="s">
        <v>449</v>
      </c>
      <c r="L203" s="268">
        <v>46900</v>
      </c>
      <c r="M203" s="225" t="s">
        <v>502</v>
      </c>
    </row>
    <row r="204" spans="1:13" x14ac:dyDescent="0.2">
      <c r="A204" s="222">
        <v>25528</v>
      </c>
      <c r="B204" s="222" t="s">
        <v>691</v>
      </c>
      <c r="C204" s="222" t="s">
        <v>42</v>
      </c>
      <c r="D204" s="268">
        <f t="shared" si="3"/>
        <v>25080.213903743315</v>
      </c>
      <c r="E204" s="269">
        <v>1</v>
      </c>
      <c r="F204" s="254" t="s">
        <v>543</v>
      </c>
      <c r="G204" s="222" t="s">
        <v>524</v>
      </c>
      <c r="H204" s="222" t="s">
        <v>579</v>
      </c>
      <c r="I204" s="224" t="s">
        <v>502</v>
      </c>
      <c r="J204" s="225" t="s">
        <v>539</v>
      </c>
      <c r="K204" s="225" t="s">
        <v>449</v>
      </c>
      <c r="L204" s="268">
        <v>46900</v>
      </c>
      <c r="M204" s="225" t="s">
        <v>502</v>
      </c>
    </row>
    <row r="205" spans="1:13" x14ac:dyDescent="0.2">
      <c r="A205" s="222">
        <v>25527</v>
      </c>
      <c r="B205" s="222" t="s">
        <v>691</v>
      </c>
      <c r="C205" s="222" t="s">
        <v>566</v>
      </c>
      <c r="D205" s="268">
        <f t="shared" si="3"/>
        <v>25080.213903743315</v>
      </c>
      <c r="E205" s="269">
        <v>1</v>
      </c>
      <c r="F205" s="254" t="s">
        <v>543</v>
      </c>
      <c r="G205" s="222" t="s">
        <v>524</v>
      </c>
      <c r="H205" s="222" t="s">
        <v>579</v>
      </c>
      <c r="I205" s="224" t="s">
        <v>502</v>
      </c>
      <c r="J205" s="225" t="s">
        <v>539</v>
      </c>
      <c r="K205" s="225" t="s">
        <v>449</v>
      </c>
      <c r="L205" s="268">
        <v>46900</v>
      </c>
      <c r="M205" s="225" t="s">
        <v>502</v>
      </c>
    </row>
    <row r="206" spans="1:13" x14ac:dyDescent="0.2">
      <c r="A206" s="222">
        <v>25556</v>
      </c>
      <c r="B206" s="222" t="s">
        <v>691</v>
      </c>
      <c r="C206" s="222" t="s">
        <v>607</v>
      </c>
      <c r="D206" s="268">
        <f t="shared" si="3"/>
        <v>25080.213903743315</v>
      </c>
      <c r="E206" s="269">
        <v>1</v>
      </c>
      <c r="F206" s="254" t="s">
        <v>543</v>
      </c>
      <c r="G206" s="222" t="s">
        <v>524</v>
      </c>
      <c r="H206" s="222" t="s">
        <v>579</v>
      </c>
      <c r="I206" s="224" t="s">
        <v>502</v>
      </c>
      <c r="J206" s="225" t="s">
        <v>539</v>
      </c>
      <c r="K206" s="225" t="s">
        <v>449</v>
      </c>
      <c r="L206" s="268">
        <v>46900</v>
      </c>
      <c r="M206" s="225" t="s">
        <v>502</v>
      </c>
    </row>
    <row r="207" spans="1:13" x14ac:dyDescent="0.2">
      <c r="A207" s="222">
        <v>25558</v>
      </c>
      <c r="B207" s="222" t="s">
        <v>691</v>
      </c>
      <c r="C207" s="222" t="s">
        <v>712</v>
      </c>
      <c r="D207" s="268">
        <f t="shared" si="3"/>
        <v>25080.213903743315</v>
      </c>
      <c r="E207" s="269">
        <v>1</v>
      </c>
      <c r="F207" s="254" t="s">
        <v>543</v>
      </c>
      <c r="G207" s="222" t="s">
        <v>524</v>
      </c>
      <c r="H207" s="222" t="s">
        <v>579</v>
      </c>
      <c r="I207" s="224" t="s">
        <v>502</v>
      </c>
      <c r="J207" s="225" t="s">
        <v>539</v>
      </c>
      <c r="K207" s="225" t="s">
        <v>449</v>
      </c>
      <c r="L207" s="268">
        <v>46900</v>
      </c>
      <c r="M207" s="225" t="s">
        <v>502</v>
      </c>
    </row>
    <row r="208" spans="1:13" x14ac:dyDescent="0.2">
      <c r="A208" s="222">
        <v>25600</v>
      </c>
      <c r="B208" s="222" t="s">
        <v>563</v>
      </c>
      <c r="C208" s="222" t="s">
        <v>498</v>
      </c>
      <c r="D208" s="268">
        <f t="shared" si="3"/>
        <v>33636.363636363632</v>
      </c>
      <c r="E208" s="269">
        <v>1</v>
      </c>
      <c r="F208" s="254" t="s">
        <v>543</v>
      </c>
      <c r="G208" s="222" t="s">
        <v>524</v>
      </c>
      <c r="H208" s="222" t="s">
        <v>579</v>
      </c>
      <c r="I208" s="224" t="s">
        <v>502</v>
      </c>
      <c r="J208" s="225" t="s">
        <v>541</v>
      </c>
      <c r="K208" s="225" t="s">
        <v>541</v>
      </c>
      <c r="L208" s="268">
        <v>62900</v>
      </c>
      <c r="M208" s="225" t="s">
        <v>502</v>
      </c>
    </row>
    <row r="209" spans="1:13" x14ac:dyDescent="0.2">
      <c r="A209" s="222">
        <v>52519</v>
      </c>
      <c r="B209" s="222" t="s">
        <v>801</v>
      </c>
      <c r="C209" s="222" t="s">
        <v>802</v>
      </c>
      <c r="D209" s="268">
        <f t="shared" si="3"/>
        <v>30962.566844919784</v>
      </c>
      <c r="E209" s="269">
        <v>1</v>
      </c>
      <c r="F209" s="254" t="s">
        <v>545</v>
      </c>
      <c r="G209" s="222" t="s">
        <v>58</v>
      </c>
      <c r="H209" s="222" t="s">
        <v>579</v>
      </c>
      <c r="I209" s="224" t="s">
        <v>502</v>
      </c>
      <c r="J209" s="225" t="s">
        <v>541</v>
      </c>
      <c r="K209" s="225" t="s">
        <v>541</v>
      </c>
      <c r="L209" s="268">
        <v>57900</v>
      </c>
      <c r="M209" s="225" t="s">
        <v>502</v>
      </c>
    </row>
    <row r="210" spans="1:13" x14ac:dyDescent="0.2">
      <c r="A210" s="222">
        <v>52520</v>
      </c>
      <c r="B210" s="222" t="s">
        <v>801</v>
      </c>
      <c r="C210" s="222" t="s">
        <v>803</v>
      </c>
      <c r="D210" s="268">
        <f t="shared" si="3"/>
        <v>30962.566844919784</v>
      </c>
      <c r="E210" s="269">
        <v>1</v>
      </c>
      <c r="F210" s="254" t="s">
        <v>545</v>
      </c>
      <c r="G210" s="222" t="s">
        <v>58</v>
      </c>
      <c r="H210" s="222" t="s">
        <v>579</v>
      </c>
      <c r="I210" s="224" t="s">
        <v>502</v>
      </c>
      <c r="J210" s="225" t="s">
        <v>541</v>
      </c>
      <c r="K210" s="225" t="s">
        <v>541</v>
      </c>
      <c r="L210" s="268">
        <v>57900</v>
      </c>
      <c r="M210" s="225" t="s">
        <v>502</v>
      </c>
    </row>
    <row r="211" spans="1:13" x14ac:dyDescent="0.2">
      <c r="A211" s="222">
        <v>52522</v>
      </c>
      <c r="B211" s="222" t="s">
        <v>809</v>
      </c>
      <c r="C211" s="222" t="s">
        <v>810</v>
      </c>
      <c r="D211" s="268">
        <f t="shared" si="3"/>
        <v>29893.048128342245</v>
      </c>
      <c r="E211" s="269">
        <v>1</v>
      </c>
      <c r="F211" s="254" t="s">
        <v>545</v>
      </c>
      <c r="G211" s="222" t="s">
        <v>58</v>
      </c>
      <c r="H211" s="222" t="s">
        <v>579</v>
      </c>
      <c r="I211" s="224" t="s">
        <v>502</v>
      </c>
      <c r="J211" s="225" t="s">
        <v>526</v>
      </c>
      <c r="K211" s="225" t="s">
        <v>872</v>
      </c>
      <c r="L211" s="268">
        <v>55900</v>
      </c>
      <c r="M211" s="225" t="s">
        <v>502</v>
      </c>
    </row>
    <row r="212" spans="1:13" x14ac:dyDescent="0.2">
      <c r="A212" s="222">
        <v>52523</v>
      </c>
      <c r="B212" s="222" t="s">
        <v>809</v>
      </c>
      <c r="C212" s="222" t="s">
        <v>811</v>
      </c>
      <c r="D212" s="268">
        <f t="shared" si="3"/>
        <v>29893.048128342245</v>
      </c>
      <c r="E212" s="269">
        <v>1</v>
      </c>
      <c r="F212" s="254" t="s">
        <v>545</v>
      </c>
      <c r="G212" s="222" t="s">
        <v>58</v>
      </c>
      <c r="H212" s="222" t="s">
        <v>579</v>
      </c>
      <c r="I212" s="224" t="s">
        <v>502</v>
      </c>
      <c r="J212" s="225" t="s">
        <v>526</v>
      </c>
      <c r="K212" s="225" t="s">
        <v>872</v>
      </c>
      <c r="L212" s="268">
        <v>55900</v>
      </c>
      <c r="M212" s="225" t="s">
        <v>502</v>
      </c>
    </row>
    <row r="213" spans="1:13" x14ac:dyDescent="0.2">
      <c r="A213" s="222">
        <v>50618</v>
      </c>
      <c r="B213" s="222" t="s">
        <v>899</v>
      </c>
      <c r="C213" s="222" t="s">
        <v>900</v>
      </c>
      <c r="D213" s="268">
        <f t="shared" si="3"/>
        <v>29358.288770053474</v>
      </c>
      <c r="E213" s="269">
        <v>1</v>
      </c>
      <c r="F213" s="254" t="s">
        <v>544</v>
      </c>
      <c r="G213" s="222" t="s">
        <v>58</v>
      </c>
      <c r="H213" s="222" t="s">
        <v>579</v>
      </c>
      <c r="I213" s="224" t="s">
        <v>502</v>
      </c>
      <c r="J213" s="225" t="s">
        <v>526</v>
      </c>
      <c r="K213" s="225" t="s">
        <v>872</v>
      </c>
      <c r="L213" s="268">
        <v>54900</v>
      </c>
      <c r="M213" s="225" t="s">
        <v>502</v>
      </c>
    </row>
    <row r="214" spans="1:13" x14ac:dyDescent="0.2">
      <c r="A214" s="222">
        <v>50619</v>
      </c>
      <c r="B214" s="222" t="s">
        <v>899</v>
      </c>
      <c r="C214" s="222" t="s">
        <v>901</v>
      </c>
      <c r="D214" s="268">
        <f t="shared" si="3"/>
        <v>29358.288770053474</v>
      </c>
      <c r="E214" s="269">
        <v>1</v>
      </c>
      <c r="F214" s="254" t="s">
        <v>544</v>
      </c>
      <c r="G214" s="222" t="s">
        <v>58</v>
      </c>
      <c r="H214" s="222" t="s">
        <v>579</v>
      </c>
      <c r="I214" s="224" t="s">
        <v>502</v>
      </c>
      <c r="J214" s="225" t="s">
        <v>526</v>
      </c>
      <c r="K214" s="225" t="s">
        <v>872</v>
      </c>
      <c r="L214" s="268">
        <v>54900</v>
      </c>
      <c r="M214" s="225" t="s">
        <v>502</v>
      </c>
    </row>
    <row r="215" spans="1:13" x14ac:dyDescent="0.2">
      <c r="A215" s="222">
        <v>50620</v>
      </c>
      <c r="B215" s="222" t="s">
        <v>899</v>
      </c>
      <c r="C215" s="222" t="s">
        <v>902</v>
      </c>
      <c r="D215" s="268">
        <f t="shared" si="3"/>
        <v>29358.288770053474</v>
      </c>
      <c r="E215" s="269">
        <v>1</v>
      </c>
      <c r="F215" s="254" t="s">
        <v>544</v>
      </c>
      <c r="G215" s="222" t="s">
        <v>58</v>
      </c>
      <c r="H215" s="222" t="s">
        <v>579</v>
      </c>
      <c r="I215" s="224" t="s">
        <v>502</v>
      </c>
      <c r="J215" s="225" t="s">
        <v>526</v>
      </c>
      <c r="K215" s="225" t="s">
        <v>872</v>
      </c>
      <c r="L215" s="268">
        <v>54900</v>
      </c>
      <c r="M215" s="225" t="s">
        <v>502</v>
      </c>
    </row>
    <row r="216" spans="1:13" x14ac:dyDescent="0.2">
      <c r="A216" s="222">
        <v>25875</v>
      </c>
      <c r="B216" s="222" t="s">
        <v>599</v>
      </c>
      <c r="C216" s="222" t="s">
        <v>804</v>
      </c>
      <c r="D216" s="268">
        <f t="shared" si="3"/>
        <v>34705.882352941175</v>
      </c>
      <c r="E216" s="269">
        <v>1</v>
      </c>
      <c r="F216" s="254" t="s">
        <v>544</v>
      </c>
      <c r="G216" s="222" t="s">
        <v>524</v>
      </c>
      <c r="H216" s="222" t="s">
        <v>579</v>
      </c>
      <c r="I216" s="224" t="s">
        <v>502</v>
      </c>
      <c r="J216" s="225" t="s">
        <v>526</v>
      </c>
      <c r="K216" s="225" t="s">
        <v>872</v>
      </c>
      <c r="L216" s="268">
        <v>64900</v>
      </c>
      <c r="M216" s="225" t="s">
        <v>502</v>
      </c>
    </row>
    <row r="217" spans="1:13" x14ac:dyDescent="0.2">
      <c r="A217" s="222">
        <v>25877</v>
      </c>
      <c r="B217" s="222" t="s">
        <v>599</v>
      </c>
      <c r="C217" s="222" t="s">
        <v>805</v>
      </c>
      <c r="D217" s="268">
        <f t="shared" si="3"/>
        <v>34705.882352941175</v>
      </c>
      <c r="E217" s="269">
        <v>1</v>
      </c>
      <c r="F217" s="254" t="s">
        <v>544</v>
      </c>
      <c r="G217" s="222" t="s">
        <v>524</v>
      </c>
      <c r="H217" s="222" t="s">
        <v>579</v>
      </c>
      <c r="I217" s="224" t="s">
        <v>502</v>
      </c>
      <c r="J217" s="225" t="s">
        <v>526</v>
      </c>
      <c r="K217" s="225" t="s">
        <v>872</v>
      </c>
      <c r="L217" s="268">
        <v>64900</v>
      </c>
      <c r="M217" s="225" t="s">
        <v>502</v>
      </c>
    </row>
    <row r="218" spans="1:13" x14ac:dyDescent="0.2">
      <c r="A218" s="222">
        <v>52265</v>
      </c>
      <c r="B218" s="222" t="s">
        <v>694</v>
      </c>
      <c r="C218" s="222" t="s">
        <v>714</v>
      </c>
      <c r="D218" s="268">
        <f t="shared" si="3"/>
        <v>34705.882352941175</v>
      </c>
      <c r="E218" s="269">
        <v>1</v>
      </c>
      <c r="F218" s="254" t="s">
        <v>543</v>
      </c>
      <c r="G218" s="222" t="s">
        <v>524</v>
      </c>
      <c r="H218" s="222" t="s">
        <v>579</v>
      </c>
      <c r="I218" s="224" t="s">
        <v>502</v>
      </c>
      <c r="J218" s="225" t="s">
        <v>526</v>
      </c>
      <c r="K218" s="225" t="s">
        <v>872</v>
      </c>
      <c r="L218" s="268">
        <v>64900</v>
      </c>
      <c r="M218" s="225" t="s">
        <v>502</v>
      </c>
    </row>
    <row r="219" spans="1:13" x14ac:dyDescent="0.2">
      <c r="A219" s="222">
        <v>52266</v>
      </c>
      <c r="B219" s="222" t="s">
        <v>694</v>
      </c>
      <c r="C219" s="222" t="s">
        <v>715</v>
      </c>
      <c r="D219" s="268">
        <f t="shared" si="3"/>
        <v>34705.882352941175</v>
      </c>
      <c r="E219" s="269">
        <v>1</v>
      </c>
      <c r="F219" s="254" t="s">
        <v>543</v>
      </c>
      <c r="G219" s="222" t="s">
        <v>524</v>
      </c>
      <c r="H219" s="222" t="s">
        <v>579</v>
      </c>
      <c r="I219" s="224" t="s">
        <v>502</v>
      </c>
      <c r="J219" s="225" t="s">
        <v>526</v>
      </c>
      <c r="K219" s="225" t="s">
        <v>872</v>
      </c>
      <c r="L219" s="268">
        <v>64900</v>
      </c>
      <c r="M219" s="225" t="s">
        <v>502</v>
      </c>
    </row>
    <row r="220" spans="1:13" x14ac:dyDescent="0.2">
      <c r="A220" s="222">
        <v>26923</v>
      </c>
      <c r="B220" s="222" t="s">
        <v>640</v>
      </c>
      <c r="C220" s="222" t="s">
        <v>807</v>
      </c>
      <c r="D220" s="268">
        <f t="shared" si="3"/>
        <v>34705.882352941175</v>
      </c>
      <c r="E220" s="269">
        <v>1</v>
      </c>
      <c r="F220" s="254" t="s">
        <v>543</v>
      </c>
      <c r="G220" s="222" t="s">
        <v>524</v>
      </c>
      <c r="H220" s="222" t="s">
        <v>579</v>
      </c>
      <c r="I220" s="224" t="s">
        <v>502</v>
      </c>
      <c r="J220" s="225" t="s">
        <v>526</v>
      </c>
      <c r="K220" s="225" t="s">
        <v>872</v>
      </c>
      <c r="L220" s="268">
        <v>64900</v>
      </c>
      <c r="M220" s="225" t="s">
        <v>502</v>
      </c>
    </row>
    <row r="221" spans="1:13" x14ac:dyDescent="0.2">
      <c r="A221" s="222">
        <v>26924</v>
      </c>
      <c r="B221" s="222" t="s">
        <v>640</v>
      </c>
      <c r="C221" s="222" t="s">
        <v>808</v>
      </c>
      <c r="D221" s="268">
        <f t="shared" si="3"/>
        <v>34705.882352941175</v>
      </c>
      <c r="E221" s="269">
        <v>1</v>
      </c>
      <c r="F221" s="254" t="s">
        <v>543</v>
      </c>
      <c r="G221" s="222" t="s">
        <v>524</v>
      </c>
      <c r="H221" s="222" t="s">
        <v>579</v>
      </c>
      <c r="I221" s="224" t="s">
        <v>502</v>
      </c>
      <c r="J221" s="225" t="s">
        <v>526</v>
      </c>
      <c r="K221" s="225" t="s">
        <v>872</v>
      </c>
      <c r="L221" s="268">
        <v>64900</v>
      </c>
      <c r="M221" s="225" t="s">
        <v>502</v>
      </c>
    </row>
    <row r="222" spans="1:13" x14ac:dyDescent="0.2">
      <c r="A222" s="222">
        <v>52558</v>
      </c>
      <c r="B222" s="222" t="s">
        <v>903</v>
      </c>
      <c r="C222" s="222" t="s">
        <v>904</v>
      </c>
      <c r="D222" s="268">
        <f t="shared" si="3"/>
        <v>32032.085561497326</v>
      </c>
      <c r="E222" s="269">
        <v>1</v>
      </c>
      <c r="F222" s="254" t="s">
        <v>546</v>
      </c>
      <c r="G222" s="222" t="s">
        <v>58</v>
      </c>
      <c r="H222" s="222" t="s">
        <v>579</v>
      </c>
      <c r="I222" s="224" t="s">
        <v>502</v>
      </c>
      <c r="J222" s="225" t="s">
        <v>526</v>
      </c>
      <c r="K222" s="225" t="s">
        <v>872</v>
      </c>
      <c r="L222" s="268">
        <v>59900</v>
      </c>
      <c r="M222" s="225" t="s">
        <v>502</v>
      </c>
    </row>
    <row r="223" spans="1:13" x14ac:dyDescent="0.2">
      <c r="A223" s="222">
        <v>52559</v>
      </c>
      <c r="B223" s="222" t="s">
        <v>903</v>
      </c>
      <c r="C223" s="222" t="s">
        <v>905</v>
      </c>
      <c r="D223" s="268">
        <f t="shared" si="3"/>
        <v>32032.085561497326</v>
      </c>
      <c r="E223" s="269">
        <v>1</v>
      </c>
      <c r="F223" s="254" t="s">
        <v>546</v>
      </c>
      <c r="G223" s="222" t="s">
        <v>58</v>
      </c>
      <c r="H223" s="222" t="s">
        <v>579</v>
      </c>
      <c r="I223" s="224" t="s">
        <v>502</v>
      </c>
      <c r="J223" s="225" t="s">
        <v>526</v>
      </c>
      <c r="K223" s="225" t="s">
        <v>872</v>
      </c>
      <c r="L223" s="268">
        <v>59900</v>
      </c>
      <c r="M223" s="225" t="s">
        <v>502</v>
      </c>
    </row>
    <row r="224" spans="1:13" x14ac:dyDescent="0.2">
      <c r="A224" s="222">
        <v>26893</v>
      </c>
      <c r="B224" s="222" t="s">
        <v>806</v>
      </c>
      <c r="C224" s="222" t="s">
        <v>707</v>
      </c>
      <c r="D224" s="268">
        <f t="shared" si="3"/>
        <v>26684.491978609625</v>
      </c>
      <c r="E224" s="269">
        <v>1</v>
      </c>
      <c r="F224" s="254" t="s">
        <v>543</v>
      </c>
      <c r="G224" s="222" t="s">
        <v>524</v>
      </c>
      <c r="H224" s="222" t="s">
        <v>579</v>
      </c>
      <c r="I224" s="224" t="s">
        <v>502</v>
      </c>
      <c r="J224" s="225" t="s">
        <v>526</v>
      </c>
      <c r="K224" s="225" t="s">
        <v>872</v>
      </c>
      <c r="L224" s="268">
        <v>49900</v>
      </c>
      <c r="M224" s="225" t="s">
        <v>502</v>
      </c>
    </row>
    <row r="225" spans="1:13" x14ac:dyDescent="0.2">
      <c r="A225" s="222">
        <v>26895</v>
      </c>
      <c r="B225" s="222" t="s">
        <v>806</v>
      </c>
      <c r="C225" s="222" t="s">
        <v>815</v>
      </c>
      <c r="D225" s="268">
        <f t="shared" si="3"/>
        <v>26684.491978609625</v>
      </c>
      <c r="E225" s="269">
        <v>1</v>
      </c>
      <c r="F225" s="254" t="s">
        <v>543</v>
      </c>
      <c r="G225" s="222" t="s">
        <v>524</v>
      </c>
      <c r="H225" s="222" t="s">
        <v>579</v>
      </c>
      <c r="I225" s="224" t="s">
        <v>502</v>
      </c>
      <c r="J225" s="225" t="s">
        <v>526</v>
      </c>
      <c r="K225" s="225" t="s">
        <v>872</v>
      </c>
      <c r="L225" s="268">
        <v>49900</v>
      </c>
      <c r="M225" s="225" t="s">
        <v>502</v>
      </c>
    </row>
    <row r="226" spans="1:13" x14ac:dyDescent="0.2">
      <c r="A226" s="222">
        <v>52258</v>
      </c>
      <c r="B226" s="222" t="s">
        <v>695</v>
      </c>
      <c r="C226" s="222" t="s">
        <v>43</v>
      </c>
      <c r="D226" s="268">
        <f t="shared" si="3"/>
        <v>34705.882352941175</v>
      </c>
      <c r="E226" s="269">
        <v>1</v>
      </c>
      <c r="F226" s="254" t="s">
        <v>543</v>
      </c>
      <c r="G226" s="222" t="s">
        <v>524</v>
      </c>
      <c r="H226" s="222" t="s">
        <v>579</v>
      </c>
      <c r="I226" s="224" t="s">
        <v>502</v>
      </c>
      <c r="J226" s="225" t="s">
        <v>526</v>
      </c>
      <c r="K226" s="225" t="s">
        <v>864</v>
      </c>
      <c r="L226" s="268">
        <v>64900</v>
      </c>
      <c r="M226" s="225" t="s">
        <v>502</v>
      </c>
    </row>
    <row r="227" spans="1:13" x14ac:dyDescent="0.2">
      <c r="A227" s="222">
        <v>52259</v>
      </c>
      <c r="B227" s="222" t="s">
        <v>695</v>
      </c>
      <c r="C227" s="222" t="s">
        <v>707</v>
      </c>
      <c r="D227" s="268">
        <f t="shared" si="3"/>
        <v>34705.882352941175</v>
      </c>
      <c r="E227" s="269">
        <v>1</v>
      </c>
      <c r="F227" s="254" t="s">
        <v>543</v>
      </c>
      <c r="G227" s="222" t="s">
        <v>524</v>
      </c>
      <c r="H227" s="222" t="s">
        <v>579</v>
      </c>
      <c r="I227" s="224" t="s">
        <v>502</v>
      </c>
      <c r="J227" s="225" t="s">
        <v>526</v>
      </c>
      <c r="K227" s="225" t="s">
        <v>864</v>
      </c>
      <c r="L227" s="268">
        <v>64900</v>
      </c>
      <c r="M227" s="225" t="s">
        <v>502</v>
      </c>
    </row>
    <row r="228" spans="1:13" x14ac:dyDescent="0.2">
      <c r="A228" s="222">
        <v>52414</v>
      </c>
      <c r="B228" s="222" t="s">
        <v>695</v>
      </c>
      <c r="C228" s="222" t="s">
        <v>906</v>
      </c>
      <c r="D228" s="268">
        <f t="shared" si="3"/>
        <v>34705.882352941175</v>
      </c>
      <c r="E228" s="269">
        <v>1</v>
      </c>
      <c r="F228" s="254" t="s">
        <v>546</v>
      </c>
      <c r="G228" s="222" t="s">
        <v>57</v>
      </c>
      <c r="H228" s="222" t="s">
        <v>579</v>
      </c>
      <c r="I228" s="224" t="s">
        <v>502</v>
      </c>
      <c r="J228" s="225" t="s">
        <v>526</v>
      </c>
      <c r="K228" s="225" t="s">
        <v>864</v>
      </c>
      <c r="L228" s="268">
        <v>64900</v>
      </c>
      <c r="M228" s="225" t="s">
        <v>502</v>
      </c>
    </row>
    <row r="229" spans="1:13" x14ac:dyDescent="0.2">
      <c r="A229" s="222">
        <v>89725</v>
      </c>
      <c r="B229" s="222" t="s">
        <v>639</v>
      </c>
      <c r="C229" s="222" t="s">
        <v>566</v>
      </c>
      <c r="D229" s="268">
        <f t="shared" si="3"/>
        <v>33101.604278074861</v>
      </c>
      <c r="E229" s="269">
        <v>1</v>
      </c>
      <c r="F229" s="254" t="s">
        <v>545</v>
      </c>
      <c r="G229" s="222" t="s">
        <v>524</v>
      </c>
      <c r="H229" s="222" t="s">
        <v>579</v>
      </c>
      <c r="I229" s="224" t="s">
        <v>502</v>
      </c>
      <c r="J229" s="225" t="s">
        <v>526</v>
      </c>
      <c r="K229" s="225" t="s">
        <v>864</v>
      </c>
      <c r="L229" s="268">
        <v>61900</v>
      </c>
      <c r="M229" s="225" t="s">
        <v>502</v>
      </c>
    </row>
    <row r="230" spans="1:13" x14ac:dyDescent="0.2">
      <c r="A230" s="222">
        <v>89726</v>
      </c>
      <c r="B230" s="222" t="s">
        <v>639</v>
      </c>
      <c r="C230" s="222" t="s">
        <v>42</v>
      </c>
      <c r="D230" s="268">
        <f t="shared" si="3"/>
        <v>33101.604278074861</v>
      </c>
      <c r="E230" s="269">
        <v>1</v>
      </c>
      <c r="F230" s="254" t="s">
        <v>545</v>
      </c>
      <c r="G230" s="222" t="s">
        <v>57</v>
      </c>
      <c r="H230" s="222" t="s">
        <v>579</v>
      </c>
      <c r="I230" s="224" t="s">
        <v>502</v>
      </c>
      <c r="J230" s="225" t="s">
        <v>526</v>
      </c>
      <c r="K230" s="225" t="s">
        <v>864</v>
      </c>
      <c r="L230" s="268">
        <v>61900</v>
      </c>
      <c r="M230" s="225" t="s">
        <v>502</v>
      </c>
    </row>
    <row r="231" spans="1:13" x14ac:dyDescent="0.2">
      <c r="A231" s="222">
        <v>50310</v>
      </c>
      <c r="B231" s="222" t="s">
        <v>907</v>
      </c>
      <c r="C231" s="222" t="s">
        <v>42</v>
      </c>
      <c r="D231" s="268">
        <f t="shared" si="3"/>
        <v>28288.770053475935</v>
      </c>
      <c r="E231" s="269">
        <v>1</v>
      </c>
      <c r="F231" s="254" t="s">
        <v>543</v>
      </c>
      <c r="G231" s="222" t="s">
        <v>58</v>
      </c>
      <c r="H231" s="222" t="s">
        <v>908</v>
      </c>
      <c r="I231" s="224" t="s">
        <v>502</v>
      </c>
      <c r="J231" s="225" t="s">
        <v>526</v>
      </c>
      <c r="K231" s="225" t="s">
        <v>864</v>
      </c>
      <c r="L231" s="268">
        <v>52900</v>
      </c>
      <c r="M231" s="225" t="s">
        <v>502</v>
      </c>
    </row>
    <row r="232" spans="1:13" x14ac:dyDescent="0.2">
      <c r="A232" s="222">
        <v>50311</v>
      </c>
      <c r="B232" s="222" t="s">
        <v>907</v>
      </c>
      <c r="C232" s="222" t="s">
        <v>379</v>
      </c>
      <c r="D232" s="268">
        <f t="shared" si="3"/>
        <v>28288.770053475935</v>
      </c>
      <c r="E232" s="269">
        <v>1</v>
      </c>
      <c r="F232" s="254" t="s">
        <v>543</v>
      </c>
      <c r="G232" s="222" t="s">
        <v>58</v>
      </c>
      <c r="H232" s="222" t="s">
        <v>908</v>
      </c>
      <c r="I232" s="224" t="s">
        <v>502</v>
      </c>
      <c r="J232" s="225" t="s">
        <v>526</v>
      </c>
      <c r="K232" s="225" t="s">
        <v>864</v>
      </c>
      <c r="L232" s="268">
        <v>52900</v>
      </c>
      <c r="M232" s="225" t="s">
        <v>502</v>
      </c>
    </row>
    <row r="233" spans="1:13" x14ac:dyDescent="0.2">
      <c r="A233" s="222">
        <v>50312</v>
      </c>
      <c r="B233" s="222" t="s">
        <v>907</v>
      </c>
      <c r="C233" s="222" t="s">
        <v>909</v>
      </c>
      <c r="D233" s="268">
        <f t="shared" si="3"/>
        <v>28288.770053475935</v>
      </c>
      <c r="E233" s="269">
        <v>1</v>
      </c>
      <c r="F233" s="254" t="s">
        <v>543</v>
      </c>
      <c r="G233" s="222" t="s">
        <v>58</v>
      </c>
      <c r="H233" s="222" t="s">
        <v>908</v>
      </c>
      <c r="I233" s="224" t="s">
        <v>502</v>
      </c>
      <c r="J233" s="225" t="s">
        <v>526</v>
      </c>
      <c r="K233" s="225" t="s">
        <v>864</v>
      </c>
      <c r="L233" s="268">
        <v>52900</v>
      </c>
      <c r="M233" s="225" t="s">
        <v>502</v>
      </c>
    </row>
    <row r="234" spans="1:13" x14ac:dyDescent="0.2">
      <c r="A234" s="222">
        <v>50300</v>
      </c>
      <c r="B234" s="222" t="s">
        <v>910</v>
      </c>
      <c r="C234" s="222" t="s">
        <v>911</v>
      </c>
      <c r="D234" s="268">
        <f t="shared" si="3"/>
        <v>27219.251336898393</v>
      </c>
      <c r="E234" s="269">
        <v>1</v>
      </c>
      <c r="F234" s="254" t="s">
        <v>543</v>
      </c>
      <c r="G234" s="222" t="s">
        <v>58</v>
      </c>
      <c r="H234" s="222" t="s">
        <v>579</v>
      </c>
      <c r="I234" s="224" t="s">
        <v>502</v>
      </c>
      <c r="J234" s="225" t="s">
        <v>526</v>
      </c>
      <c r="K234" s="225" t="s">
        <v>528</v>
      </c>
      <c r="L234" s="268">
        <v>50900</v>
      </c>
      <c r="M234" s="225" t="s">
        <v>502</v>
      </c>
    </row>
    <row r="235" spans="1:13" x14ac:dyDescent="0.2">
      <c r="A235" s="222">
        <v>50301</v>
      </c>
      <c r="B235" s="222" t="s">
        <v>910</v>
      </c>
      <c r="C235" s="222" t="s">
        <v>42</v>
      </c>
      <c r="D235" s="268">
        <f t="shared" si="3"/>
        <v>27219.251336898393</v>
      </c>
      <c r="E235" s="269">
        <v>1</v>
      </c>
      <c r="F235" s="254" t="s">
        <v>543</v>
      </c>
      <c r="G235" s="222" t="s">
        <v>58</v>
      </c>
      <c r="H235" s="222" t="s">
        <v>579</v>
      </c>
      <c r="I235" s="224" t="s">
        <v>502</v>
      </c>
      <c r="J235" s="225" t="s">
        <v>526</v>
      </c>
      <c r="K235" s="225" t="s">
        <v>528</v>
      </c>
      <c r="L235" s="268">
        <v>50900</v>
      </c>
      <c r="M235" s="225" t="s">
        <v>502</v>
      </c>
    </row>
    <row r="236" spans="1:13" x14ac:dyDescent="0.2">
      <c r="A236" s="222">
        <v>50302</v>
      </c>
      <c r="B236" s="222" t="s">
        <v>910</v>
      </c>
      <c r="C236" s="222" t="s">
        <v>912</v>
      </c>
      <c r="D236" s="268">
        <f t="shared" si="3"/>
        <v>27219.251336898393</v>
      </c>
      <c r="E236" s="269">
        <v>1</v>
      </c>
      <c r="F236" s="254" t="s">
        <v>543</v>
      </c>
      <c r="G236" s="222" t="s">
        <v>58</v>
      </c>
      <c r="H236" s="222" t="s">
        <v>579</v>
      </c>
      <c r="I236" s="224" t="s">
        <v>502</v>
      </c>
      <c r="J236" s="225" t="s">
        <v>526</v>
      </c>
      <c r="K236" s="225" t="s">
        <v>528</v>
      </c>
      <c r="L236" s="268">
        <v>50900</v>
      </c>
      <c r="M236" s="225" t="s">
        <v>502</v>
      </c>
    </row>
    <row r="237" spans="1:13" x14ac:dyDescent="0.2">
      <c r="A237" s="222">
        <v>23589</v>
      </c>
      <c r="B237" s="222" t="s">
        <v>638</v>
      </c>
      <c r="C237" s="222" t="s">
        <v>379</v>
      </c>
      <c r="D237" s="268">
        <f t="shared" si="3"/>
        <v>39518.716577540108</v>
      </c>
      <c r="E237" s="269">
        <v>1</v>
      </c>
      <c r="F237" s="254" t="s">
        <v>543</v>
      </c>
      <c r="G237" s="222" t="s">
        <v>524</v>
      </c>
      <c r="H237" s="222" t="s">
        <v>579</v>
      </c>
      <c r="I237" s="224" t="s">
        <v>502</v>
      </c>
      <c r="J237" s="225" t="s">
        <v>526</v>
      </c>
      <c r="K237" s="225" t="s">
        <v>528</v>
      </c>
      <c r="L237" s="268">
        <v>73900</v>
      </c>
      <c r="M237" s="225" t="s">
        <v>502</v>
      </c>
    </row>
    <row r="238" spans="1:13" x14ac:dyDescent="0.2">
      <c r="A238" s="222">
        <v>23579</v>
      </c>
      <c r="B238" s="222" t="s">
        <v>638</v>
      </c>
      <c r="C238" s="222" t="s">
        <v>46</v>
      </c>
      <c r="D238" s="268">
        <f t="shared" si="3"/>
        <v>39518.716577540108</v>
      </c>
      <c r="E238" s="269">
        <v>1</v>
      </c>
      <c r="F238" s="254" t="s">
        <v>543</v>
      </c>
      <c r="G238" s="222" t="s">
        <v>524</v>
      </c>
      <c r="H238" s="222" t="s">
        <v>579</v>
      </c>
      <c r="I238" s="224" t="s">
        <v>502</v>
      </c>
      <c r="J238" s="225" t="s">
        <v>526</v>
      </c>
      <c r="K238" s="225" t="s">
        <v>528</v>
      </c>
      <c r="L238" s="268">
        <v>73900</v>
      </c>
      <c r="M238" s="225" t="s">
        <v>502</v>
      </c>
    </row>
    <row r="239" spans="1:13" x14ac:dyDescent="0.2">
      <c r="A239" s="222">
        <v>21885</v>
      </c>
      <c r="B239" s="222" t="s">
        <v>47</v>
      </c>
      <c r="C239" s="222" t="s">
        <v>50</v>
      </c>
      <c r="D239" s="268">
        <f t="shared" si="3"/>
        <v>35240.641711229946</v>
      </c>
      <c r="E239" s="269">
        <v>1</v>
      </c>
      <c r="F239" s="254" t="s">
        <v>543</v>
      </c>
      <c r="G239" s="222" t="s">
        <v>524</v>
      </c>
      <c r="H239" s="222" t="s">
        <v>579</v>
      </c>
      <c r="I239" s="224" t="s">
        <v>502</v>
      </c>
      <c r="J239" s="225" t="s">
        <v>526</v>
      </c>
      <c r="K239" s="225" t="s">
        <v>528</v>
      </c>
      <c r="L239" s="268">
        <v>65900</v>
      </c>
      <c r="M239" s="225" t="s">
        <v>502</v>
      </c>
    </row>
    <row r="240" spans="1:13" x14ac:dyDescent="0.2">
      <c r="A240" s="222">
        <v>21884</v>
      </c>
      <c r="B240" s="222" t="s">
        <v>47</v>
      </c>
      <c r="C240" s="222" t="s">
        <v>1</v>
      </c>
      <c r="D240" s="268">
        <f t="shared" si="3"/>
        <v>35240.641711229946</v>
      </c>
      <c r="E240" s="269">
        <v>1</v>
      </c>
      <c r="F240" s="254" t="s">
        <v>543</v>
      </c>
      <c r="G240" s="222" t="s">
        <v>524</v>
      </c>
      <c r="H240" s="222" t="s">
        <v>579</v>
      </c>
      <c r="I240" s="224" t="s">
        <v>502</v>
      </c>
      <c r="J240" s="225" t="s">
        <v>526</v>
      </c>
      <c r="K240" s="225" t="s">
        <v>528</v>
      </c>
      <c r="L240" s="268">
        <v>65900</v>
      </c>
      <c r="M240" s="225" t="s">
        <v>502</v>
      </c>
    </row>
    <row r="241" spans="1:13" x14ac:dyDescent="0.2">
      <c r="A241" s="222">
        <v>21883</v>
      </c>
      <c r="B241" s="222" t="s">
        <v>47</v>
      </c>
      <c r="C241" s="222" t="s">
        <v>46</v>
      </c>
      <c r="D241" s="268">
        <f t="shared" si="3"/>
        <v>35240.641711229946</v>
      </c>
      <c r="E241" s="269">
        <v>1</v>
      </c>
      <c r="F241" s="254" t="s">
        <v>543</v>
      </c>
      <c r="G241" s="222" t="s">
        <v>524</v>
      </c>
      <c r="H241" s="222" t="s">
        <v>579</v>
      </c>
      <c r="I241" s="224" t="s">
        <v>502</v>
      </c>
      <c r="J241" s="225" t="s">
        <v>526</v>
      </c>
      <c r="K241" s="225" t="s">
        <v>528</v>
      </c>
      <c r="L241" s="268">
        <v>65900</v>
      </c>
      <c r="M241" s="225" t="s">
        <v>502</v>
      </c>
    </row>
    <row r="242" spans="1:13" x14ac:dyDescent="0.2">
      <c r="A242" s="222">
        <v>28320</v>
      </c>
      <c r="B242" s="222" t="s">
        <v>561</v>
      </c>
      <c r="C242" s="222" t="s">
        <v>1</v>
      </c>
      <c r="D242" s="268">
        <f t="shared" si="3"/>
        <v>30427.807486631013</v>
      </c>
      <c r="E242" s="269">
        <v>1</v>
      </c>
      <c r="F242" s="254" t="s">
        <v>543</v>
      </c>
      <c r="G242" s="222" t="s">
        <v>524</v>
      </c>
      <c r="H242" s="222" t="s">
        <v>579</v>
      </c>
      <c r="I242" s="224" t="s">
        <v>502</v>
      </c>
      <c r="J242" s="225" t="s">
        <v>526</v>
      </c>
      <c r="K242" s="225" t="s">
        <v>528</v>
      </c>
      <c r="L242" s="268">
        <v>56900</v>
      </c>
      <c r="M242" s="225" t="s">
        <v>502</v>
      </c>
    </row>
    <row r="243" spans="1:13" x14ac:dyDescent="0.2">
      <c r="A243" s="222">
        <v>28321</v>
      </c>
      <c r="B243" s="222" t="s">
        <v>561</v>
      </c>
      <c r="C243" s="222" t="s">
        <v>498</v>
      </c>
      <c r="D243" s="268">
        <f t="shared" si="3"/>
        <v>30427.807486631013</v>
      </c>
      <c r="E243" s="269">
        <v>1</v>
      </c>
      <c r="F243" s="254" t="s">
        <v>543</v>
      </c>
      <c r="G243" s="222" t="s">
        <v>524</v>
      </c>
      <c r="H243" s="222" t="s">
        <v>579</v>
      </c>
      <c r="I243" s="224" t="s">
        <v>502</v>
      </c>
      <c r="J243" s="225" t="s">
        <v>526</v>
      </c>
      <c r="K243" s="225" t="s">
        <v>528</v>
      </c>
      <c r="L243" s="268">
        <v>56900</v>
      </c>
      <c r="M243" s="225" t="s">
        <v>502</v>
      </c>
    </row>
    <row r="244" spans="1:13" x14ac:dyDescent="0.2">
      <c r="A244" s="222">
        <v>28322</v>
      </c>
      <c r="B244" s="222" t="s">
        <v>561</v>
      </c>
      <c r="C244" s="222" t="s">
        <v>0</v>
      </c>
      <c r="D244" s="268">
        <f t="shared" si="3"/>
        <v>30427.807486631013</v>
      </c>
      <c r="E244" s="269">
        <v>1</v>
      </c>
      <c r="F244" s="254" t="s">
        <v>543</v>
      </c>
      <c r="G244" s="222" t="s">
        <v>524</v>
      </c>
      <c r="H244" s="222" t="s">
        <v>579</v>
      </c>
      <c r="I244" s="224" t="s">
        <v>502</v>
      </c>
      <c r="J244" s="225" t="s">
        <v>526</v>
      </c>
      <c r="K244" s="225" t="s">
        <v>528</v>
      </c>
      <c r="L244" s="268">
        <v>56900</v>
      </c>
      <c r="M244" s="225" t="s">
        <v>502</v>
      </c>
    </row>
    <row r="245" spans="1:13" x14ac:dyDescent="0.2">
      <c r="A245" s="222">
        <v>21624</v>
      </c>
      <c r="B245" s="222" t="s">
        <v>693</v>
      </c>
      <c r="C245" s="222" t="s">
        <v>45</v>
      </c>
      <c r="D245" s="268">
        <f t="shared" si="3"/>
        <v>28823.529411764703</v>
      </c>
      <c r="E245" s="269">
        <v>1</v>
      </c>
      <c r="F245" s="254" t="s">
        <v>543</v>
      </c>
      <c r="G245" s="222" t="s">
        <v>524</v>
      </c>
      <c r="H245" s="222" t="s">
        <v>581</v>
      </c>
      <c r="I245" s="224" t="s">
        <v>525</v>
      </c>
      <c r="J245" s="225" t="s">
        <v>526</v>
      </c>
      <c r="K245" s="225" t="s">
        <v>528</v>
      </c>
      <c r="L245" s="268">
        <v>53900</v>
      </c>
      <c r="M245" s="225" t="s">
        <v>502</v>
      </c>
    </row>
    <row r="246" spans="1:13" x14ac:dyDescent="0.2">
      <c r="A246" s="222">
        <v>21629</v>
      </c>
      <c r="B246" s="222" t="s">
        <v>693</v>
      </c>
      <c r="C246" s="222" t="s">
        <v>455</v>
      </c>
      <c r="D246" s="268">
        <f t="shared" si="3"/>
        <v>28823.529411764703</v>
      </c>
      <c r="E246" s="269">
        <v>1</v>
      </c>
      <c r="F246" s="254" t="s">
        <v>543</v>
      </c>
      <c r="G246" s="222" t="s">
        <v>524</v>
      </c>
      <c r="H246" s="222" t="s">
        <v>581</v>
      </c>
      <c r="I246" s="224" t="s">
        <v>525</v>
      </c>
      <c r="J246" s="225" t="s">
        <v>526</v>
      </c>
      <c r="K246" s="225" t="s">
        <v>528</v>
      </c>
      <c r="L246" s="268">
        <v>53900</v>
      </c>
      <c r="M246" s="225" t="s">
        <v>502</v>
      </c>
    </row>
    <row r="247" spans="1:13" x14ac:dyDescent="0.2">
      <c r="A247" s="222">
        <v>21637</v>
      </c>
      <c r="B247" s="222" t="s">
        <v>693</v>
      </c>
      <c r="C247" s="222" t="s">
        <v>42</v>
      </c>
      <c r="D247" s="268">
        <f t="shared" si="3"/>
        <v>28823.529411764703</v>
      </c>
      <c r="E247" s="269">
        <v>1</v>
      </c>
      <c r="F247" s="254" t="s">
        <v>543</v>
      </c>
      <c r="G247" s="222" t="s">
        <v>524</v>
      </c>
      <c r="H247" s="222" t="s">
        <v>581</v>
      </c>
      <c r="I247" s="224" t="s">
        <v>525</v>
      </c>
      <c r="J247" s="225" t="s">
        <v>526</v>
      </c>
      <c r="K247" s="225" t="s">
        <v>528</v>
      </c>
      <c r="L247" s="268">
        <v>53900</v>
      </c>
      <c r="M247" s="225" t="s">
        <v>502</v>
      </c>
    </row>
    <row r="248" spans="1:13" x14ac:dyDescent="0.2">
      <c r="A248" s="222">
        <v>25872</v>
      </c>
      <c r="B248" s="222" t="s">
        <v>697</v>
      </c>
      <c r="C248" s="222" t="s">
        <v>42</v>
      </c>
      <c r="D248" s="268">
        <f t="shared" si="3"/>
        <v>28288.770053475935</v>
      </c>
      <c r="E248" s="269">
        <v>1</v>
      </c>
      <c r="F248" s="254" t="s">
        <v>543</v>
      </c>
      <c r="G248" s="222" t="s">
        <v>524</v>
      </c>
      <c r="H248" s="222" t="s">
        <v>579</v>
      </c>
      <c r="I248" s="224" t="s">
        <v>502</v>
      </c>
      <c r="J248" s="225" t="s">
        <v>526</v>
      </c>
      <c r="K248" s="225" t="s">
        <v>528</v>
      </c>
      <c r="L248" s="268">
        <v>52900</v>
      </c>
      <c r="M248" s="225" t="s">
        <v>502</v>
      </c>
    </row>
    <row r="249" spans="1:13" x14ac:dyDescent="0.2">
      <c r="A249" s="222">
        <v>25871</v>
      </c>
      <c r="B249" s="222" t="s">
        <v>697</v>
      </c>
      <c r="C249" s="222" t="s">
        <v>1</v>
      </c>
      <c r="D249" s="268">
        <f t="shared" si="3"/>
        <v>28288.770053475935</v>
      </c>
      <c r="E249" s="269">
        <v>1</v>
      </c>
      <c r="F249" s="254" t="s">
        <v>543</v>
      </c>
      <c r="G249" s="222" t="s">
        <v>524</v>
      </c>
      <c r="H249" s="222" t="s">
        <v>579</v>
      </c>
      <c r="I249" s="224" t="s">
        <v>502</v>
      </c>
      <c r="J249" s="225" t="s">
        <v>526</v>
      </c>
      <c r="K249" s="225" t="s">
        <v>528</v>
      </c>
      <c r="L249" s="268">
        <v>52900</v>
      </c>
      <c r="M249" s="225" t="s">
        <v>502</v>
      </c>
    </row>
    <row r="250" spans="1:13" x14ac:dyDescent="0.2">
      <c r="A250" s="222">
        <v>25889</v>
      </c>
      <c r="B250" s="222" t="s">
        <v>813</v>
      </c>
      <c r="C250" s="222" t="s">
        <v>42</v>
      </c>
      <c r="D250" s="268">
        <f t="shared" si="3"/>
        <v>24010.695187165773</v>
      </c>
      <c r="E250" s="269">
        <v>1</v>
      </c>
      <c r="F250" s="254" t="s">
        <v>543</v>
      </c>
      <c r="G250" s="222" t="s">
        <v>524</v>
      </c>
      <c r="H250" s="222" t="s">
        <v>581</v>
      </c>
      <c r="I250" s="224" t="s">
        <v>525</v>
      </c>
      <c r="J250" s="225" t="s">
        <v>526</v>
      </c>
      <c r="K250" s="225" t="s">
        <v>528</v>
      </c>
      <c r="L250" s="268">
        <v>44900</v>
      </c>
      <c r="M250" s="225" t="s">
        <v>502</v>
      </c>
    </row>
    <row r="251" spans="1:13" x14ac:dyDescent="0.2">
      <c r="A251" s="222">
        <v>25890</v>
      </c>
      <c r="B251" s="222" t="s">
        <v>813</v>
      </c>
      <c r="C251" s="222" t="s">
        <v>1</v>
      </c>
      <c r="D251" s="268">
        <f t="shared" si="3"/>
        <v>24010.695187165773</v>
      </c>
      <c r="E251" s="269">
        <v>1</v>
      </c>
      <c r="F251" s="254" t="s">
        <v>543</v>
      </c>
      <c r="G251" s="222" t="s">
        <v>524</v>
      </c>
      <c r="H251" s="222" t="s">
        <v>581</v>
      </c>
      <c r="I251" s="224" t="s">
        <v>525</v>
      </c>
      <c r="J251" s="225" t="s">
        <v>526</v>
      </c>
      <c r="K251" s="225" t="s">
        <v>528</v>
      </c>
      <c r="L251" s="268">
        <v>44900</v>
      </c>
      <c r="M251" s="225" t="s">
        <v>502</v>
      </c>
    </row>
    <row r="252" spans="1:13" x14ac:dyDescent="0.2">
      <c r="A252" s="222">
        <v>26467</v>
      </c>
      <c r="B252" s="222" t="s">
        <v>600</v>
      </c>
      <c r="C252" s="222" t="s">
        <v>498</v>
      </c>
      <c r="D252" s="268">
        <f t="shared" si="3"/>
        <v>32032.085561497326</v>
      </c>
      <c r="E252" s="269">
        <v>1</v>
      </c>
      <c r="F252" s="254" t="s">
        <v>543</v>
      </c>
      <c r="G252" s="222" t="s">
        <v>524</v>
      </c>
      <c r="H252" s="222" t="s">
        <v>579</v>
      </c>
      <c r="I252" s="224" t="s">
        <v>502</v>
      </c>
      <c r="J252" s="225" t="s">
        <v>526</v>
      </c>
      <c r="K252" s="225" t="s">
        <v>718</v>
      </c>
      <c r="L252" s="268">
        <v>59900</v>
      </c>
      <c r="M252" s="225" t="s">
        <v>502</v>
      </c>
    </row>
    <row r="253" spans="1:13" x14ac:dyDescent="0.2">
      <c r="A253" s="222">
        <v>83680</v>
      </c>
      <c r="B253" s="222" t="s">
        <v>696</v>
      </c>
      <c r="C253" s="222" t="s">
        <v>43</v>
      </c>
      <c r="D253" s="268">
        <f t="shared" si="3"/>
        <v>25080.213903743315</v>
      </c>
      <c r="E253" s="269">
        <v>1</v>
      </c>
      <c r="F253" s="254" t="s">
        <v>543</v>
      </c>
      <c r="G253" s="222" t="s">
        <v>524</v>
      </c>
      <c r="H253" s="222" t="s">
        <v>579</v>
      </c>
      <c r="I253" s="224" t="s">
        <v>502</v>
      </c>
      <c r="J253" s="225" t="s">
        <v>526</v>
      </c>
      <c r="K253" s="225" t="s">
        <v>536</v>
      </c>
      <c r="L253" s="268">
        <v>46900</v>
      </c>
      <c r="M253" s="225" t="s">
        <v>502</v>
      </c>
    </row>
    <row r="254" spans="1:13" x14ac:dyDescent="0.2">
      <c r="A254" s="222">
        <v>83681</v>
      </c>
      <c r="B254" s="222" t="s">
        <v>696</v>
      </c>
      <c r="C254" s="222" t="s">
        <v>42</v>
      </c>
      <c r="D254" s="268">
        <f t="shared" si="3"/>
        <v>25080.213903743315</v>
      </c>
      <c r="E254" s="269">
        <v>1</v>
      </c>
      <c r="F254" s="254" t="s">
        <v>543</v>
      </c>
      <c r="G254" s="222" t="s">
        <v>524</v>
      </c>
      <c r="H254" s="222" t="s">
        <v>579</v>
      </c>
      <c r="I254" s="224" t="s">
        <v>502</v>
      </c>
      <c r="J254" s="225" t="s">
        <v>526</v>
      </c>
      <c r="K254" s="225" t="s">
        <v>536</v>
      </c>
      <c r="L254" s="268">
        <v>46900</v>
      </c>
      <c r="M254" s="225" t="s">
        <v>502</v>
      </c>
    </row>
    <row r="255" spans="1:13" x14ac:dyDescent="0.2">
      <c r="A255" s="222">
        <v>83682</v>
      </c>
      <c r="B255" s="222" t="s">
        <v>696</v>
      </c>
      <c r="C255" s="222" t="s">
        <v>44</v>
      </c>
      <c r="D255" s="268">
        <f t="shared" si="3"/>
        <v>25080.213903743315</v>
      </c>
      <c r="E255" s="269">
        <v>1</v>
      </c>
      <c r="F255" s="254" t="s">
        <v>543</v>
      </c>
      <c r="G255" s="222" t="s">
        <v>524</v>
      </c>
      <c r="H255" s="222" t="s">
        <v>579</v>
      </c>
      <c r="I255" s="224" t="s">
        <v>502</v>
      </c>
      <c r="J255" s="225" t="s">
        <v>526</v>
      </c>
      <c r="K255" s="225" t="s">
        <v>536</v>
      </c>
      <c r="L255" s="268">
        <v>46900</v>
      </c>
      <c r="M255" s="225" t="s">
        <v>502</v>
      </c>
    </row>
    <row r="256" spans="1:13" x14ac:dyDescent="0.2">
      <c r="A256" s="222">
        <v>88030</v>
      </c>
      <c r="B256" s="222" t="s">
        <v>812</v>
      </c>
      <c r="C256" s="222" t="s">
        <v>43</v>
      </c>
      <c r="D256" s="268">
        <f t="shared" si="3"/>
        <v>24545.454545454544</v>
      </c>
      <c r="E256" s="269">
        <v>1</v>
      </c>
      <c r="F256" s="254" t="s">
        <v>543</v>
      </c>
      <c r="G256" s="222" t="s">
        <v>524</v>
      </c>
      <c r="H256" s="222" t="s">
        <v>579</v>
      </c>
      <c r="I256" s="224" t="s">
        <v>502</v>
      </c>
      <c r="J256" s="225" t="s">
        <v>526</v>
      </c>
      <c r="K256" s="225" t="s">
        <v>536</v>
      </c>
      <c r="L256" s="268">
        <v>45900</v>
      </c>
      <c r="M256" s="225" t="s">
        <v>502</v>
      </c>
    </row>
    <row r="257" spans="1:13" x14ac:dyDescent="0.2">
      <c r="A257" s="222">
        <v>88028</v>
      </c>
      <c r="B257" s="222" t="s">
        <v>812</v>
      </c>
      <c r="C257" s="222" t="s">
        <v>44</v>
      </c>
      <c r="D257" s="268">
        <f t="shared" si="3"/>
        <v>24545.454545454544</v>
      </c>
      <c r="E257" s="269">
        <v>1</v>
      </c>
      <c r="F257" s="254" t="s">
        <v>543</v>
      </c>
      <c r="G257" s="222" t="s">
        <v>524</v>
      </c>
      <c r="H257" s="222" t="s">
        <v>579</v>
      </c>
      <c r="I257" s="224" t="s">
        <v>502</v>
      </c>
      <c r="J257" s="225" t="s">
        <v>526</v>
      </c>
      <c r="K257" s="225" t="s">
        <v>536</v>
      </c>
      <c r="L257" s="268">
        <v>45900</v>
      </c>
      <c r="M257" s="225" t="s">
        <v>502</v>
      </c>
    </row>
    <row r="258" spans="1:13" x14ac:dyDescent="0.2">
      <c r="A258" s="222">
        <v>88334</v>
      </c>
      <c r="B258" s="222" t="s">
        <v>814</v>
      </c>
      <c r="C258" s="222" t="s">
        <v>44</v>
      </c>
      <c r="D258" s="268">
        <f t="shared" si="3"/>
        <v>21871.657754010695</v>
      </c>
      <c r="E258" s="269">
        <v>1</v>
      </c>
      <c r="F258" s="254" t="s">
        <v>543</v>
      </c>
      <c r="G258" s="222" t="s">
        <v>524</v>
      </c>
      <c r="H258" s="222" t="s">
        <v>581</v>
      </c>
      <c r="I258" s="224" t="s">
        <v>525</v>
      </c>
      <c r="J258" s="225" t="s">
        <v>526</v>
      </c>
      <c r="K258" s="225" t="s">
        <v>536</v>
      </c>
      <c r="L258" s="268">
        <v>40900</v>
      </c>
      <c r="M258" s="225" t="s">
        <v>502</v>
      </c>
    </row>
    <row r="259" spans="1:13" x14ac:dyDescent="0.2">
      <c r="A259" s="222">
        <v>88331</v>
      </c>
      <c r="B259" s="222" t="s">
        <v>814</v>
      </c>
      <c r="C259" s="222" t="s">
        <v>43</v>
      </c>
      <c r="D259" s="268">
        <f t="shared" si="3"/>
        <v>21871.657754010695</v>
      </c>
      <c r="E259" s="269">
        <v>1</v>
      </c>
      <c r="F259" s="254" t="s">
        <v>543</v>
      </c>
      <c r="G259" s="222" t="s">
        <v>524</v>
      </c>
      <c r="H259" s="222" t="s">
        <v>581</v>
      </c>
      <c r="I259" s="224" t="s">
        <v>525</v>
      </c>
      <c r="J259" s="225" t="s">
        <v>526</v>
      </c>
      <c r="K259" s="225" t="s">
        <v>536</v>
      </c>
      <c r="L259" s="268">
        <v>40900</v>
      </c>
      <c r="M259" s="225" t="s">
        <v>502</v>
      </c>
    </row>
    <row r="260" spans="1:13" x14ac:dyDescent="0.2">
      <c r="A260" s="222">
        <v>27383</v>
      </c>
      <c r="B260" s="222" t="s">
        <v>913</v>
      </c>
      <c r="C260" s="222" t="s">
        <v>914</v>
      </c>
      <c r="D260" s="268">
        <f t="shared" si="3"/>
        <v>26684.491978609625</v>
      </c>
      <c r="E260" s="269">
        <v>1</v>
      </c>
      <c r="F260" s="254" t="s">
        <v>545</v>
      </c>
      <c r="G260" s="222" t="s">
        <v>58</v>
      </c>
      <c r="H260" s="222" t="s">
        <v>908</v>
      </c>
      <c r="I260" s="224" t="s">
        <v>502</v>
      </c>
      <c r="J260" s="225" t="s">
        <v>526</v>
      </c>
      <c r="K260" s="225" t="s">
        <v>888</v>
      </c>
      <c r="L260" s="268">
        <v>49900</v>
      </c>
      <c r="M260" s="225" t="s">
        <v>502</v>
      </c>
    </row>
    <row r="261" spans="1:13" x14ac:dyDescent="0.2">
      <c r="A261" s="222">
        <v>27384</v>
      </c>
      <c r="B261" s="222" t="s">
        <v>913</v>
      </c>
      <c r="C261" s="222" t="s">
        <v>915</v>
      </c>
      <c r="D261" s="268">
        <f t="shared" si="3"/>
        <v>26684.491978609625</v>
      </c>
      <c r="E261" s="269">
        <v>1</v>
      </c>
      <c r="F261" s="254" t="s">
        <v>545</v>
      </c>
      <c r="G261" s="222" t="s">
        <v>58</v>
      </c>
      <c r="H261" s="222" t="s">
        <v>908</v>
      </c>
      <c r="I261" s="224" t="s">
        <v>502</v>
      </c>
      <c r="J261" s="225" t="s">
        <v>526</v>
      </c>
      <c r="K261" s="225" t="s">
        <v>888</v>
      </c>
      <c r="L261" s="268">
        <v>49900</v>
      </c>
      <c r="M261" s="225" t="s">
        <v>502</v>
      </c>
    </row>
    <row r="262" spans="1:13" x14ac:dyDescent="0.2">
      <c r="A262" s="222">
        <v>27385</v>
      </c>
      <c r="B262" s="222" t="s">
        <v>913</v>
      </c>
      <c r="C262" s="222" t="s">
        <v>708</v>
      </c>
      <c r="D262" s="268">
        <f t="shared" si="3"/>
        <v>26684.491978609625</v>
      </c>
      <c r="E262" s="269">
        <v>1</v>
      </c>
      <c r="F262" s="254" t="s">
        <v>545</v>
      </c>
      <c r="G262" s="222" t="s">
        <v>58</v>
      </c>
      <c r="H262" s="222" t="s">
        <v>908</v>
      </c>
      <c r="I262" s="224" t="s">
        <v>502</v>
      </c>
      <c r="J262" s="225" t="s">
        <v>526</v>
      </c>
      <c r="K262" s="225" t="s">
        <v>888</v>
      </c>
      <c r="L262" s="268">
        <v>49900</v>
      </c>
      <c r="M262" s="225" t="s">
        <v>502</v>
      </c>
    </row>
    <row r="263" spans="1:13" x14ac:dyDescent="0.2">
      <c r="A263" s="222"/>
      <c r="B263" s="222"/>
      <c r="C263" s="222"/>
      <c r="D263" s="232"/>
      <c r="E263" s="119"/>
      <c r="F263" s="120"/>
      <c r="G263" s="222"/>
      <c r="H263" s="222"/>
      <c r="I263" s="224"/>
      <c r="J263" s="225"/>
      <c r="K263" s="225"/>
      <c r="L263" s="233"/>
      <c r="M263" s="225"/>
    </row>
    <row r="264" spans="1:13" x14ac:dyDescent="0.2">
      <c r="A264" s="222"/>
      <c r="B264" s="222"/>
      <c r="C264" s="222"/>
      <c r="D264" s="232"/>
      <c r="E264" s="119"/>
      <c r="F264" s="120"/>
      <c r="G264" s="222"/>
      <c r="H264" s="222"/>
      <c r="I264" s="224"/>
      <c r="J264" s="225"/>
      <c r="K264" s="225"/>
      <c r="L264" s="233"/>
      <c r="M264" s="225"/>
    </row>
    <row r="265" spans="1:13" x14ac:dyDescent="0.2">
      <c r="A265" s="222"/>
      <c r="B265" s="222"/>
      <c r="C265" s="222"/>
      <c r="D265" s="232"/>
      <c r="E265" s="119"/>
      <c r="F265" s="120"/>
      <c r="G265" s="222"/>
      <c r="H265" s="222"/>
      <c r="I265" s="224"/>
      <c r="J265" s="225"/>
      <c r="K265" s="225"/>
      <c r="L265" s="233"/>
      <c r="M265" s="225"/>
    </row>
    <row r="266" spans="1:13" x14ac:dyDescent="0.2">
      <c r="A266" s="222"/>
      <c r="B266" s="222"/>
      <c r="C266" s="222"/>
      <c r="D266" s="232"/>
      <c r="E266" s="119"/>
      <c r="F266" s="120"/>
      <c r="G266" s="222"/>
      <c r="H266" s="222"/>
      <c r="I266" s="224"/>
      <c r="J266" s="225"/>
      <c r="K266" s="225"/>
      <c r="L266" s="233"/>
      <c r="M266" s="225"/>
    </row>
    <row r="267" spans="1:13" x14ac:dyDescent="0.2">
      <c r="A267" s="222"/>
      <c r="B267" s="222"/>
      <c r="C267" s="222"/>
      <c r="D267" s="232"/>
      <c r="E267" s="119"/>
      <c r="F267" s="120"/>
      <c r="G267" s="222"/>
      <c r="H267" s="222"/>
      <c r="I267" s="224"/>
      <c r="J267" s="225"/>
      <c r="K267" s="225"/>
      <c r="L267" s="233"/>
      <c r="M267" s="225"/>
    </row>
    <row r="268" spans="1:13" x14ac:dyDescent="0.2">
      <c r="A268" s="222"/>
      <c r="B268" s="222"/>
      <c r="C268" s="222"/>
      <c r="D268" s="232"/>
      <c r="E268" s="119"/>
      <c r="F268" s="120"/>
      <c r="G268" s="222"/>
      <c r="H268" s="222"/>
      <c r="I268" s="224"/>
      <c r="J268" s="225"/>
      <c r="K268" s="225"/>
      <c r="L268" s="233"/>
      <c r="M268" s="225"/>
    </row>
    <row r="269" spans="1:13" x14ac:dyDescent="0.2">
      <c r="A269" s="222"/>
      <c r="B269" s="222"/>
      <c r="C269" s="222"/>
      <c r="D269" s="232"/>
      <c r="E269" s="119"/>
      <c r="F269" s="120"/>
      <c r="G269" s="222"/>
      <c r="H269" s="222"/>
      <c r="I269" s="224"/>
      <c r="J269" s="225"/>
      <c r="K269" s="225"/>
      <c r="L269" s="233"/>
      <c r="M269" s="225"/>
    </row>
    <row r="270" spans="1:13" x14ac:dyDescent="0.2">
      <c r="A270" s="222"/>
      <c r="B270" s="222"/>
      <c r="C270" s="222"/>
      <c r="D270" s="232"/>
      <c r="E270" s="119"/>
      <c r="F270" s="120"/>
      <c r="G270" s="222"/>
      <c r="H270" s="222"/>
      <c r="I270" s="224"/>
      <c r="J270" s="225"/>
      <c r="K270" s="225"/>
      <c r="L270" s="233"/>
      <c r="M270" s="225"/>
    </row>
    <row r="271" spans="1:13" x14ac:dyDescent="0.2">
      <c r="A271" s="222"/>
      <c r="B271" s="222"/>
      <c r="C271" s="222"/>
      <c r="D271" s="232"/>
      <c r="E271" s="119"/>
      <c r="F271" s="120"/>
      <c r="G271" s="222"/>
      <c r="H271" s="222"/>
      <c r="I271" s="224"/>
      <c r="J271" s="225"/>
      <c r="K271" s="225"/>
      <c r="L271" s="233"/>
      <c r="M271" s="225"/>
    </row>
    <row r="272" spans="1:13" x14ac:dyDescent="0.2">
      <c r="A272" s="222"/>
      <c r="B272" s="222"/>
      <c r="C272" s="222"/>
      <c r="D272" s="232"/>
      <c r="E272" s="119"/>
      <c r="F272" s="120"/>
      <c r="G272" s="222"/>
      <c r="H272" s="222"/>
      <c r="I272" s="224"/>
      <c r="J272" s="225"/>
      <c r="K272" s="225"/>
      <c r="L272" s="233"/>
      <c r="M272" s="225"/>
    </row>
    <row r="273" spans="1:13" x14ac:dyDescent="0.2">
      <c r="A273" s="222"/>
      <c r="B273" s="222"/>
      <c r="C273" s="222"/>
      <c r="D273" s="232"/>
      <c r="E273" s="119"/>
      <c r="F273" s="120"/>
      <c r="G273" s="222"/>
      <c r="H273" s="222"/>
      <c r="I273" s="224"/>
      <c r="J273" s="225"/>
      <c r="K273" s="225"/>
      <c r="L273" s="233"/>
      <c r="M273" s="225"/>
    </row>
    <row r="274" spans="1:13" x14ac:dyDescent="0.2">
      <c r="A274" s="222"/>
      <c r="B274" s="222"/>
      <c r="C274" s="222"/>
      <c r="D274" s="232"/>
      <c r="E274" s="119"/>
      <c r="F274" s="120"/>
      <c r="G274" s="222"/>
      <c r="H274" s="222"/>
      <c r="I274" s="224"/>
      <c r="J274" s="225"/>
      <c r="K274" s="225"/>
      <c r="L274" s="233"/>
      <c r="M274" s="225"/>
    </row>
    <row r="275" spans="1:13" x14ac:dyDescent="0.2">
      <c r="A275" s="222"/>
      <c r="B275" s="222"/>
      <c r="C275" s="222"/>
      <c r="D275" s="232"/>
      <c r="E275" s="119"/>
      <c r="F275" s="120"/>
      <c r="G275" s="222"/>
      <c r="H275" s="222"/>
      <c r="I275" s="224"/>
      <c r="J275" s="225"/>
      <c r="K275" s="225"/>
      <c r="L275" s="233"/>
      <c r="M275" s="225"/>
    </row>
    <row r="276" spans="1:13" x14ac:dyDescent="0.2">
      <c r="A276" s="222"/>
      <c r="B276" s="222"/>
      <c r="C276" s="222"/>
      <c r="D276" s="232"/>
      <c r="E276" s="119"/>
      <c r="F276" s="120"/>
      <c r="G276" s="222"/>
      <c r="H276" s="222"/>
      <c r="I276" s="224"/>
      <c r="J276" s="225"/>
      <c r="K276" s="225"/>
      <c r="L276" s="233"/>
      <c r="M276" s="225"/>
    </row>
    <row r="277" spans="1:13" x14ac:dyDescent="0.2">
      <c r="A277" s="222"/>
      <c r="B277" s="222"/>
      <c r="C277" s="222"/>
      <c r="D277" s="232"/>
      <c r="E277" s="119"/>
      <c r="F277" s="120"/>
      <c r="G277" s="222"/>
      <c r="H277" s="222"/>
      <c r="I277" s="224"/>
      <c r="J277" s="225"/>
      <c r="K277" s="225"/>
      <c r="L277" s="233"/>
      <c r="M277" s="225"/>
    </row>
    <row r="278" spans="1:13" x14ac:dyDescent="0.2">
      <c r="A278" s="222"/>
      <c r="B278" s="222"/>
      <c r="C278" s="222"/>
      <c r="D278" s="232"/>
      <c r="E278" s="119"/>
      <c r="F278" s="120"/>
      <c r="G278" s="222"/>
      <c r="H278" s="222"/>
      <c r="I278" s="224"/>
      <c r="J278" s="225"/>
      <c r="K278" s="225"/>
      <c r="L278" s="233"/>
      <c r="M278" s="225"/>
    </row>
    <row r="279" spans="1:13" x14ac:dyDescent="0.2">
      <c r="A279" s="222"/>
      <c r="B279" s="222"/>
      <c r="C279" s="222"/>
      <c r="D279" s="232"/>
      <c r="E279" s="119"/>
      <c r="F279" s="120"/>
      <c r="G279" s="222"/>
      <c r="H279" s="222"/>
      <c r="I279" s="224"/>
      <c r="J279" s="225"/>
      <c r="K279" s="225"/>
      <c r="L279" s="233"/>
      <c r="M279" s="225"/>
    </row>
    <row r="280" spans="1:13" x14ac:dyDescent="0.2">
      <c r="A280" s="222"/>
      <c r="B280" s="222"/>
      <c r="C280" s="222"/>
      <c r="D280" s="232"/>
      <c r="E280" s="119"/>
      <c r="F280" s="120"/>
      <c r="G280" s="222"/>
      <c r="H280" s="222"/>
      <c r="I280" s="224"/>
      <c r="J280" s="225"/>
      <c r="K280" s="225"/>
      <c r="L280" s="233"/>
      <c r="M280" s="225"/>
    </row>
    <row r="281" spans="1:13" x14ac:dyDescent="0.2">
      <c r="A281" s="222"/>
      <c r="B281" s="222"/>
      <c r="C281" s="222"/>
      <c r="D281" s="232"/>
      <c r="E281" s="119"/>
      <c r="F281" s="120"/>
      <c r="G281" s="222"/>
      <c r="H281" s="222"/>
      <c r="I281" s="224"/>
      <c r="J281" s="225"/>
      <c r="K281" s="225"/>
      <c r="L281" s="233"/>
      <c r="M281" s="225"/>
    </row>
    <row r="282" spans="1:13" x14ac:dyDescent="0.2">
      <c r="A282" s="222"/>
      <c r="B282" s="222"/>
      <c r="C282" s="222"/>
      <c r="D282" s="232"/>
      <c r="E282" s="119"/>
      <c r="F282" s="120"/>
      <c r="G282" s="222"/>
      <c r="H282" s="222"/>
      <c r="I282" s="224"/>
      <c r="J282" s="225"/>
      <c r="K282" s="225"/>
      <c r="L282" s="233"/>
    </row>
    <row r="283" spans="1:13" x14ac:dyDescent="0.2">
      <c r="A283" s="222"/>
      <c r="B283" s="222"/>
      <c r="C283" s="222"/>
      <c r="D283" s="232"/>
      <c r="E283" s="119"/>
      <c r="F283" s="120"/>
      <c r="G283" s="222"/>
      <c r="H283" s="222"/>
      <c r="I283" s="224"/>
      <c r="J283" s="225"/>
      <c r="K283" s="225"/>
      <c r="L283" s="233"/>
    </row>
    <row r="284" spans="1:13" x14ac:dyDescent="0.2">
      <c r="A284" s="222"/>
      <c r="B284" s="222"/>
      <c r="C284" s="222"/>
      <c r="D284" s="232"/>
      <c r="E284" s="119"/>
      <c r="F284" s="120"/>
      <c r="G284" s="222"/>
      <c r="H284" s="222"/>
      <c r="I284" s="224"/>
      <c r="J284" s="225"/>
      <c r="K284" s="225"/>
      <c r="L284" s="233"/>
    </row>
    <row r="285" spans="1:13" x14ac:dyDescent="0.2">
      <c r="A285" s="222"/>
      <c r="B285" s="222"/>
      <c r="C285" s="222"/>
      <c r="D285" s="232"/>
      <c r="E285" s="119"/>
      <c r="F285" s="120"/>
      <c r="G285" s="222"/>
      <c r="H285" s="222"/>
      <c r="I285" s="224"/>
      <c r="J285" s="225"/>
      <c r="K285" s="225"/>
      <c r="L285" s="233"/>
    </row>
    <row r="286" spans="1:13" x14ac:dyDescent="0.2">
      <c r="A286" s="222"/>
      <c r="B286" s="222"/>
      <c r="C286" s="222"/>
      <c r="D286" s="232"/>
      <c r="E286" s="119"/>
      <c r="F286" s="120"/>
      <c r="G286" s="222"/>
      <c r="H286" s="222"/>
      <c r="I286" s="224"/>
      <c r="J286" s="225"/>
      <c r="K286" s="225"/>
      <c r="L286" s="233"/>
    </row>
    <row r="287" spans="1:13" x14ac:dyDescent="0.2">
      <c r="A287" s="222"/>
      <c r="B287" s="222"/>
      <c r="C287" s="222"/>
      <c r="D287" s="232"/>
      <c r="E287" s="119"/>
      <c r="F287" s="120"/>
      <c r="G287" s="222"/>
      <c r="H287" s="222"/>
      <c r="I287" s="224"/>
      <c r="J287" s="225"/>
      <c r="K287" s="225"/>
      <c r="L287" s="233"/>
    </row>
    <row r="288" spans="1:13" x14ac:dyDescent="0.2">
      <c r="A288" s="222"/>
      <c r="B288" s="222"/>
      <c r="C288" s="222"/>
      <c r="D288" s="232"/>
      <c r="E288" s="119"/>
      <c r="F288" s="120"/>
      <c r="G288" s="222"/>
      <c r="H288" s="222"/>
      <c r="I288" s="224"/>
      <c r="J288" s="225"/>
      <c r="K288" s="225"/>
      <c r="L288" s="233"/>
    </row>
    <row r="289" spans="1:12" x14ac:dyDescent="0.2">
      <c r="A289" s="222"/>
      <c r="B289" s="222"/>
      <c r="C289" s="222"/>
      <c r="D289" s="232"/>
      <c r="E289" s="119"/>
      <c r="F289" s="120"/>
      <c r="G289" s="222"/>
      <c r="H289" s="222"/>
      <c r="I289" s="224"/>
      <c r="J289" s="225"/>
      <c r="K289" s="225"/>
      <c r="L289" s="233"/>
    </row>
    <row r="290" spans="1:12" x14ac:dyDescent="0.2">
      <c r="A290" s="222"/>
      <c r="B290" s="222"/>
      <c r="C290" s="222"/>
      <c r="D290" s="232"/>
      <c r="E290" s="119"/>
      <c r="F290" s="120"/>
      <c r="G290" s="222"/>
      <c r="H290" s="222"/>
      <c r="I290" s="224"/>
      <c r="J290" s="225"/>
      <c r="K290" s="225"/>
      <c r="L290" s="233"/>
    </row>
    <row r="291" spans="1:12" x14ac:dyDescent="0.2">
      <c r="A291" s="222"/>
      <c r="B291" s="222"/>
      <c r="C291" s="222"/>
      <c r="D291" s="232"/>
      <c r="E291" s="119"/>
      <c r="F291" s="120"/>
      <c r="G291" s="222"/>
      <c r="H291" s="222"/>
      <c r="I291" s="224"/>
      <c r="J291" s="225"/>
      <c r="K291" s="225"/>
      <c r="L291" s="233"/>
    </row>
    <row r="292" spans="1:12" x14ac:dyDescent="0.2">
      <c r="A292" s="222"/>
      <c r="B292" s="222"/>
      <c r="C292" s="222"/>
      <c r="D292" s="232"/>
      <c r="E292" s="119"/>
      <c r="F292" s="120"/>
      <c r="G292" s="222"/>
      <c r="H292" s="222"/>
      <c r="I292" s="224"/>
      <c r="J292" s="225"/>
      <c r="K292" s="225"/>
      <c r="L292" s="233"/>
    </row>
    <row r="293" spans="1:12" x14ac:dyDescent="0.2">
      <c r="A293" s="222"/>
      <c r="B293" s="222"/>
      <c r="C293" s="222"/>
      <c r="D293" s="232"/>
      <c r="E293" s="119"/>
      <c r="F293" s="120"/>
      <c r="G293" s="222"/>
      <c r="H293" s="222"/>
      <c r="I293" s="224"/>
      <c r="J293" s="225"/>
      <c r="K293" s="225"/>
      <c r="L293" s="233"/>
    </row>
    <row r="294" spans="1:12" x14ac:dyDescent="0.2">
      <c r="A294" s="222"/>
      <c r="B294" s="222"/>
      <c r="C294" s="222"/>
      <c r="D294" s="223"/>
      <c r="E294" s="119"/>
      <c r="F294" s="120"/>
      <c r="G294" s="222"/>
      <c r="H294" s="225"/>
      <c r="I294" s="224"/>
      <c r="J294" s="222"/>
      <c r="K294" s="225"/>
      <c r="L294" s="223"/>
    </row>
    <row r="295" spans="1:12" x14ac:dyDescent="0.2">
      <c r="A295" s="222"/>
      <c r="B295" s="222"/>
      <c r="C295" s="222"/>
      <c r="D295" s="223"/>
      <c r="E295" s="119"/>
      <c r="F295" s="120"/>
      <c r="G295" s="222"/>
      <c r="H295" s="225"/>
      <c r="I295" s="224"/>
      <c r="J295" s="222"/>
      <c r="K295" s="225"/>
      <c r="L295" s="223"/>
    </row>
    <row r="296" spans="1:12" x14ac:dyDescent="0.2">
      <c r="A296" s="222"/>
      <c r="B296" s="222"/>
      <c r="C296" s="222"/>
      <c r="D296" s="223"/>
      <c r="E296" s="119"/>
      <c r="F296" s="120"/>
      <c r="G296" s="222"/>
      <c r="H296" s="225"/>
      <c r="I296" s="224"/>
      <c r="J296" s="222"/>
      <c r="K296" s="225"/>
      <c r="L296" s="223"/>
    </row>
    <row r="297" spans="1:12" x14ac:dyDescent="0.2">
      <c r="A297" s="222"/>
      <c r="B297" s="222"/>
      <c r="C297" s="222"/>
      <c r="D297" s="223"/>
      <c r="E297" s="119"/>
      <c r="F297" s="120"/>
      <c r="G297" s="222"/>
      <c r="H297" s="225"/>
      <c r="I297" s="224"/>
      <c r="J297" s="222"/>
      <c r="K297" s="225"/>
      <c r="L297" s="223"/>
    </row>
    <row r="298" spans="1:12" x14ac:dyDescent="0.2">
      <c r="A298" s="222"/>
      <c r="B298" s="222"/>
      <c r="C298" s="222"/>
      <c r="D298" s="223"/>
      <c r="E298" s="119"/>
      <c r="F298" s="120"/>
      <c r="G298" s="222"/>
      <c r="H298" s="225"/>
      <c r="I298" s="224"/>
      <c r="J298" s="222"/>
      <c r="K298" s="225"/>
      <c r="L298" s="223"/>
    </row>
    <row r="299" spans="1:12" x14ac:dyDescent="0.2">
      <c r="A299" s="234"/>
      <c r="B299" s="222"/>
      <c r="C299" s="222"/>
      <c r="D299" s="223"/>
      <c r="E299" s="119"/>
      <c r="F299" s="120"/>
      <c r="G299" s="222"/>
      <c r="H299" s="225"/>
      <c r="I299" s="224"/>
      <c r="J299" s="225"/>
      <c r="K299" s="225"/>
      <c r="L299" s="223"/>
    </row>
    <row r="300" spans="1:12" x14ac:dyDescent="0.2">
      <c r="A300" s="234"/>
      <c r="B300" s="222"/>
      <c r="C300" s="222"/>
      <c r="D300" s="223"/>
      <c r="E300" s="119"/>
      <c r="F300" s="120"/>
      <c r="G300" s="222"/>
      <c r="H300" s="225"/>
      <c r="I300" s="224"/>
      <c r="J300" s="225"/>
      <c r="K300" s="225"/>
      <c r="L300" s="223"/>
    </row>
    <row r="301" spans="1:12" x14ac:dyDescent="0.2">
      <c r="A301" s="222"/>
      <c r="B301" s="222"/>
      <c r="C301" s="222"/>
      <c r="D301" s="223"/>
      <c r="E301" s="119"/>
      <c r="F301" s="120"/>
      <c r="G301" s="222"/>
      <c r="H301" s="225"/>
      <c r="I301" s="224"/>
      <c r="J301" s="225"/>
      <c r="K301" s="225"/>
      <c r="L301" s="223"/>
    </row>
    <row r="302" spans="1:12" x14ac:dyDescent="0.2">
      <c r="A302" s="222"/>
      <c r="B302" s="222"/>
      <c r="C302" s="222"/>
      <c r="D302" s="223"/>
      <c r="E302" s="119"/>
      <c r="F302" s="120"/>
      <c r="G302" s="222"/>
      <c r="H302" s="225"/>
      <c r="I302" s="224"/>
      <c r="J302" s="225"/>
      <c r="K302" s="225"/>
      <c r="L302" s="223"/>
    </row>
    <row r="303" spans="1:12" x14ac:dyDescent="0.2">
      <c r="A303" s="222"/>
      <c r="B303" s="222"/>
      <c r="C303" s="222"/>
      <c r="D303" s="223"/>
      <c r="E303" s="119"/>
      <c r="F303" s="120"/>
      <c r="G303" s="222"/>
      <c r="H303" s="225"/>
      <c r="I303" s="224"/>
      <c r="J303" s="225"/>
      <c r="K303" s="225"/>
      <c r="L303" s="223"/>
    </row>
    <row r="304" spans="1:12" x14ac:dyDescent="0.2">
      <c r="A304" s="222"/>
      <c r="B304" s="222"/>
      <c r="C304" s="222"/>
      <c r="D304" s="223"/>
      <c r="E304" s="119"/>
      <c r="F304" s="120"/>
      <c r="G304" s="222"/>
      <c r="H304" s="225"/>
      <c r="I304" s="224"/>
      <c r="J304" s="225"/>
      <c r="K304" s="225"/>
      <c r="L304" s="223"/>
    </row>
    <row r="305" spans="1:12" x14ac:dyDescent="0.2">
      <c r="A305" s="222"/>
      <c r="B305" s="222"/>
      <c r="C305" s="222"/>
      <c r="D305" s="223"/>
      <c r="E305" s="119"/>
      <c r="F305" s="120"/>
      <c r="G305" s="222"/>
      <c r="H305" s="225"/>
      <c r="I305" s="224"/>
      <c r="J305" s="225"/>
      <c r="K305" s="225"/>
      <c r="L305" s="223"/>
    </row>
    <row r="306" spans="1:12" x14ac:dyDescent="0.2">
      <c r="A306" s="222"/>
      <c r="B306" s="222"/>
      <c r="C306" s="222"/>
      <c r="D306" s="223"/>
      <c r="E306" s="119"/>
      <c r="F306" s="120"/>
      <c r="G306" s="222"/>
      <c r="H306" s="225"/>
      <c r="I306" s="224"/>
      <c r="J306" s="225"/>
      <c r="K306" s="225"/>
      <c r="L306" s="223"/>
    </row>
    <row r="307" spans="1:12" x14ac:dyDescent="0.2">
      <c r="A307" s="222"/>
      <c r="B307" s="222"/>
      <c r="C307" s="222"/>
      <c r="D307" s="223"/>
      <c r="E307" s="119"/>
      <c r="F307" s="120"/>
      <c r="G307" s="222"/>
      <c r="H307" s="225"/>
      <c r="I307" s="224"/>
      <c r="J307" s="225"/>
      <c r="K307" s="225"/>
      <c r="L307" s="223"/>
    </row>
    <row r="308" spans="1:12" x14ac:dyDescent="0.2">
      <c r="A308" s="222"/>
      <c r="B308" s="222"/>
      <c r="C308" s="222"/>
      <c r="D308" s="223"/>
      <c r="E308" s="119"/>
      <c r="F308" s="120"/>
      <c r="G308" s="222"/>
      <c r="H308" s="225"/>
      <c r="I308" s="224"/>
      <c r="J308" s="225"/>
      <c r="K308" s="225"/>
      <c r="L308" s="223"/>
    </row>
    <row r="309" spans="1:12" x14ac:dyDescent="0.2">
      <c r="A309" s="222"/>
      <c r="B309" s="222"/>
      <c r="C309" s="222"/>
      <c r="D309" s="223"/>
      <c r="E309" s="119"/>
      <c r="F309" s="120"/>
      <c r="G309" s="222"/>
      <c r="H309" s="225"/>
      <c r="I309" s="224"/>
      <c r="J309" s="225"/>
      <c r="K309" s="225"/>
      <c r="L309" s="223"/>
    </row>
    <row r="310" spans="1:12" x14ac:dyDescent="0.2">
      <c r="A310" s="222"/>
      <c r="B310" s="222"/>
      <c r="C310" s="222"/>
      <c r="D310" s="223"/>
      <c r="E310" s="119"/>
      <c r="F310" s="120"/>
      <c r="G310" s="222"/>
      <c r="H310" s="225"/>
      <c r="I310" s="224"/>
      <c r="J310" s="225"/>
      <c r="K310" s="225"/>
      <c r="L310" s="223"/>
    </row>
    <row r="311" spans="1:12" x14ac:dyDescent="0.2">
      <c r="A311" s="222"/>
      <c r="B311" s="222"/>
      <c r="C311" s="222"/>
      <c r="D311" s="223"/>
      <c r="E311" s="119"/>
      <c r="F311" s="120"/>
      <c r="G311" s="222"/>
      <c r="H311" s="225"/>
      <c r="I311" s="224"/>
      <c r="J311" s="225"/>
      <c r="K311" s="225"/>
      <c r="L311" s="223"/>
    </row>
    <row r="312" spans="1:12" x14ac:dyDescent="0.2">
      <c r="A312" s="222"/>
      <c r="B312" s="222"/>
      <c r="C312" s="222"/>
      <c r="D312" s="223"/>
      <c r="E312" s="119"/>
      <c r="F312" s="120"/>
      <c r="G312" s="222"/>
      <c r="H312" s="225"/>
      <c r="I312" s="224"/>
      <c r="J312" s="225"/>
      <c r="K312" s="225"/>
      <c r="L312" s="223"/>
    </row>
    <row r="313" spans="1:12" x14ac:dyDescent="0.2">
      <c r="A313" s="222"/>
      <c r="B313" s="222"/>
      <c r="C313" s="222"/>
      <c r="D313" s="223"/>
      <c r="E313" s="119"/>
      <c r="F313" s="120"/>
      <c r="G313" s="222"/>
      <c r="H313" s="225"/>
      <c r="I313" s="224"/>
      <c r="J313" s="225"/>
      <c r="K313" s="225"/>
      <c r="L313" s="223"/>
    </row>
    <row r="314" spans="1:12" x14ac:dyDescent="0.2">
      <c r="A314" s="222"/>
      <c r="B314" s="222"/>
      <c r="C314" s="222"/>
      <c r="D314" s="223"/>
      <c r="E314" s="119"/>
      <c r="F314" s="120"/>
      <c r="G314" s="222"/>
      <c r="H314" s="225"/>
      <c r="I314" s="224"/>
      <c r="J314" s="225"/>
      <c r="K314" s="225"/>
      <c r="L314" s="223"/>
    </row>
    <row r="315" spans="1:12" x14ac:dyDescent="0.2">
      <c r="A315" s="222"/>
      <c r="B315" s="222"/>
      <c r="C315" s="222"/>
      <c r="D315" s="223"/>
      <c r="E315" s="119"/>
      <c r="F315" s="120"/>
      <c r="G315" s="222"/>
      <c r="H315" s="225"/>
      <c r="I315" s="224"/>
      <c r="J315" s="225"/>
      <c r="K315" s="225"/>
      <c r="L315" s="223"/>
    </row>
    <row r="316" spans="1:12" x14ac:dyDescent="0.2">
      <c r="A316" s="222"/>
      <c r="B316" s="222"/>
      <c r="C316" s="222"/>
      <c r="D316" s="223"/>
      <c r="E316" s="119"/>
      <c r="F316" s="120"/>
      <c r="G316" s="222"/>
      <c r="H316" s="225"/>
      <c r="I316" s="224"/>
      <c r="J316" s="225"/>
      <c r="K316" s="225"/>
      <c r="L316" s="223"/>
    </row>
    <row r="317" spans="1:12" x14ac:dyDescent="0.2">
      <c r="A317" s="222"/>
      <c r="B317" s="222"/>
      <c r="C317" s="222"/>
      <c r="D317" s="223"/>
      <c r="E317" s="119"/>
      <c r="F317" s="120"/>
      <c r="G317" s="222"/>
      <c r="H317" s="225"/>
      <c r="I317" s="224"/>
      <c r="J317" s="225"/>
      <c r="K317" s="225"/>
      <c r="L317" s="223"/>
    </row>
    <row r="318" spans="1:12" x14ac:dyDescent="0.2">
      <c r="A318" s="222"/>
      <c r="B318" s="222"/>
      <c r="C318" s="222"/>
      <c r="D318" s="223"/>
      <c r="E318" s="119"/>
      <c r="F318" s="120"/>
      <c r="G318" s="222"/>
      <c r="H318" s="225"/>
      <c r="I318" s="224"/>
      <c r="J318" s="225"/>
      <c r="K318" s="225"/>
      <c r="L318" s="223"/>
    </row>
    <row r="319" spans="1:12" x14ac:dyDescent="0.2">
      <c r="A319" s="222"/>
      <c r="B319" s="222"/>
      <c r="C319" s="222"/>
      <c r="D319" s="223"/>
      <c r="E319" s="119"/>
      <c r="F319" s="120"/>
      <c r="G319" s="222"/>
      <c r="H319" s="225"/>
      <c r="I319" s="224"/>
      <c r="J319" s="225"/>
      <c r="K319" s="225"/>
      <c r="L319" s="223"/>
    </row>
    <row r="320" spans="1:12" x14ac:dyDescent="0.2">
      <c r="A320" s="222"/>
      <c r="B320" s="222"/>
      <c r="C320" s="222"/>
      <c r="D320" s="223"/>
      <c r="E320" s="119"/>
      <c r="F320" s="120"/>
      <c r="G320" s="222"/>
      <c r="H320" s="225"/>
      <c r="I320" s="224"/>
      <c r="J320" s="225"/>
      <c r="K320" s="225"/>
      <c r="L320" s="223"/>
    </row>
    <row r="321" spans="1:12" x14ac:dyDescent="0.2">
      <c r="A321" s="222"/>
      <c r="B321" s="222"/>
      <c r="C321" s="222"/>
      <c r="D321" s="223"/>
      <c r="E321" s="119"/>
      <c r="F321" s="120"/>
      <c r="G321" s="222"/>
      <c r="H321" s="225"/>
      <c r="I321" s="224"/>
      <c r="J321" s="225"/>
      <c r="K321" s="225"/>
      <c r="L321" s="223"/>
    </row>
    <row r="322" spans="1:12" x14ac:dyDescent="0.2">
      <c r="A322" s="222"/>
      <c r="B322" s="222"/>
      <c r="C322" s="222"/>
      <c r="D322" s="223"/>
      <c r="E322" s="119"/>
      <c r="F322" s="120"/>
      <c r="G322" s="222"/>
      <c r="H322" s="225"/>
      <c r="I322" s="224"/>
      <c r="J322" s="225"/>
      <c r="K322" s="225"/>
      <c r="L322" s="223"/>
    </row>
    <row r="323" spans="1:12" x14ac:dyDescent="0.2">
      <c r="A323" s="222"/>
      <c r="B323" s="222"/>
      <c r="C323" s="222"/>
      <c r="D323" s="223"/>
      <c r="E323" s="119"/>
      <c r="F323" s="120"/>
      <c r="G323" s="222"/>
      <c r="H323" s="225"/>
      <c r="I323" s="224"/>
      <c r="J323" s="225"/>
      <c r="K323" s="225"/>
      <c r="L323" s="223"/>
    </row>
    <row r="324" spans="1:12" x14ac:dyDescent="0.2">
      <c r="A324" s="222"/>
      <c r="B324" s="222"/>
      <c r="C324" s="222"/>
      <c r="D324" s="223"/>
      <c r="E324" s="119"/>
      <c r="F324" s="120"/>
      <c r="G324" s="222"/>
      <c r="H324" s="225"/>
      <c r="I324" s="224"/>
      <c r="J324" s="225"/>
      <c r="K324" s="225"/>
      <c r="L324" s="223"/>
    </row>
    <row r="325" spans="1:12" x14ac:dyDescent="0.2">
      <c r="A325" s="222"/>
      <c r="B325" s="222"/>
      <c r="C325" s="222"/>
      <c r="D325" s="223"/>
      <c r="E325" s="119"/>
      <c r="F325" s="120"/>
      <c r="G325" s="222"/>
      <c r="H325" s="225"/>
      <c r="I325" s="224"/>
      <c r="J325" s="225"/>
      <c r="K325" s="225"/>
      <c r="L325" s="223"/>
    </row>
    <row r="326" spans="1:12" x14ac:dyDescent="0.2">
      <c r="A326" s="222"/>
      <c r="B326" s="222"/>
      <c r="C326" s="222"/>
      <c r="D326" s="223"/>
      <c r="E326" s="119"/>
      <c r="F326" s="120"/>
      <c r="G326" s="222"/>
      <c r="H326" s="225"/>
      <c r="I326" s="224"/>
      <c r="J326" s="222"/>
      <c r="K326" s="225"/>
      <c r="L326" s="223"/>
    </row>
    <row r="327" spans="1:12" x14ac:dyDescent="0.2">
      <c r="A327" s="222"/>
      <c r="B327" s="222"/>
      <c r="C327" s="222"/>
      <c r="D327" s="223"/>
      <c r="E327" s="119"/>
      <c r="F327" s="120"/>
      <c r="G327" s="222"/>
      <c r="H327" s="225"/>
      <c r="I327" s="224"/>
      <c r="J327" s="222"/>
      <c r="K327" s="225"/>
      <c r="L327" s="223"/>
    </row>
    <row r="328" spans="1:12" x14ac:dyDescent="0.2">
      <c r="A328" s="222"/>
      <c r="B328" s="222"/>
      <c r="C328" s="222"/>
      <c r="D328" s="223"/>
      <c r="E328" s="119"/>
      <c r="F328" s="120"/>
      <c r="G328" s="222"/>
      <c r="H328" s="225"/>
      <c r="I328" s="224"/>
      <c r="J328" s="222"/>
      <c r="K328" s="225"/>
      <c r="L328" s="223"/>
    </row>
    <row r="329" spans="1:12" x14ac:dyDescent="0.2">
      <c r="A329" s="222"/>
      <c r="B329" s="222"/>
      <c r="C329" s="222"/>
      <c r="D329" s="223"/>
      <c r="E329" s="119"/>
      <c r="F329" s="120"/>
      <c r="G329" s="222"/>
      <c r="H329" s="225"/>
      <c r="I329" s="224"/>
      <c r="J329" s="222"/>
      <c r="K329" s="225"/>
      <c r="L329" s="223"/>
    </row>
    <row r="330" spans="1:12" x14ac:dyDescent="0.2">
      <c r="A330" s="222"/>
      <c r="B330" s="222"/>
      <c r="C330" s="222"/>
      <c r="D330" s="223"/>
      <c r="E330" s="119"/>
      <c r="F330" s="120"/>
      <c r="G330" s="222"/>
      <c r="H330" s="225"/>
      <c r="I330" s="224"/>
      <c r="J330" s="222"/>
      <c r="K330" s="225"/>
      <c r="L330" s="223"/>
    </row>
    <row r="331" spans="1:12" x14ac:dyDescent="0.2">
      <c r="A331" s="222"/>
      <c r="B331" s="222"/>
      <c r="C331" s="222"/>
      <c r="D331" s="223"/>
      <c r="E331" s="119"/>
      <c r="F331" s="120"/>
      <c r="G331" s="222"/>
      <c r="H331" s="225"/>
      <c r="I331" s="224"/>
      <c r="J331" s="222"/>
      <c r="K331" s="225"/>
      <c r="L331" s="223"/>
    </row>
    <row r="332" spans="1:12" x14ac:dyDescent="0.2">
      <c r="A332" s="222"/>
      <c r="B332" s="222"/>
      <c r="C332" s="222"/>
      <c r="D332" s="223"/>
      <c r="E332" s="119"/>
      <c r="F332" s="120"/>
      <c r="G332" s="222"/>
      <c r="H332" s="225"/>
      <c r="I332" s="224"/>
      <c r="J332" s="222"/>
      <c r="K332" s="225"/>
      <c r="L332" s="223"/>
    </row>
    <row r="333" spans="1:12" x14ac:dyDescent="0.2">
      <c r="A333" s="222"/>
      <c r="B333" s="222"/>
      <c r="C333" s="222"/>
      <c r="D333" s="223"/>
      <c r="E333" s="119"/>
      <c r="F333" s="120"/>
      <c r="G333" s="222"/>
      <c r="H333" s="225"/>
      <c r="I333" s="224"/>
      <c r="J333" s="222"/>
      <c r="K333" s="225"/>
      <c r="L333" s="223"/>
    </row>
    <row r="334" spans="1:12" x14ac:dyDescent="0.2">
      <c r="A334" s="222"/>
      <c r="B334" s="222"/>
      <c r="C334" s="222"/>
      <c r="D334" s="223"/>
      <c r="E334" s="119"/>
      <c r="F334" s="120"/>
      <c r="G334" s="222"/>
      <c r="H334" s="225"/>
      <c r="I334" s="224"/>
      <c r="J334" s="222"/>
      <c r="K334" s="225"/>
      <c r="L334" s="223"/>
    </row>
    <row r="335" spans="1:12" x14ac:dyDescent="0.2">
      <c r="A335" s="222"/>
      <c r="B335" s="222"/>
      <c r="C335" s="222"/>
      <c r="D335" s="223"/>
      <c r="E335" s="119"/>
      <c r="F335" s="120"/>
      <c r="G335" s="222"/>
      <c r="H335" s="225"/>
      <c r="I335" s="224"/>
      <c r="J335" s="222"/>
      <c r="K335" s="225"/>
      <c r="L335" s="223"/>
    </row>
    <row r="336" spans="1:12" x14ac:dyDescent="0.2">
      <c r="A336" s="222"/>
      <c r="B336" s="222"/>
      <c r="C336" s="222"/>
      <c r="D336" s="223"/>
      <c r="E336" s="119"/>
      <c r="F336" s="120"/>
      <c r="G336" s="222"/>
      <c r="H336" s="225"/>
      <c r="I336" s="224"/>
      <c r="J336" s="222"/>
      <c r="K336" s="225"/>
      <c r="L336" s="223"/>
    </row>
    <row r="337" spans="1:12" x14ac:dyDescent="0.2">
      <c r="A337" s="222"/>
      <c r="B337" s="222"/>
      <c r="C337" s="222"/>
      <c r="D337" s="223"/>
      <c r="E337" s="119"/>
      <c r="F337" s="120"/>
      <c r="G337" s="222"/>
      <c r="H337" s="225"/>
      <c r="I337" s="224"/>
      <c r="J337" s="222"/>
      <c r="K337" s="225"/>
      <c r="L337" s="223"/>
    </row>
    <row r="338" spans="1:12" x14ac:dyDescent="0.2">
      <c r="A338" s="222"/>
      <c r="B338" s="222"/>
      <c r="C338" s="222"/>
      <c r="D338" s="223"/>
      <c r="E338" s="119"/>
      <c r="F338" s="120"/>
      <c r="G338" s="222"/>
      <c r="H338" s="225"/>
      <c r="I338" s="224"/>
      <c r="J338" s="222"/>
      <c r="K338" s="225"/>
      <c r="L338" s="223"/>
    </row>
    <row r="339" spans="1:12" x14ac:dyDescent="0.2">
      <c r="A339" s="222"/>
      <c r="B339" s="222"/>
      <c r="C339" s="222"/>
      <c r="D339" s="223"/>
      <c r="E339" s="119"/>
      <c r="F339" s="120"/>
      <c r="G339" s="222"/>
      <c r="H339" s="225"/>
      <c r="I339" s="224"/>
      <c r="J339" s="222"/>
      <c r="K339" s="225"/>
      <c r="L339" s="223"/>
    </row>
    <row r="340" spans="1:12" x14ac:dyDescent="0.2">
      <c r="A340" s="222"/>
      <c r="B340" s="222"/>
      <c r="C340" s="222"/>
      <c r="D340" s="223"/>
      <c r="E340" s="119"/>
      <c r="F340" s="120"/>
      <c r="G340" s="222"/>
      <c r="H340" s="225"/>
      <c r="I340" s="224"/>
      <c r="J340" s="222"/>
      <c r="K340" s="225"/>
      <c r="L340" s="223"/>
    </row>
    <row r="341" spans="1:12" x14ac:dyDescent="0.2">
      <c r="A341" s="222"/>
      <c r="B341" s="222"/>
      <c r="C341" s="222"/>
      <c r="D341" s="223"/>
      <c r="E341" s="119"/>
      <c r="F341" s="120"/>
      <c r="G341" s="222"/>
      <c r="H341" s="225"/>
      <c r="I341" s="224"/>
      <c r="J341" s="222"/>
      <c r="K341" s="225"/>
      <c r="L341" s="223"/>
    </row>
    <row r="342" spans="1:12" x14ac:dyDescent="0.2">
      <c r="A342" s="222"/>
      <c r="B342" s="222"/>
      <c r="C342" s="222"/>
      <c r="D342" s="223"/>
      <c r="E342" s="119"/>
      <c r="F342" s="120"/>
      <c r="G342" s="222"/>
      <c r="H342" s="225"/>
      <c r="I342" s="224"/>
      <c r="J342" s="222"/>
      <c r="K342" s="225"/>
      <c r="L342" s="223"/>
    </row>
    <row r="343" spans="1:12" x14ac:dyDescent="0.2">
      <c r="A343" s="222"/>
      <c r="B343" s="222"/>
      <c r="C343" s="222"/>
      <c r="D343" s="223"/>
      <c r="E343" s="119"/>
      <c r="F343" s="120"/>
      <c r="G343" s="222"/>
      <c r="H343" s="225"/>
      <c r="I343" s="224"/>
      <c r="J343" s="222"/>
      <c r="K343" s="225"/>
      <c r="L343" s="223"/>
    </row>
    <row r="344" spans="1:12" x14ac:dyDescent="0.2">
      <c r="A344" s="222"/>
      <c r="B344" s="222"/>
      <c r="C344" s="222"/>
      <c r="D344" s="223"/>
      <c r="E344" s="119"/>
      <c r="F344" s="120"/>
      <c r="G344" s="222"/>
      <c r="H344" s="225"/>
      <c r="I344" s="224"/>
      <c r="J344" s="222"/>
      <c r="K344" s="225"/>
      <c r="L344" s="223"/>
    </row>
    <row r="345" spans="1:12" x14ac:dyDescent="0.2">
      <c r="A345" s="222"/>
      <c r="B345" s="222"/>
      <c r="C345" s="222"/>
      <c r="D345" s="223"/>
      <c r="E345" s="119"/>
      <c r="F345" s="120"/>
      <c r="G345" s="222"/>
      <c r="H345" s="225"/>
      <c r="I345" s="224"/>
      <c r="J345" s="222"/>
      <c r="K345" s="225"/>
      <c r="L345" s="223"/>
    </row>
    <row r="346" spans="1:12" x14ac:dyDescent="0.2">
      <c r="A346" s="222"/>
      <c r="B346" s="222"/>
      <c r="C346" s="222"/>
      <c r="D346" s="223"/>
      <c r="E346" s="119"/>
      <c r="F346" s="120"/>
      <c r="G346" s="222"/>
      <c r="H346" s="225"/>
      <c r="I346" s="224"/>
      <c r="J346" s="222"/>
      <c r="K346" s="225"/>
      <c r="L346" s="223"/>
    </row>
    <row r="347" spans="1:12" x14ac:dyDescent="0.2">
      <c r="A347" s="222"/>
      <c r="B347" s="222"/>
      <c r="C347" s="222"/>
      <c r="D347" s="223"/>
      <c r="E347" s="119"/>
      <c r="F347" s="120"/>
      <c r="G347" s="222"/>
      <c r="H347" s="225"/>
      <c r="I347" s="224"/>
      <c r="J347" s="225"/>
      <c r="K347" s="225"/>
      <c r="L347" s="223"/>
    </row>
    <row r="348" spans="1:12" x14ac:dyDescent="0.2">
      <c r="A348" s="222"/>
      <c r="B348" s="222"/>
      <c r="C348" s="222"/>
      <c r="D348" s="223"/>
      <c r="E348" s="119"/>
      <c r="F348" s="120"/>
      <c r="G348" s="222"/>
      <c r="H348" s="225"/>
      <c r="I348" s="224"/>
      <c r="J348" s="225"/>
      <c r="K348" s="225"/>
      <c r="L348" s="223"/>
    </row>
    <row r="349" spans="1:12" x14ac:dyDescent="0.2">
      <c r="A349" s="222"/>
      <c r="B349" s="222"/>
      <c r="C349" s="222"/>
      <c r="D349" s="223"/>
      <c r="E349" s="119"/>
      <c r="F349" s="120"/>
      <c r="G349" s="222"/>
      <c r="H349" s="225"/>
      <c r="I349" s="224"/>
      <c r="J349" s="225"/>
      <c r="K349" s="225"/>
      <c r="L349" s="223"/>
    </row>
    <row r="350" spans="1:12" x14ac:dyDescent="0.2">
      <c r="A350" s="222"/>
      <c r="B350" s="222"/>
      <c r="C350" s="222"/>
      <c r="D350" s="223"/>
      <c r="E350" s="119"/>
      <c r="F350" s="120"/>
      <c r="G350" s="222"/>
      <c r="H350" s="225"/>
      <c r="I350" s="224"/>
      <c r="J350" s="225"/>
      <c r="K350" s="225"/>
      <c r="L350" s="223"/>
    </row>
    <row r="351" spans="1:12" x14ac:dyDescent="0.2">
      <c r="A351" s="222"/>
      <c r="B351" s="222"/>
      <c r="C351" s="222"/>
      <c r="D351" s="223"/>
      <c r="E351" s="119"/>
      <c r="F351" s="120"/>
      <c r="G351" s="222"/>
      <c r="H351" s="225"/>
      <c r="I351" s="224"/>
      <c r="J351" s="225"/>
      <c r="K351" s="225"/>
      <c r="L351" s="223"/>
    </row>
    <row r="352" spans="1:12" x14ac:dyDescent="0.2">
      <c r="A352" s="222"/>
      <c r="B352" s="222"/>
      <c r="C352" s="222"/>
      <c r="D352" s="223"/>
      <c r="E352" s="119"/>
      <c r="F352" s="120"/>
      <c r="G352" s="222"/>
      <c r="H352" s="225"/>
      <c r="I352" s="224"/>
      <c r="J352" s="225"/>
      <c r="K352" s="225"/>
      <c r="L352" s="223"/>
    </row>
    <row r="353" spans="1:12" x14ac:dyDescent="0.2">
      <c r="A353" s="222"/>
      <c r="B353" s="222"/>
      <c r="C353" s="222"/>
      <c r="D353" s="223"/>
      <c r="E353" s="119"/>
      <c r="F353" s="120"/>
      <c r="G353" s="222"/>
      <c r="H353" s="225"/>
      <c r="I353" s="224"/>
      <c r="J353" s="225"/>
      <c r="K353" s="225"/>
      <c r="L353" s="223"/>
    </row>
    <row r="354" spans="1:12" x14ac:dyDescent="0.2">
      <c r="A354" s="222"/>
      <c r="B354" s="222"/>
      <c r="C354" s="222"/>
      <c r="D354" s="223"/>
      <c r="E354" s="119"/>
      <c r="F354" s="120"/>
      <c r="G354" s="222"/>
      <c r="H354" s="225"/>
      <c r="I354" s="224"/>
      <c r="J354" s="225"/>
      <c r="K354" s="225"/>
      <c r="L354" s="223"/>
    </row>
    <row r="355" spans="1:12" x14ac:dyDescent="0.2">
      <c r="A355" s="222"/>
      <c r="B355" s="222"/>
      <c r="C355" s="222"/>
      <c r="D355" s="223"/>
      <c r="E355" s="119"/>
      <c r="F355" s="120"/>
      <c r="G355" s="222"/>
      <c r="H355" s="225"/>
      <c r="I355" s="224"/>
      <c r="J355" s="225"/>
      <c r="K355" s="222"/>
      <c r="L355" s="223"/>
    </row>
    <row r="356" spans="1:12" x14ac:dyDescent="0.2">
      <c r="A356" s="222"/>
      <c r="B356" s="222"/>
      <c r="C356" s="223"/>
      <c r="D356" s="119"/>
      <c r="E356" s="119"/>
      <c r="F356" s="222"/>
      <c r="G356" s="225"/>
      <c r="H356" s="224"/>
      <c r="I356" s="222"/>
      <c r="J356" s="225"/>
      <c r="K356" s="223"/>
      <c r="L356" s="222"/>
    </row>
    <row r="357" spans="1:12" x14ac:dyDescent="0.2">
      <c r="A357" s="222"/>
      <c r="B357" s="222"/>
      <c r="C357" s="223"/>
      <c r="D357" s="119"/>
      <c r="E357" s="119"/>
      <c r="F357" s="222"/>
      <c r="G357" s="225"/>
      <c r="H357" s="224"/>
      <c r="I357" s="222"/>
      <c r="J357" s="222"/>
      <c r="K357" s="223"/>
      <c r="L357" s="222"/>
    </row>
    <row r="358" spans="1:12" x14ac:dyDescent="0.2">
      <c r="A358" s="222"/>
      <c r="B358" s="222"/>
      <c r="C358" s="223"/>
      <c r="D358" s="119"/>
      <c r="E358" s="119"/>
      <c r="F358" s="222"/>
      <c r="G358" s="225"/>
      <c r="H358" s="224"/>
      <c r="I358" s="222"/>
      <c r="J358" s="222"/>
      <c r="K358" s="223"/>
      <c r="L358" s="222"/>
    </row>
    <row r="359" spans="1:12" x14ac:dyDescent="0.2">
      <c r="A359" s="222"/>
      <c r="B359" s="222"/>
      <c r="C359" s="223"/>
      <c r="D359" s="119"/>
      <c r="E359" s="119"/>
      <c r="F359" s="222"/>
      <c r="G359" s="225"/>
      <c r="H359" s="224"/>
      <c r="I359" s="222"/>
      <c r="J359" s="222"/>
      <c r="K359" s="223"/>
      <c r="L359" s="222"/>
    </row>
    <row r="360" spans="1:12" x14ac:dyDescent="0.2">
      <c r="A360" s="222"/>
      <c r="B360" s="222"/>
      <c r="C360" s="223"/>
      <c r="D360" s="119"/>
      <c r="E360" s="119"/>
      <c r="F360" s="222"/>
      <c r="G360" s="225"/>
      <c r="H360" s="224"/>
      <c r="I360" s="222"/>
      <c r="J360" s="222"/>
      <c r="K360" s="223"/>
      <c r="L360" s="222"/>
    </row>
    <row r="361" spans="1:12" x14ac:dyDescent="0.2">
      <c r="A361" s="222"/>
      <c r="B361" s="222"/>
      <c r="C361" s="223"/>
      <c r="D361" s="119"/>
      <c r="E361" s="119"/>
      <c r="F361" s="222"/>
      <c r="G361" s="225"/>
      <c r="H361" s="224"/>
      <c r="I361" s="222"/>
      <c r="J361" s="222"/>
      <c r="K361" s="223"/>
      <c r="L361" s="222"/>
    </row>
    <row r="362" spans="1:12" x14ac:dyDescent="0.2">
      <c r="A362" s="222"/>
      <c r="B362" s="222"/>
      <c r="C362" s="223"/>
      <c r="D362" s="119"/>
      <c r="E362" s="119"/>
      <c r="F362" s="222"/>
      <c r="G362" s="225"/>
      <c r="H362" s="224"/>
      <c r="I362" s="222"/>
      <c r="J362" s="222"/>
      <c r="K362" s="223"/>
      <c r="L362" s="222"/>
    </row>
    <row r="363" spans="1:12" x14ac:dyDescent="0.2">
      <c r="A363" s="222"/>
      <c r="B363" s="222"/>
      <c r="C363" s="223"/>
      <c r="D363" s="119"/>
      <c r="E363" s="119"/>
      <c r="F363" s="222"/>
      <c r="G363" s="225"/>
      <c r="H363" s="224"/>
      <c r="I363" s="222"/>
      <c r="J363" s="222"/>
      <c r="K363" s="223"/>
      <c r="L363" s="222"/>
    </row>
    <row r="364" spans="1:12" x14ac:dyDescent="0.2">
      <c r="A364" s="222"/>
      <c r="B364" s="222"/>
      <c r="C364" s="223"/>
      <c r="D364" s="119"/>
      <c r="E364" s="119"/>
      <c r="F364" s="222"/>
      <c r="G364" s="225"/>
      <c r="H364" s="224"/>
      <c r="I364" s="222"/>
      <c r="J364" s="222"/>
      <c r="K364" s="223"/>
      <c r="L364" s="222"/>
    </row>
    <row r="365" spans="1:12" x14ac:dyDescent="0.2">
      <c r="A365" s="222"/>
      <c r="B365" s="222"/>
      <c r="C365" s="223"/>
      <c r="D365" s="119"/>
      <c r="E365" s="119"/>
      <c r="F365" s="222"/>
      <c r="G365" s="225"/>
      <c r="H365" s="224"/>
      <c r="I365" s="222"/>
      <c r="J365" s="222"/>
      <c r="K365" s="223"/>
      <c r="L365" s="222"/>
    </row>
    <row r="366" spans="1:12" x14ac:dyDescent="0.2">
      <c r="A366" s="222"/>
      <c r="B366" s="222"/>
      <c r="C366" s="223"/>
      <c r="D366" s="119"/>
      <c r="E366" s="119"/>
      <c r="F366" s="222"/>
      <c r="G366" s="225"/>
      <c r="H366" s="224"/>
      <c r="I366" s="222"/>
      <c r="J366" s="222"/>
      <c r="K366" s="223"/>
      <c r="L366" s="222"/>
    </row>
    <row r="367" spans="1:12" x14ac:dyDescent="0.2">
      <c r="A367" s="222"/>
      <c r="B367" s="222"/>
      <c r="C367" s="223"/>
      <c r="D367" s="119"/>
      <c r="E367" s="119"/>
      <c r="F367" s="222"/>
      <c r="G367" s="225"/>
      <c r="H367" s="224"/>
      <c r="I367" s="222"/>
      <c r="J367" s="222"/>
      <c r="K367" s="223"/>
      <c r="L367" s="222"/>
    </row>
    <row r="368" spans="1:12" x14ac:dyDescent="0.2">
      <c r="A368" s="22"/>
      <c r="B368" s="107"/>
      <c r="C368" s="107"/>
      <c r="D368" s="108"/>
      <c r="E368" s="22"/>
      <c r="F368" s="109"/>
      <c r="G368" s="22"/>
      <c r="H368" s="22"/>
      <c r="J368"/>
    </row>
    <row r="369" spans="1:10" x14ac:dyDescent="0.2">
      <c r="A369" s="22"/>
      <c r="B369" s="107"/>
      <c r="C369" s="107"/>
      <c r="D369" s="108"/>
      <c r="E369" s="22"/>
      <c r="F369" s="109"/>
      <c r="G369" s="22"/>
      <c r="H369" s="22"/>
      <c r="J369"/>
    </row>
    <row r="370" spans="1:10" x14ac:dyDescent="0.2">
      <c r="A370" s="22"/>
      <c r="B370" s="107"/>
      <c r="C370" s="107"/>
      <c r="D370" s="108"/>
      <c r="E370" s="22"/>
      <c r="F370" s="109"/>
      <c r="G370" s="22"/>
      <c r="H370" s="22"/>
      <c r="J370"/>
    </row>
    <row r="371" spans="1:10" x14ac:dyDescent="0.2">
      <c r="A371" s="22"/>
      <c r="B371" s="107"/>
      <c r="C371" s="107"/>
      <c r="D371" s="108"/>
      <c r="E371" s="22"/>
      <c r="F371" s="109"/>
      <c r="G371" s="22"/>
      <c r="H371" s="22"/>
      <c r="J371"/>
    </row>
    <row r="372" spans="1:10" x14ac:dyDescent="0.2">
      <c r="A372" s="22"/>
      <c r="B372" s="107"/>
      <c r="C372" s="107"/>
      <c r="D372" s="108"/>
      <c r="E372" s="22"/>
      <c r="F372" s="109"/>
      <c r="G372" s="22"/>
      <c r="H372" s="22"/>
      <c r="J372"/>
    </row>
    <row r="373" spans="1:10" x14ac:dyDescent="0.2">
      <c r="A373" s="22"/>
      <c r="B373" s="107"/>
      <c r="C373" s="107"/>
      <c r="D373" s="108"/>
      <c r="E373" s="22"/>
      <c r="F373" s="109"/>
      <c r="G373" s="22"/>
      <c r="H373" s="22"/>
      <c r="J373"/>
    </row>
    <row r="374" spans="1:10" x14ac:dyDescent="0.2">
      <c r="A374" s="22"/>
      <c r="B374" s="107"/>
      <c r="C374" s="107"/>
      <c r="D374" s="108"/>
      <c r="E374" s="22"/>
      <c r="F374" s="109"/>
      <c r="G374" s="22"/>
      <c r="H374" s="22"/>
      <c r="J374"/>
    </row>
    <row r="375" spans="1:10" x14ac:dyDescent="0.2">
      <c r="A375" s="22"/>
      <c r="B375" s="107"/>
      <c r="C375" s="107"/>
      <c r="D375" s="108"/>
      <c r="E375" s="22"/>
      <c r="F375" s="109"/>
      <c r="G375" s="22"/>
      <c r="H375" s="22"/>
      <c r="J375"/>
    </row>
    <row r="376" spans="1:10" x14ac:dyDescent="0.2">
      <c r="A376" s="22"/>
      <c r="B376" s="107"/>
      <c r="C376" s="107"/>
      <c r="D376" s="108"/>
      <c r="E376" s="22"/>
      <c r="F376" s="109"/>
      <c r="G376" s="22"/>
      <c r="H376" s="22"/>
      <c r="J376"/>
    </row>
    <row r="377" spans="1:10" x14ac:dyDescent="0.2">
      <c r="A377" s="22"/>
      <c r="B377" s="107"/>
      <c r="C377" s="107"/>
      <c r="D377" s="108"/>
      <c r="E377" s="22"/>
      <c r="F377" s="109"/>
      <c r="G377" s="22"/>
      <c r="H377" s="22"/>
      <c r="J377"/>
    </row>
    <row r="378" spans="1:10" x14ac:dyDescent="0.2">
      <c r="A378" s="22"/>
      <c r="B378" s="107"/>
      <c r="C378" s="107"/>
      <c r="D378" s="108"/>
      <c r="E378" s="22"/>
      <c r="F378" s="109"/>
      <c r="G378" s="22"/>
      <c r="H378" s="22"/>
      <c r="J378"/>
    </row>
    <row r="379" spans="1:10" x14ac:dyDescent="0.2">
      <c r="A379" s="22"/>
      <c r="B379" s="107"/>
      <c r="C379" s="107"/>
      <c r="D379" s="108"/>
      <c r="E379" s="22"/>
      <c r="F379" s="109"/>
      <c r="G379" s="22"/>
      <c r="H379" s="22"/>
      <c r="J379"/>
    </row>
    <row r="380" spans="1:10" x14ac:dyDescent="0.2">
      <c r="A380" s="22"/>
      <c r="B380" s="107"/>
      <c r="C380" s="107"/>
      <c r="D380" s="108"/>
      <c r="E380" s="22"/>
      <c r="F380" s="109"/>
      <c r="G380" s="22"/>
      <c r="H380" s="22"/>
      <c r="J380"/>
    </row>
    <row r="381" spans="1:10" x14ac:dyDescent="0.2">
      <c r="A381" s="22"/>
      <c r="B381" s="107"/>
      <c r="C381" s="107"/>
      <c r="D381" s="108"/>
      <c r="E381" s="22"/>
      <c r="F381" s="109"/>
      <c r="G381" s="22"/>
      <c r="H381" s="22"/>
      <c r="J381"/>
    </row>
    <row r="382" spans="1:10" x14ac:dyDescent="0.2">
      <c r="A382" s="22"/>
      <c r="B382" s="107"/>
      <c r="C382" s="107"/>
      <c r="D382" s="108"/>
      <c r="E382" s="22"/>
      <c r="F382" s="109"/>
      <c r="G382" s="22"/>
      <c r="H382" s="22"/>
      <c r="J382"/>
    </row>
    <row r="383" spans="1:10" x14ac:dyDescent="0.2">
      <c r="A383" s="22"/>
      <c r="B383" s="107"/>
      <c r="C383" s="107"/>
      <c r="D383" s="108"/>
      <c r="E383" s="22"/>
      <c r="F383" s="109"/>
      <c r="G383" s="22"/>
      <c r="H383" s="22"/>
      <c r="J383"/>
    </row>
    <row r="384" spans="1:10" x14ac:dyDescent="0.2">
      <c r="A384" s="22"/>
      <c r="B384" s="107"/>
      <c r="C384" s="107"/>
      <c r="D384" s="108"/>
      <c r="E384" s="22"/>
      <c r="F384" s="109"/>
      <c r="G384" s="22"/>
      <c r="H384" s="22"/>
      <c r="J384"/>
    </row>
    <row r="385" spans="1:10" x14ac:dyDescent="0.2">
      <c r="A385" s="22"/>
      <c r="B385" s="107"/>
      <c r="C385" s="107"/>
      <c r="D385" s="108"/>
      <c r="E385" s="22"/>
      <c r="F385" s="109"/>
      <c r="G385" s="22"/>
      <c r="H385" s="22"/>
      <c r="J385"/>
    </row>
    <row r="386" spans="1:10" x14ac:dyDescent="0.2">
      <c r="A386" s="22"/>
      <c r="B386" s="107"/>
      <c r="C386" s="107"/>
      <c r="D386" s="108"/>
      <c r="E386" s="22"/>
      <c r="F386" s="109"/>
      <c r="G386" s="22"/>
      <c r="H386" s="22"/>
      <c r="J386"/>
    </row>
    <row r="387" spans="1:10" x14ac:dyDescent="0.2">
      <c r="A387" s="22"/>
      <c r="B387" s="107"/>
      <c r="C387" s="107"/>
      <c r="D387" s="108"/>
      <c r="E387" s="22"/>
      <c r="F387" s="109"/>
      <c r="G387" s="22"/>
      <c r="H387" s="22"/>
      <c r="J387"/>
    </row>
    <row r="388" spans="1:10" x14ac:dyDescent="0.2">
      <c r="A388" s="22"/>
      <c r="B388" s="107"/>
      <c r="C388" s="107"/>
      <c r="D388" s="108"/>
      <c r="E388" s="22"/>
      <c r="F388" s="109"/>
      <c r="G388" s="22"/>
      <c r="H388" s="22"/>
      <c r="J388"/>
    </row>
    <row r="389" spans="1:10" x14ac:dyDescent="0.2">
      <c r="A389" s="22"/>
      <c r="B389" s="107"/>
      <c r="C389" s="107"/>
      <c r="D389" s="108"/>
      <c r="E389" s="22"/>
      <c r="F389" s="109"/>
      <c r="G389" s="22"/>
      <c r="H389" s="22"/>
      <c r="J389"/>
    </row>
    <row r="390" spans="1:10" x14ac:dyDescent="0.2">
      <c r="A390" s="22"/>
      <c r="B390" s="107"/>
      <c r="C390" s="107"/>
      <c r="D390" s="108"/>
      <c r="E390" s="22"/>
      <c r="F390" s="109"/>
      <c r="G390" s="22"/>
      <c r="H390" s="22"/>
      <c r="J390"/>
    </row>
    <row r="391" spans="1:10" x14ac:dyDescent="0.2">
      <c r="A391" s="22"/>
      <c r="B391" s="107"/>
      <c r="C391" s="107"/>
      <c r="D391" s="108"/>
      <c r="E391" s="22"/>
      <c r="F391" s="109"/>
      <c r="G391" s="22"/>
      <c r="H391" s="22"/>
      <c r="J391"/>
    </row>
    <row r="392" spans="1:10" x14ac:dyDescent="0.2">
      <c r="A392" s="22"/>
      <c r="B392" s="107"/>
      <c r="C392" s="107"/>
      <c r="D392" s="108"/>
      <c r="E392" s="22"/>
      <c r="F392" s="109"/>
      <c r="G392" s="22"/>
      <c r="H392" s="22"/>
      <c r="J392"/>
    </row>
    <row r="393" spans="1:10" x14ac:dyDescent="0.2">
      <c r="A393" s="22"/>
      <c r="B393" s="107"/>
      <c r="C393" s="107"/>
      <c r="D393" s="108"/>
      <c r="E393" s="22"/>
      <c r="F393" s="109"/>
      <c r="G393" s="22"/>
      <c r="H393" s="22"/>
      <c r="J393"/>
    </row>
    <row r="394" spans="1:10" x14ac:dyDescent="0.2">
      <c r="A394" s="22"/>
      <c r="B394" s="107"/>
      <c r="C394" s="107"/>
      <c r="D394" s="108"/>
      <c r="E394" s="22"/>
      <c r="F394" s="109"/>
      <c r="G394" s="22"/>
      <c r="H394" s="22"/>
      <c r="J394"/>
    </row>
    <row r="395" spans="1:10" x14ac:dyDescent="0.2">
      <c r="A395" s="22"/>
      <c r="B395" s="107"/>
      <c r="C395" s="107"/>
      <c r="D395" s="108"/>
      <c r="E395" s="22"/>
      <c r="F395" s="109"/>
      <c r="G395" s="22"/>
      <c r="H395" s="22"/>
      <c r="J395"/>
    </row>
    <row r="396" spans="1:10" x14ac:dyDescent="0.2">
      <c r="A396" s="22"/>
      <c r="B396" s="107"/>
      <c r="C396" s="107"/>
      <c r="D396" s="108"/>
      <c r="E396" s="22"/>
      <c r="F396" s="109"/>
      <c r="G396" s="22"/>
      <c r="H396" s="22"/>
      <c r="J396"/>
    </row>
    <row r="397" spans="1:10" x14ac:dyDescent="0.2">
      <c r="A397" s="22"/>
      <c r="B397" s="107"/>
      <c r="C397" s="107"/>
      <c r="D397" s="108"/>
      <c r="E397" s="22"/>
      <c r="F397" s="109"/>
      <c r="G397" s="22"/>
      <c r="H397" s="22"/>
      <c r="J397"/>
    </row>
    <row r="398" spans="1:10" x14ac:dyDescent="0.2">
      <c r="A398" s="22"/>
      <c r="B398" s="107"/>
      <c r="C398" s="107"/>
      <c r="D398" s="108"/>
      <c r="E398" s="22"/>
      <c r="F398" s="109"/>
      <c r="G398" s="22"/>
      <c r="H398" s="22"/>
      <c r="J398"/>
    </row>
    <row r="399" spans="1:10" x14ac:dyDescent="0.2">
      <c r="A399" s="22"/>
      <c r="B399" s="107"/>
      <c r="C399" s="107"/>
      <c r="D399" s="108"/>
      <c r="E399" s="22"/>
      <c r="F399" s="109"/>
      <c r="G399" s="22"/>
      <c r="H399" s="22"/>
      <c r="J399"/>
    </row>
    <row r="400" spans="1:10" x14ac:dyDescent="0.2">
      <c r="A400" s="22"/>
      <c r="B400" s="107"/>
      <c r="C400" s="107"/>
      <c r="D400" s="108"/>
      <c r="E400" s="22"/>
      <c r="F400" s="109"/>
      <c r="G400" s="22"/>
      <c r="H400" s="22"/>
      <c r="J400"/>
    </row>
    <row r="401" spans="1:10" x14ac:dyDescent="0.2">
      <c r="A401" s="22"/>
      <c r="B401" s="107"/>
      <c r="C401" s="107"/>
      <c r="D401" s="108"/>
      <c r="E401" s="22"/>
      <c r="F401" s="109"/>
      <c r="G401" s="22"/>
      <c r="H401" s="22"/>
      <c r="J401"/>
    </row>
    <row r="402" spans="1:10" x14ac:dyDescent="0.2">
      <c r="A402" s="22"/>
      <c r="B402" s="107"/>
      <c r="C402" s="107"/>
      <c r="D402" s="108"/>
      <c r="E402" s="22"/>
      <c r="F402" s="109"/>
      <c r="G402" s="22"/>
      <c r="H402" s="22"/>
      <c r="J402"/>
    </row>
    <row r="403" spans="1:10" x14ac:dyDescent="0.2">
      <c r="A403" s="22"/>
      <c r="B403" s="107"/>
      <c r="C403" s="107"/>
      <c r="D403" s="108"/>
      <c r="E403" s="22"/>
      <c r="F403" s="109"/>
      <c r="G403" s="22"/>
      <c r="H403" s="22"/>
      <c r="J403"/>
    </row>
    <row r="404" spans="1:10" x14ac:dyDescent="0.2">
      <c r="A404" s="22"/>
      <c r="B404" s="107"/>
      <c r="C404" s="107"/>
      <c r="D404" s="108"/>
      <c r="E404" s="22"/>
      <c r="F404" s="109"/>
      <c r="G404" s="22"/>
      <c r="H404" s="22"/>
      <c r="J404"/>
    </row>
    <row r="405" spans="1:10" x14ac:dyDescent="0.2">
      <c r="A405" s="22"/>
      <c r="B405" s="107"/>
      <c r="C405" s="107"/>
      <c r="D405" s="108"/>
      <c r="E405" s="22"/>
      <c r="F405" s="109"/>
      <c r="G405" s="22"/>
      <c r="H405" s="22"/>
      <c r="J405"/>
    </row>
    <row r="406" spans="1:10" x14ac:dyDescent="0.2">
      <c r="A406" s="22"/>
      <c r="B406" s="107"/>
      <c r="C406" s="107"/>
      <c r="D406" s="108"/>
      <c r="E406" s="22"/>
      <c r="F406" s="109"/>
      <c r="G406" s="22"/>
      <c r="H406" s="22"/>
      <c r="J406"/>
    </row>
    <row r="407" spans="1:10" x14ac:dyDescent="0.2">
      <c r="A407" s="22"/>
      <c r="B407" s="107"/>
      <c r="C407" s="107"/>
      <c r="D407" s="108"/>
      <c r="E407" s="22"/>
      <c r="F407" s="109"/>
      <c r="G407" s="22"/>
      <c r="H407" s="22"/>
      <c r="J407"/>
    </row>
    <row r="408" spans="1:10" x14ac:dyDescent="0.2">
      <c r="A408" s="22"/>
      <c r="B408" s="107"/>
      <c r="C408" s="107"/>
      <c r="D408" s="108"/>
      <c r="E408" s="22"/>
      <c r="F408" s="109"/>
      <c r="G408" s="22"/>
      <c r="H408" s="22"/>
      <c r="J408"/>
    </row>
    <row r="409" spans="1:10" x14ac:dyDescent="0.2">
      <c r="A409" s="22"/>
      <c r="B409" s="107"/>
      <c r="C409" s="107"/>
      <c r="D409" s="108"/>
      <c r="E409" s="22"/>
      <c r="F409" s="109"/>
      <c r="G409" s="22"/>
      <c r="H409" s="22"/>
      <c r="J409"/>
    </row>
    <row r="410" spans="1:10" x14ac:dyDescent="0.2">
      <c r="A410" s="22"/>
      <c r="B410" s="107"/>
      <c r="C410" s="107"/>
      <c r="D410" s="108"/>
      <c r="E410" s="22"/>
      <c r="F410" s="109"/>
      <c r="G410" s="22"/>
      <c r="H410" s="22"/>
      <c r="J410"/>
    </row>
    <row r="411" spans="1:10" x14ac:dyDescent="0.2">
      <c r="A411" s="22"/>
      <c r="B411" s="107"/>
      <c r="C411" s="107"/>
      <c r="D411" s="108"/>
      <c r="E411" s="22"/>
      <c r="F411" s="109"/>
      <c r="G411" s="22"/>
      <c r="H411" s="22"/>
      <c r="J411"/>
    </row>
    <row r="412" spans="1:10" x14ac:dyDescent="0.2">
      <c r="A412" s="22"/>
      <c r="B412" s="107"/>
      <c r="C412" s="107"/>
      <c r="D412" s="108"/>
      <c r="E412" s="22"/>
      <c r="F412" s="109"/>
      <c r="G412" s="22"/>
      <c r="H412" s="22"/>
      <c r="J412"/>
    </row>
    <row r="413" spans="1:10" x14ac:dyDescent="0.2">
      <c r="A413" s="22"/>
      <c r="B413" s="107"/>
      <c r="C413" s="107"/>
      <c r="D413" s="108"/>
      <c r="E413" s="22"/>
      <c r="F413" s="109"/>
      <c r="G413" s="22"/>
      <c r="H413" s="22"/>
      <c r="J413"/>
    </row>
    <row r="414" spans="1:10" x14ac:dyDescent="0.2">
      <c r="A414" s="22"/>
      <c r="B414" s="107"/>
      <c r="C414" s="107"/>
      <c r="D414" s="108"/>
      <c r="E414" s="22"/>
      <c r="F414" s="109"/>
      <c r="G414" s="22"/>
      <c r="H414" s="22"/>
      <c r="J414"/>
    </row>
    <row r="415" spans="1:10" x14ac:dyDescent="0.2">
      <c r="A415" s="22"/>
      <c r="B415" s="107"/>
      <c r="C415" s="107"/>
      <c r="D415" s="108"/>
      <c r="E415" s="22"/>
      <c r="F415" s="109"/>
      <c r="G415" s="22"/>
      <c r="H415" s="22"/>
      <c r="J415"/>
    </row>
    <row r="416" spans="1:10" x14ac:dyDescent="0.2">
      <c r="A416" s="22"/>
      <c r="B416" s="107"/>
      <c r="C416" s="107"/>
      <c r="D416" s="108"/>
      <c r="E416" s="22"/>
      <c r="F416" s="109"/>
      <c r="G416" s="22"/>
      <c r="H416" s="22"/>
      <c r="J416"/>
    </row>
    <row r="417" spans="1:10" x14ac:dyDescent="0.2">
      <c r="A417" s="22"/>
      <c r="B417" s="107"/>
      <c r="C417" s="107"/>
      <c r="D417" s="108"/>
      <c r="E417" s="22"/>
      <c r="F417" s="109"/>
      <c r="G417" s="22"/>
      <c r="H417" s="22"/>
      <c r="J417"/>
    </row>
    <row r="418" spans="1:10" x14ac:dyDescent="0.2">
      <c r="A418" s="22"/>
      <c r="B418" s="107"/>
      <c r="C418" s="107"/>
      <c r="D418" s="108"/>
      <c r="E418" s="22"/>
      <c r="F418" s="109"/>
      <c r="G418" s="22"/>
      <c r="H418" s="22"/>
      <c r="J418"/>
    </row>
    <row r="419" spans="1:10" x14ac:dyDescent="0.2">
      <c r="A419" s="22"/>
      <c r="B419" s="107"/>
      <c r="C419" s="107"/>
      <c r="D419" s="108"/>
      <c r="E419" s="22"/>
      <c r="F419" s="109"/>
      <c r="G419" s="22"/>
      <c r="H419" s="22"/>
      <c r="J419"/>
    </row>
    <row r="420" spans="1:10" x14ac:dyDescent="0.2">
      <c r="A420" s="22"/>
      <c r="B420" s="107"/>
      <c r="C420" s="107"/>
      <c r="D420" s="108"/>
      <c r="E420" s="22"/>
      <c r="F420" s="109"/>
      <c r="G420" s="22"/>
      <c r="H420" s="22"/>
      <c r="J420"/>
    </row>
    <row r="421" spans="1:10" x14ac:dyDescent="0.2">
      <c r="A421" s="22"/>
      <c r="B421" s="107"/>
      <c r="C421" s="107"/>
      <c r="D421" s="108"/>
      <c r="E421" s="22"/>
      <c r="F421" s="109"/>
      <c r="G421" s="22"/>
      <c r="H421" s="22"/>
      <c r="J421"/>
    </row>
    <row r="422" spans="1:10" x14ac:dyDescent="0.2">
      <c r="A422" s="22"/>
      <c r="B422" s="107"/>
      <c r="C422" s="107"/>
      <c r="D422" s="108"/>
      <c r="E422" s="22"/>
      <c r="F422" s="109"/>
      <c r="G422" s="22"/>
      <c r="H422" s="22"/>
      <c r="J422"/>
    </row>
    <row r="423" spans="1:10" x14ac:dyDescent="0.2">
      <c r="A423" s="22"/>
      <c r="B423" s="107"/>
      <c r="C423" s="107"/>
      <c r="D423" s="108"/>
      <c r="E423" s="22"/>
      <c r="F423" s="109"/>
      <c r="G423" s="22"/>
      <c r="H423" s="22"/>
      <c r="J423"/>
    </row>
    <row r="424" spans="1:10" x14ac:dyDescent="0.2">
      <c r="A424" s="22"/>
      <c r="B424" s="107"/>
      <c r="C424" s="107"/>
      <c r="D424" s="108"/>
      <c r="E424" s="22"/>
      <c r="F424" s="109"/>
      <c r="G424" s="22"/>
      <c r="H424" s="22"/>
      <c r="J424"/>
    </row>
    <row r="425" spans="1:10" x14ac:dyDescent="0.2">
      <c r="A425" s="22"/>
      <c r="B425" s="107"/>
      <c r="C425" s="107"/>
      <c r="D425" s="108"/>
      <c r="E425" s="22"/>
      <c r="F425" s="109"/>
      <c r="G425" s="22"/>
      <c r="H425" s="22"/>
      <c r="J425"/>
    </row>
    <row r="426" spans="1:10" x14ac:dyDescent="0.2">
      <c r="A426" s="22"/>
      <c r="B426" s="107"/>
      <c r="C426" s="107"/>
      <c r="D426" s="108"/>
      <c r="E426" s="22"/>
      <c r="F426" s="109"/>
      <c r="G426" s="22"/>
      <c r="H426" s="22"/>
      <c r="J426"/>
    </row>
    <row r="427" spans="1:10" x14ac:dyDescent="0.2">
      <c r="A427" s="22"/>
      <c r="B427" s="107"/>
      <c r="C427" s="107"/>
      <c r="D427" s="108"/>
      <c r="E427" s="22"/>
      <c r="F427" s="109"/>
      <c r="G427" s="22"/>
      <c r="H427" s="22"/>
      <c r="J427"/>
    </row>
    <row r="428" spans="1:10" x14ac:dyDescent="0.2">
      <c r="A428" s="22"/>
      <c r="B428" s="107"/>
      <c r="C428" s="107"/>
      <c r="D428" s="108"/>
      <c r="E428" s="22"/>
      <c r="F428" s="109"/>
      <c r="G428" s="22"/>
      <c r="H428" s="22"/>
      <c r="J428"/>
    </row>
    <row r="429" spans="1:10" x14ac:dyDescent="0.2">
      <c r="A429" s="22"/>
      <c r="B429" s="107"/>
      <c r="C429" s="107"/>
      <c r="D429" s="108"/>
      <c r="E429" s="22"/>
      <c r="F429" s="109"/>
      <c r="G429" s="22"/>
      <c r="H429" s="22"/>
      <c r="J429"/>
    </row>
    <row r="430" spans="1:10" x14ac:dyDescent="0.2">
      <c r="A430" s="22"/>
      <c r="B430" s="107"/>
      <c r="C430" s="107"/>
      <c r="D430" s="108"/>
      <c r="E430" s="22"/>
      <c r="F430" s="109"/>
      <c r="G430" s="22"/>
      <c r="H430" s="22"/>
      <c r="J430"/>
    </row>
    <row r="431" spans="1:10" x14ac:dyDescent="0.2">
      <c r="A431" s="22"/>
      <c r="B431" s="107"/>
      <c r="C431" s="107"/>
      <c r="D431" s="108"/>
      <c r="E431" s="22"/>
      <c r="F431" s="109"/>
      <c r="G431" s="22"/>
      <c r="H431" s="22"/>
      <c r="J431"/>
    </row>
    <row r="432" spans="1:10" x14ac:dyDescent="0.2">
      <c r="A432" s="22"/>
      <c r="B432" s="107"/>
      <c r="C432" s="107"/>
      <c r="D432" s="108"/>
      <c r="E432" s="22"/>
      <c r="F432" s="109"/>
      <c r="G432" s="22"/>
      <c r="H432" s="22"/>
      <c r="J432"/>
    </row>
    <row r="433" spans="1:10" x14ac:dyDescent="0.2">
      <c r="A433" s="22"/>
      <c r="B433" s="107"/>
      <c r="C433" s="107"/>
      <c r="D433" s="108"/>
      <c r="E433" s="22"/>
      <c r="F433" s="109"/>
      <c r="G433" s="22"/>
      <c r="H433" s="22"/>
      <c r="J433"/>
    </row>
    <row r="434" spans="1:10" x14ac:dyDescent="0.2">
      <c r="A434" s="22"/>
      <c r="B434" s="107"/>
      <c r="C434" s="107"/>
      <c r="D434" s="108"/>
      <c r="E434" s="22"/>
      <c r="F434" s="109"/>
      <c r="G434" s="22"/>
      <c r="H434" s="22"/>
      <c r="J434"/>
    </row>
    <row r="435" spans="1:10" x14ac:dyDescent="0.2">
      <c r="A435" s="22"/>
      <c r="B435" s="107"/>
      <c r="C435" s="107"/>
      <c r="D435" s="108"/>
      <c r="E435" s="22"/>
      <c r="F435" s="109"/>
      <c r="G435" s="22"/>
      <c r="H435" s="22"/>
      <c r="J435"/>
    </row>
    <row r="436" spans="1:10" x14ac:dyDescent="0.2">
      <c r="A436" s="22"/>
      <c r="B436" s="107"/>
      <c r="C436" s="107"/>
      <c r="D436" s="108"/>
      <c r="E436" s="22"/>
      <c r="F436" s="109"/>
      <c r="G436" s="22"/>
      <c r="H436" s="22"/>
      <c r="J436"/>
    </row>
    <row r="437" spans="1:10" x14ac:dyDescent="0.2">
      <c r="A437" s="22"/>
      <c r="B437" s="107"/>
      <c r="C437" s="107"/>
      <c r="D437" s="108"/>
      <c r="E437" s="22"/>
      <c r="F437" s="109"/>
      <c r="G437" s="22"/>
      <c r="H437" s="22"/>
      <c r="J437"/>
    </row>
    <row r="438" spans="1:10" x14ac:dyDescent="0.2">
      <c r="A438" s="22"/>
      <c r="B438" s="107"/>
      <c r="C438" s="107"/>
      <c r="D438" s="108"/>
      <c r="E438" s="22"/>
      <c r="F438" s="109"/>
      <c r="G438" s="22"/>
      <c r="H438" s="22"/>
      <c r="J438"/>
    </row>
    <row r="439" spans="1:10" x14ac:dyDescent="0.2">
      <c r="A439" s="22"/>
      <c r="B439" s="107"/>
      <c r="C439" s="107"/>
      <c r="D439" s="108"/>
      <c r="E439" s="22"/>
      <c r="F439" s="109"/>
      <c r="G439" s="22"/>
      <c r="H439" s="22"/>
      <c r="J439"/>
    </row>
    <row r="440" spans="1:10" x14ac:dyDescent="0.2">
      <c r="A440" s="22"/>
      <c r="B440" s="107"/>
      <c r="C440" s="107"/>
      <c r="D440" s="108"/>
      <c r="E440" s="22"/>
      <c r="F440" s="109"/>
      <c r="G440" s="22"/>
      <c r="H440" s="22"/>
      <c r="J440"/>
    </row>
    <row r="441" spans="1:10" x14ac:dyDescent="0.2">
      <c r="A441" s="22"/>
      <c r="B441" s="107"/>
      <c r="C441" s="107"/>
      <c r="D441" s="108"/>
      <c r="E441" s="22"/>
      <c r="F441" s="109"/>
      <c r="G441" s="22"/>
      <c r="H441" s="22"/>
      <c r="J441"/>
    </row>
    <row r="442" spans="1:10" x14ac:dyDescent="0.2">
      <c r="A442" s="22"/>
      <c r="B442" s="107"/>
      <c r="C442" s="107"/>
      <c r="D442" s="108"/>
      <c r="E442" s="22"/>
      <c r="F442" s="109"/>
      <c r="G442" s="22"/>
      <c r="H442" s="22"/>
      <c r="J442"/>
    </row>
    <row r="443" spans="1:10" x14ac:dyDescent="0.2">
      <c r="A443" s="22"/>
      <c r="B443" s="107"/>
      <c r="C443" s="107"/>
      <c r="D443" s="108"/>
      <c r="E443" s="22"/>
      <c r="F443" s="109"/>
      <c r="G443" s="22"/>
      <c r="H443" s="22"/>
      <c r="J443"/>
    </row>
    <row r="444" spans="1:10" x14ac:dyDescent="0.2">
      <c r="A444" s="22"/>
      <c r="B444" s="107"/>
      <c r="C444" s="107"/>
      <c r="D444" s="108"/>
      <c r="E444" s="22"/>
      <c r="F444" s="109"/>
      <c r="G444" s="22"/>
      <c r="H444" s="22"/>
      <c r="J444"/>
    </row>
    <row r="445" spans="1:10" x14ac:dyDescent="0.2">
      <c r="A445" s="22"/>
      <c r="B445" s="107"/>
      <c r="C445" s="107"/>
      <c r="D445" s="108"/>
      <c r="E445" s="22"/>
      <c r="F445" s="109"/>
      <c r="G445" s="22"/>
      <c r="H445" s="22"/>
      <c r="J445"/>
    </row>
    <row r="446" spans="1:10" x14ac:dyDescent="0.2">
      <c r="A446" s="22"/>
      <c r="B446" s="107"/>
      <c r="C446" s="107"/>
      <c r="D446" s="108"/>
      <c r="E446" s="22"/>
      <c r="F446" s="109"/>
      <c r="G446" s="22"/>
      <c r="H446" s="22"/>
      <c r="J446"/>
    </row>
    <row r="447" spans="1:10" x14ac:dyDescent="0.2">
      <c r="A447" s="22"/>
      <c r="B447" s="107"/>
      <c r="C447" s="107"/>
      <c r="D447" s="108"/>
      <c r="E447" s="22"/>
      <c r="F447" s="109"/>
      <c r="G447" s="22"/>
      <c r="H447" s="22"/>
      <c r="J447"/>
    </row>
    <row r="448" spans="1:10" x14ac:dyDescent="0.2">
      <c r="A448" s="22"/>
      <c r="B448" s="107"/>
      <c r="C448" s="107"/>
      <c r="D448" s="108"/>
      <c r="E448" s="22"/>
      <c r="F448" s="109"/>
      <c r="G448" s="22"/>
      <c r="H448" s="22"/>
      <c r="J448"/>
    </row>
    <row r="449" spans="1:10" x14ac:dyDescent="0.2">
      <c r="A449" s="22"/>
      <c r="B449" s="107"/>
      <c r="C449" s="107"/>
      <c r="D449" s="108"/>
      <c r="E449" s="22"/>
      <c r="F449" s="109"/>
      <c r="G449" s="22"/>
      <c r="H449" s="22"/>
      <c r="J449"/>
    </row>
    <row r="450" spans="1:10" x14ac:dyDescent="0.2">
      <c r="A450" s="22"/>
      <c r="B450" s="107"/>
      <c r="C450" s="107"/>
      <c r="D450" s="108"/>
      <c r="E450" s="22"/>
      <c r="F450" s="109"/>
      <c r="G450" s="22"/>
      <c r="H450" s="22"/>
      <c r="J450"/>
    </row>
    <row r="451" spans="1:10" x14ac:dyDescent="0.2">
      <c r="A451" s="22"/>
      <c r="B451" s="107"/>
      <c r="C451" s="107"/>
      <c r="D451" s="108"/>
      <c r="E451" s="22"/>
      <c r="F451" s="109"/>
      <c r="G451" s="22"/>
      <c r="H451" s="22"/>
      <c r="J451"/>
    </row>
    <row r="452" spans="1:10" x14ac:dyDescent="0.2">
      <c r="A452" s="22"/>
      <c r="B452" s="107"/>
      <c r="C452" s="107"/>
      <c r="D452" s="108"/>
      <c r="E452" s="22"/>
      <c r="F452" s="109"/>
      <c r="G452" s="22"/>
      <c r="H452" s="22"/>
      <c r="J452"/>
    </row>
    <row r="453" spans="1:10" x14ac:dyDescent="0.2">
      <c r="A453" s="22"/>
      <c r="B453" s="107"/>
      <c r="C453" s="107"/>
      <c r="D453" s="108"/>
      <c r="E453" s="22"/>
      <c r="F453" s="109"/>
      <c r="G453" s="22"/>
      <c r="H453" s="22"/>
      <c r="J453"/>
    </row>
    <row r="454" spans="1:10" x14ac:dyDescent="0.2">
      <c r="A454" s="22"/>
      <c r="B454" s="107"/>
      <c r="C454" s="107"/>
      <c r="D454" s="108"/>
      <c r="E454" s="22"/>
      <c r="F454" s="109"/>
      <c r="G454" s="22"/>
      <c r="H454" s="22"/>
      <c r="J454"/>
    </row>
    <row r="455" spans="1:10" x14ac:dyDescent="0.2">
      <c r="A455" s="22"/>
      <c r="B455" s="107"/>
      <c r="C455" s="107"/>
      <c r="D455" s="108"/>
      <c r="E455" s="22"/>
      <c r="F455" s="109"/>
      <c r="G455" s="22"/>
      <c r="H455" s="22"/>
      <c r="J455"/>
    </row>
    <row r="456" spans="1:10" x14ac:dyDescent="0.2">
      <c r="A456" s="22"/>
      <c r="B456" s="107"/>
      <c r="C456" s="107"/>
      <c r="D456" s="108"/>
      <c r="E456" s="22"/>
      <c r="F456" s="109"/>
      <c r="G456" s="22"/>
      <c r="H456" s="22"/>
      <c r="J456"/>
    </row>
    <row r="457" spans="1:10" x14ac:dyDescent="0.2">
      <c r="A457" s="22"/>
      <c r="B457" s="107"/>
      <c r="C457" s="107"/>
      <c r="D457" s="108"/>
      <c r="E457" s="22"/>
      <c r="F457" s="109"/>
      <c r="G457" s="22"/>
      <c r="H457" s="22"/>
      <c r="J457"/>
    </row>
    <row r="458" spans="1:10" x14ac:dyDescent="0.2">
      <c r="A458" s="22"/>
      <c r="B458" s="107"/>
      <c r="C458" s="107"/>
      <c r="D458" s="108"/>
      <c r="E458" s="22"/>
      <c r="F458" s="109"/>
      <c r="G458" s="22"/>
      <c r="H458" s="22"/>
      <c r="J458"/>
    </row>
    <row r="459" spans="1:10" x14ac:dyDescent="0.2">
      <c r="A459" s="22"/>
      <c r="B459" s="107"/>
      <c r="C459" s="107"/>
      <c r="D459" s="108"/>
      <c r="E459" s="22"/>
      <c r="F459" s="109"/>
      <c r="G459" s="22"/>
      <c r="H459" s="22"/>
      <c r="J459"/>
    </row>
    <row r="460" spans="1:10" x14ac:dyDescent="0.2">
      <c r="A460" s="22"/>
      <c r="B460" s="107"/>
      <c r="C460" s="107"/>
      <c r="D460" s="108"/>
      <c r="E460" s="22"/>
      <c r="F460" s="109"/>
      <c r="G460" s="22"/>
      <c r="H460" s="22"/>
      <c r="J460"/>
    </row>
    <row r="461" spans="1:10" x14ac:dyDescent="0.2">
      <c r="A461" s="22"/>
      <c r="B461" s="107"/>
      <c r="C461" s="107"/>
      <c r="D461" s="108"/>
      <c r="E461" s="22"/>
      <c r="F461" s="109"/>
      <c r="G461" s="22"/>
      <c r="H461" s="22"/>
      <c r="J461"/>
    </row>
    <row r="462" spans="1:10" x14ac:dyDescent="0.2">
      <c r="A462" s="22"/>
      <c r="B462" s="107"/>
      <c r="C462" s="107"/>
      <c r="D462" s="108"/>
      <c r="E462" s="22"/>
      <c r="F462" s="109"/>
      <c r="G462" s="22"/>
      <c r="H462" s="22"/>
      <c r="J462"/>
    </row>
    <row r="463" spans="1:10" x14ac:dyDescent="0.2">
      <c r="A463" s="22"/>
      <c r="B463" s="107"/>
      <c r="C463" s="107"/>
      <c r="D463" s="108"/>
      <c r="E463" s="22"/>
      <c r="F463" s="109"/>
      <c r="G463" s="22"/>
      <c r="H463" s="22"/>
      <c r="J463"/>
    </row>
    <row r="464" spans="1:10" x14ac:dyDescent="0.2">
      <c r="A464" s="22"/>
      <c r="B464" s="107"/>
      <c r="C464" s="107"/>
      <c r="D464" s="108"/>
      <c r="E464" s="22"/>
      <c r="F464" s="109"/>
      <c r="G464" s="22"/>
      <c r="H464" s="22"/>
      <c r="J464"/>
    </row>
    <row r="465" spans="1:10" x14ac:dyDescent="0.2">
      <c r="A465" s="22"/>
      <c r="B465" s="107"/>
      <c r="C465" s="107"/>
      <c r="D465" s="108"/>
      <c r="E465" s="22"/>
      <c r="F465" s="109"/>
      <c r="G465" s="22"/>
      <c r="H465" s="22"/>
      <c r="J465"/>
    </row>
    <row r="466" spans="1:10" x14ac:dyDescent="0.2">
      <c r="A466" s="22"/>
      <c r="B466" s="107"/>
      <c r="C466" s="107"/>
      <c r="D466" s="108"/>
      <c r="E466" s="22"/>
      <c r="F466" s="109"/>
      <c r="G466" s="22"/>
      <c r="H466" s="22"/>
      <c r="J466"/>
    </row>
    <row r="467" spans="1:10" x14ac:dyDescent="0.2">
      <c r="A467" s="22"/>
      <c r="B467" s="107"/>
      <c r="C467" s="107"/>
      <c r="D467" s="108"/>
      <c r="E467" s="22"/>
      <c r="F467" s="109"/>
      <c r="G467" s="22"/>
      <c r="H467" s="22"/>
      <c r="J467"/>
    </row>
    <row r="468" spans="1:10" x14ac:dyDescent="0.2">
      <c r="A468" s="22"/>
      <c r="B468" s="107"/>
      <c r="C468" s="107"/>
      <c r="D468" s="108"/>
      <c r="E468" s="22"/>
      <c r="F468" s="109"/>
      <c r="G468" s="22"/>
      <c r="H468" s="22"/>
      <c r="J468"/>
    </row>
    <row r="469" spans="1:10" x14ac:dyDescent="0.2">
      <c r="A469" s="22"/>
      <c r="B469" s="107"/>
      <c r="C469" s="107"/>
      <c r="D469" s="108"/>
      <c r="E469" s="22"/>
      <c r="F469" s="109"/>
      <c r="G469" s="22"/>
      <c r="H469" s="22"/>
      <c r="J469"/>
    </row>
    <row r="470" spans="1:10" x14ac:dyDescent="0.2">
      <c r="A470" s="22"/>
      <c r="B470" s="107"/>
      <c r="C470" s="107"/>
      <c r="D470" s="108"/>
      <c r="E470" s="22"/>
      <c r="F470" s="109"/>
      <c r="G470" s="22"/>
      <c r="H470" s="22"/>
      <c r="J470"/>
    </row>
    <row r="471" spans="1:10" x14ac:dyDescent="0.2">
      <c r="A471" s="22"/>
      <c r="B471" s="107"/>
      <c r="C471" s="107"/>
      <c r="D471" s="108"/>
      <c r="E471" s="22"/>
      <c r="F471" s="109"/>
      <c r="G471" s="22"/>
      <c r="H471" s="22"/>
      <c r="J471"/>
    </row>
    <row r="472" spans="1:10" x14ac:dyDescent="0.2">
      <c r="A472" s="22"/>
      <c r="B472" s="107"/>
      <c r="C472" s="107"/>
      <c r="D472" s="108"/>
      <c r="E472" s="22"/>
      <c r="F472" s="109"/>
      <c r="G472" s="22"/>
      <c r="H472" s="22"/>
      <c r="J472"/>
    </row>
    <row r="473" spans="1:10" x14ac:dyDescent="0.2">
      <c r="A473" s="22"/>
      <c r="B473" s="107"/>
      <c r="C473" s="107"/>
      <c r="D473" s="108"/>
      <c r="E473" s="22"/>
      <c r="F473" s="109"/>
      <c r="G473" s="22"/>
      <c r="H473" s="22"/>
      <c r="J473"/>
    </row>
    <row r="474" spans="1:10" x14ac:dyDescent="0.2">
      <c r="A474" s="22"/>
      <c r="B474" s="107"/>
      <c r="C474" s="107"/>
      <c r="D474" s="108"/>
      <c r="E474" s="22"/>
      <c r="F474" s="109"/>
      <c r="G474" s="22"/>
      <c r="H474" s="22"/>
      <c r="J474"/>
    </row>
    <row r="475" spans="1:10" x14ac:dyDescent="0.2">
      <c r="A475" s="22"/>
      <c r="B475" s="107"/>
      <c r="C475" s="107"/>
      <c r="D475" s="108"/>
      <c r="E475" s="22"/>
      <c r="F475" s="109"/>
      <c r="G475" s="22"/>
      <c r="H475" s="22"/>
      <c r="J475"/>
    </row>
    <row r="476" spans="1:10" x14ac:dyDescent="0.2">
      <c r="A476" s="22"/>
      <c r="B476" s="107"/>
      <c r="C476" s="107"/>
      <c r="D476" s="108"/>
      <c r="E476" s="22"/>
      <c r="F476" s="109"/>
      <c r="G476" s="22"/>
      <c r="H476" s="22"/>
      <c r="J476"/>
    </row>
    <row r="477" spans="1:10" x14ac:dyDescent="0.2">
      <c r="A477" s="22"/>
      <c r="B477" s="107"/>
      <c r="C477" s="107"/>
      <c r="D477" s="108"/>
      <c r="E477" s="22"/>
      <c r="F477" s="109"/>
      <c r="G477" s="22"/>
      <c r="H477" s="22"/>
      <c r="J477"/>
    </row>
    <row r="478" spans="1:10" x14ac:dyDescent="0.2">
      <c r="A478" s="22"/>
      <c r="B478" s="107"/>
      <c r="C478" s="107"/>
      <c r="D478" s="108"/>
      <c r="E478" s="22"/>
      <c r="F478" s="109"/>
      <c r="G478" s="22"/>
      <c r="H478" s="22"/>
      <c r="J478"/>
    </row>
    <row r="479" spans="1:10" x14ac:dyDescent="0.2">
      <c r="A479" s="22"/>
      <c r="B479" s="107"/>
      <c r="C479" s="107"/>
      <c r="D479" s="108"/>
      <c r="E479" s="22"/>
      <c r="F479" s="109"/>
      <c r="G479" s="22"/>
      <c r="H479" s="22"/>
      <c r="J479"/>
    </row>
    <row r="480" spans="1:10" x14ac:dyDescent="0.2">
      <c r="A480" s="22"/>
      <c r="B480" s="107"/>
      <c r="C480" s="107"/>
      <c r="D480" s="108"/>
      <c r="E480" s="22"/>
      <c r="F480" s="109"/>
      <c r="G480" s="22"/>
      <c r="H480" s="22"/>
      <c r="J480"/>
    </row>
    <row r="481" spans="1:10" x14ac:dyDescent="0.2">
      <c r="A481" s="22"/>
      <c r="B481" s="107"/>
      <c r="C481" s="107"/>
      <c r="D481" s="108"/>
      <c r="E481" s="22"/>
      <c r="F481" s="109"/>
      <c r="G481" s="22"/>
      <c r="H481" s="22"/>
      <c r="J481"/>
    </row>
    <row r="482" spans="1:10" x14ac:dyDescent="0.2">
      <c r="A482" s="22"/>
      <c r="B482" s="107"/>
      <c r="C482" s="107"/>
      <c r="D482" s="108"/>
      <c r="E482" s="22"/>
      <c r="F482" s="109"/>
      <c r="G482" s="22"/>
      <c r="H482" s="22"/>
      <c r="J482"/>
    </row>
    <row r="483" spans="1:10" x14ac:dyDescent="0.2">
      <c r="A483" s="22"/>
      <c r="B483" s="107"/>
      <c r="C483" s="107"/>
      <c r="D483" s="108"/>
      <c r="E483" s="22"/>
      <c r="F483" s="109"/>
      <c r="G483" s="22"/>
      <c r="H483" s="22"/>
      <c r="J483"/>
    </row>
    <row r="484" spans="1:10" x14ac:dyDescent="0.2">
      <c r="A484" s="22"/>
      <c r="B484" s="107"/>
      <c r="C484" s="107"/>
      <c r="D484" s="108"/>
      <c r="E484" s="22"/>
      <c r="F484" s="109"/>
      <c r="G484" s="22"/>
      <c r="H484" s="22"/>
      <c r="J484"/>
    </row>
    <row r="485" spans="1:10" x14ac:dyDescent="0.2">
      <c r="A485" s="22"/>
      <c r="B485" s="107"/>
      <c r="C485" s="107"/>
      <c r="D485" s="108"/>
      <c r="E485" s="22"/>
      <c r="F485" s="109"/>
      <c r="G485" s="22"/>
      <c r="H485" s="22"/>
      <c r="J485"/>
    </row>
    <row r="486" spans="1:10" x14ac:dyDescent="0.2">
      <c r="A486" s="22"/>
      <c r="B486" s="107"/>
      <c r="C486" s="107"/>
      <c r="D486" s="108"/>
      <c r="E486" s="22"/>
      <c r="F486" s="109"/>
      <c r="G486" s="22"/>
      <c r="H486" s="22"/>
      <c r="J486"/>
    </row>
    <row r="487" spans="1:10" x14ac:dyDescent="0.2">
      <c r="A487" s="22"/>
      <c r="B487" s="107"/>
      <c r="C487" s="107"/>
      <c r="D487" s="108"/>
      <c r="E487" s="22"/>
      <c r="F487" s="109"/>
      <c r="G487" s="22"/>
      <c r="H487" s="22"/>
      <c r="J487"/>
    </row>
    <row r="488" spans="1:10" x14ac:dyDescent="0.2">
      <c r="A488" s="22"/>
      <c r="B488" s="107"/>
      <c r="C488" s="107"/>
      <c r="D488" s="108"/>
      <c r="E488" s="22"/>
      <c r="F488" s="109"/>
      <c r="G488" s="22"/>
      <c r="H488" s="22"/>
      <c r="J488"/>
    </row>
    <row r="489" spans="1:10" x14ac:dyDescent="0.2">
      <c r="A489" s="22"/>
      <c r="B489" s="107"/>
      <c r="C489" s="107"/>
      <c r="D489" s="108"/>
      <c r="E489" s="22"/>
      <c r="F489" s="109"/>
      <c r="G489" s="22"/>
      <c r="H489" s="22"/>
      <c r="J489"/>
    </row>
    <row r="490" spans="1:10" x14ac:dyDescent="0.2">
      <c r="A490" s="22"/>
      <c r="B490" s="107"/>
      <c r="C490" s="107"/>
      <c r="D490" s="108"/>
      <c r="E490" s="22"/>
      <c r="F490" s="109"/>
      <c r="G490" s="22"/>
      <c r="H490" s="22"/>
      <c r="J490"/>
    </row>
    <row r="491" spans="1:10" x14ac:dyDescent="0.2">
      <c r="A491" s="22"/>
      <c r="B491" s="107"/>
      <c r="C491" s="107"/>
      <c r="D491" s="108"/>
      <c r="E491" s="22"/>
      <c r="F491" s="109"/>
      <c r="G491" s="22"/>
      <c r="H491" s="22"/>
      <c r="J491"/>
    </row>
    <row r="492" spans="1:10" x14ac:dyDescent="0.2">
      <c r="A492" s="22"/>
      <c r="B492" s="107"/>
      <c r="C492" s="107"/>
      <c r="D492" s="108"/>
      <c r="E492" s="22"/>
      <c r="F492" s="109"/>
      <c r="G492" s="22"/>
      <c r="H492" s="22"/>
      <c r="J492"/>
    </row>
    <row r="493" spans="1:10" x14ac:dyDescent="0.2">
      <c r="A493" s="22"/>
      <c r="B493" s="107"/>
      <c r="C493" s="107"/>
      <c r="D493" s="108"/>
      <c r="E493" s="22"/>
      <c r="F493" s="109"/>
      <c r="G493" s="22"/>
      <c r="H493" s="22"/>
      <c r="J493"/>
    </row>
    <row r="494" spans="1:10" x14ac:dyDescent="0.2">
      <c r="A494" s="22"/>
      <c r="B494" s="107"/>
      <c r="C494" s="107"/>
      <c r="D494" s="108"/>
      <c r="E494" s="22"/>
      <c r="F494" s="109"/>
      <c r="G494" s="22"/>
      <c r="H494" s="22"/>
      <c r="J494"/>
    </row>
    <row r="495" spans="1:10" x14ac:dyDescent="0.2">
      <c r="A495" s="22"/>
      <c r="B495" s="107"/>
      <c r="C495" s="107"/>
      <c r="D495" s="108"/>
      <c r="E495" s="22"/>
      <c r="F495" s="109"/>
      <c r="G495" s="22"/>
      <c r="H495" s="22"/>
      <c r="J495"/>
    </row>
    <row r="496" spans="1:10" x14ac:dyDescent="0.2">
      <c r="A496" s="22"/>
      <c r="B496" s="107"/>
      <c r="C496" s="107"/>
      <c r="D496" s="108"/>
      <c r="E496" s="22"/>
      <c r="F496" s="109"/>
      <c r="G496" s="22"/>
      <c r="H496" s="22"/>
      <c r="J496"/>
    </row>
    <row r="497" spans="1:10" x14ac:dyDescent="0.2">
      <c r="A497" s="22"/>
      <c r="B497" s="107"/>
      <c r="C497" s="107"/>
      <c r="D497" s="108"/>
      <c r="E497" s="22"/>
      <c r="F497" s="109"/>
      <c r="G497" s="22"/>
      <c r="H497" s="22"/>
      <c r="J497"/>
    </row>
    <row r="498" spans="1:10" x14ac:dyDescent="0.2">
      <c r="A498" s="22"/>
      <c r="B498" s="107"/>
      <c r="C498" s="107"/>
      <c r="D498" s="108"/>
      <c r="E498" s="22"/>
      <c r="F498" s="109"/>
      <c r="G498" s="22"/>
      <c r="H498" s="22"/>
      <c r="J498"/>
    </row>
    <row r="499" spans="1:10" x14ac:dyDescent="0.2">
      <c r="A499" s="22"/>
      <c r="B499" s="107"/>
      <c r="C499" s="107"/>
      <c r="D499" s="108"/>
      <c r="E499" s="22"/>
      <c r="F499" s="109"/>
      <c r="G499" s="22"/>
      <c r="H499" s="22"/>
      <c r="J499"/>
    </row>
    <row r="500" spans="1:10" x14ac:dyDescent="0.2">
      <c r="A500" s="22"/>
      <c r="B500" s="107"/>
      <c r="C500" s="107"/>
      <c r="D500" s="108"/>
      <c r="E500" s="22"/>
      <c r="F500" s="109"/>
      <c r="G500" s="22"/>
      <c r="H500" s="22"/>
      <c r="J500"/>
    </row>
    <row r="501" spans="1:10" x14ac:dyDescent="0.2">
      <c r="A501" s="22"/>
      <c r="B501" s="107"/>
      <c r="C501" s="107"/>
      <c r="D501" s="108"/>
      <c r="E501" s="22"/>
      <c r="F501" s="109"/>
      <c r="G501" s="22"/>
      <c r="H501" s="22"/>
      <c r="J501"/>
    </row>
    <row r="502" spans="1:10" x14ac:dyDescent="0.2">
      <c r="A502" s="22"/>
      <c r="B502" s="107"/>
      <c r="C502" s="107"/>
      <c r="D502" s="108"/>
      <c r="E502" s="22"/>
      <c r="F502" s="109"/>
      <c r="G502" s="22"/>
      <c r="H502" s="22"/>
      <c r="J502"/>
    </row>
    <row r="503" spans="1:10" x14ac:dyDescent="0.2">
      <c r="A503" s="22"/>
      <c r="B503" s="107"/>
      <c r="C503" s="107"/>
      <c r="D503" s="108"/>
      <c r="E503" s="22"/>
      <c r="F503" s="109"/>
      <c r="G503" s="22"/>
      <c r="H503" s="22"/>
      <c r="J503"/>
    </row>
    <row r="504" spans="1:10" x14ac:dyDescent="0.2">
      <c r="A504" s="22"/>
      <c r="B504" s="107"/>
      <c r="C504" s="107"/>
      <c r="D504" s="108"/>
      <c r="E504" s="22"/>
      <c r="F504" s="109"/>
      <c r="G504" s="22"/>
      <c r="H504" s="22"/>
      <c r="J504"/>
    </row>
    <row r="505" spans="1:10" x14ac:dyDescent="0.2">
      <c r="A505" s="22"/>
      <c r="B505" s="107"/>
      <c r="C505" s="107"/>
      <c r="D505" s="108"/>
      <c r="E505" s="22"/>
      <c r="F505" s="109"/>
      <c r="G505" s="22"/>
      <c r="H505" s="22"/>
      <c r="J505"/>
    </row>
    <row r="506" spans="1:10" x14ac:dyDescent="0.2">
      <c r="A506" s="22"/>
      <c r="B506" s="107"/>
      <c r="C506" s="107"/>
      <c r="D506" s="108"/>
      <c r="E506" s="22"/>
      <c r="F506" s="109"/>
      <c r="G506" s="22"/>
      <c r="H506" s="22"/>
      <c r="J506"/>
    </row>
    <row r="507" spans="1:10" x14ac:dyDescent="0.2">
      <c r="A507" s="22"/>
      <c r="B507" s="107"/>
      <c r="C507" s="107"/>
      <c r="D507" s="108"/>
      <c r="E507" s="22"/>
      <c r="F507" s="109"/>
      <c r="G507" s="22"/>
      <c r="H507" s="22"/>
      <c r="J507"/>
    </row>
    <row r="508" spans="1:10" x14ac:dyDescent="0.2">
      <c r="A508" s="22"/>
      <c r="B508" s="107"/>
      <c r="C508" s="107"/>
      <c r="D508" s="108"/>
      <c r="E508" s="22"/>
      <c r="F508" s="109"/>
      <c r="G508" s="22"/>
      <c r="H508" s="22"/>
      <c r="J508"/>
    </row>
    <row r="509" spans="1:10" x14ac:dyDescent="0.2">
      <c r="A509" s="22"/>
      <c r="B509" s="107"/>
      <c r="C509" s="107"/>
      <c r="D509" s="108"/>
      <c r="E509" s="22"/>
      <c r="F509" s="109"/>
      <c r="G509" s="22"/>
      <c r="H509" s="22"/>
      <c r="J509"/>
    </row>
    <row r="510" spans="1:10" x14ac:dyDescent="0.2">
      <c r="A510" s="22"/>
      <c r="B510" s="107"/>
      <c r="C510" s="107"/>
      <c r="D510" s="108"/>
      <c r="E510" s="22"/>
      <c r="F510" s="109"/>
      <c r="G510" s="22"/>
      <c r="H510" s="22"/>
      <c r="J510"/>
    </row>
    <row r="511" spans="1:10" x14ac:dyDescent="0.2">
      <c r="A511" s="22"/>
      <c r="B511" s="107"/>
      <c r="C511" s="107"/>
      <c r="D511" s="108"/>
      <c r="E511" s="22"/>
      <c r="F511" s="109"/>
      <c r="G511" s="22"/>
      <c r="H511" s="22"/>
      <c r="J511"/>
    </row>
    <row r="512" spans="1:10" x14ac:dyDescent="0.2">
      <c r="A512" s="22"/>
      <c r="B512" s="107"/>
      <c r="C512" s="107"/>
      <c r="D512" s="108"/>
      <c r="E512" s="22"/>
      <c r="F512" s="109"/>
      <c r="G512" s="22"/>
      <c r="H512" s="22"/>
      <c r="J512"/>
    </row>
    <row r="513" spans="1:10" x14ac:dyDescent="0.2">
      <c r="A513" s="22"/>
      <c r="B513" s="107"/>
      <c r="C513" s="107"/>
      <c r="D513" s="108"/>
      <c r="E513" s="22"/>
      <c r="F513" s="109"/>
      <c r="G513" s="22"/>
      <c r="H513" s="22"/>
      <c r="J513"/>
    </row>
    <row r="514" spans="1:10" x14ac:dyDescent="0.2">
      <c r="A514" s="22"/>
      <c r="B514" s="107"/>
      <c r="C514" s="107"/>
      <c r="D514" s="108"/>
      <c r="E514" s="22"/>
      <c r="F514" s="109"/>
      <c r="G514" s="22"/>
      <c r="H514" s="22"/>
      <c r="J514"/>
    </row>
    <row r="515" spans="1:10" x14ac:dyDescent="0.2">
      <c r="A515" s="22"/>
      <c r="B515" s="107"/>
      <c r="C515" s="107"/>
      <c r="D515" s="108"/>
      <c r="E515" s="22"/>
      <c r="F515" s="109"/>
      <c r="G515" s="22"/>
      <c r="H515" s="22"/>
      <c r="J515"/>
    </row>
    <row r="516" spans="1:10" x14ac:dyDescent="0.2">
      <c r="A516" s="22"/>
      <c r="B516" s="107"/>
      <c r="C516" s="107"/>
      <c r="D516" s="108"/>
      <c r="E516" s="22"/>
      <c r="F516" s="109"/>
      <c r="G516" s="22"/>
      <c r="H516" s="22"/>
      <c r="J516"/>
    </row>
    <row r="517" spans="1:10" x14ac:dyDescent="0.2">
      <c r="A517" s="22"/>
      <c r="B517" s="107"/>
      <c r="C517" s="107"/>
      <c r="D517" s="108"/>
      <c r="E517" s="22"/>
      <c r="F517" s="109"/>
      <c r="G517" s="22"/>
      <c r="H517" s="22"/>
      <c r="J517"/>
    </row>
    <row r="518" spans="1:10" x14ac:dyDescent="0.2">
      <c r="A518" s="22"/>
      <c r="B518" s="107"/>
      <c r="C518" s="107"/>
      <c r="D518" s="108"/>
      <c r="E518" s="22"/>
      <c r="F518" s="109"/>
      <c r="G518" s="22"/>
      <c r="H518" s="22"/>
      <c r="J518"/>
    </row>
    <row r="519" spans="1:10" x14ac:dyDescent="0.2">
      <c r="A519" s="22"/>
      <c r="B519" s="107"/>
      <c r="C519" s="107"/>
      <c r="D519" s="108"/>
      <c r="E519" s="22"/>
      <c r="F519" s="109"/>
      <c r="G519" s="22"/>
      <c r="H519" s="22"/>
      <c r="J519"/>
    </row>
    <row r="520" spans="1:10" x14ac:dyDescent="0.2">
      <c r="A520" s="22"/>
      <c r="B520" s="107"/>
      <c r="C520" s="107"/>
      <c r="D520" s="108"/>
      <c r="E520" s="22"/>
      <c r="F520" s="109"/>
      <c r="G520" s="22"/>
      <c r="H520" s="22"/>
      <c r="J520"/>
    </row>
    <row r="521" spans="1:10" x14ac:dyDescent="0.2">
      <c r="A521" s="22"/>
      <c r="B521" s="107"/>
      <c r="C521" s="107"/>
      <c r="D521" s="108"/>
      <c r="E521" s="22"/>
      <c r="F521" s="109"/>
      <c r="G521" s="22"/>
      <c r="H521" s="22"/>
      <c r="J521"/>
    </row>
    <row r="522" spans="1:10" x14ac:dyDescent="0.2">
      <c r="A522" s="22"/>
      <c r="B522" s="107"/>
      <c r="C522" s="107"/>
      <c r="D522" s="108"/>
      <c r="E522" s="22"/>
      <c r="F522" s="109"/>
      <c r="G522" s="22"/>
      <c r="H522" s="22"/>
      <c r="J522"/>
    </row>
    <row r="523" spans="1:10" x14ac:dyDescent="0.2">
      <c r="A523" s="22"/>
      <c r="B523" s="107"/>
      <c r="C523" s="107"/>
      <c r="D523" s="108"/>
      <c r="E523" s="22"/>
      <c r="F523" s="109"/>
      <c r="G523" s="22"/>
      <c r="H523" s="22"/>
      <c r="J523"/>
    </row>
    <row r="524" spans="1:10" x14ac:dyDescent="0.2">
      <c r="A524" s="22"/>
      <c r="B524" s="107"/>
      <c r="C524" s="107"/>
      <c r="D524" s="108"/>
      <c r="E524" s="22"/>
      <c r="F524" s="109"/>
      <c r="G524" s="22"/>
      <c r="H524" s="22"/>
      <c r="J524"/>
    </row>
    <row r="525" spans="1:10" x14ac:dyDescent="0.2">
      <c r="A525" s="22"/>
      <c r="B525" s="107"/>
      <c r="C525" s="107"/>
      <c r="D525" s="108"/>
      <c r="E525" s="22"/>
      <c r="F525" s="109"/>
      <c r="G525" s="22"/>
      <c r="H525" s="22"/>
      <c r="J525"/>
    </row>
    <row r="526" spans="1:10" x14ac:dyDescent="0.2">
      <c r="A526" s="22"/>
      <c r="B526" s="107"/>
      <c r="C526" s="107"/>
      <c r="D526" s="108"/>
      <c r="E526" s="22"/>
      <c r="F526" s="109"/>
      <c r="G526" s="22"/>
      <c r="H526" s="22"/>
      <c r="J526"/>
    </row>
    <row r="527" spans="1:10" x14ac:dyDescent="0.2">
      <c r="A527" s="22"/>
      <c r="B527" s="107"/>
      <c r="C527" s="107"/>
      <c r="D527" s="108"/>
      <c r="E527" s="22"/>
      <c r="F527" s="109"/>
      <c r="G527" s="22"/>
      <c r="H527" s="22"/>
      <c r="J527"/>
    </row>
    <row r="528" spans="1:10" x14ac:dyDescent="0.2">
      <c r="A528" s="22"/>
      <c r="B528" s="107"/>
      <c r="C528" s="107"/>
      <c r="D528" s="108"/>
      <c r="E528" s="22"/>
      <c r="F528" s="109"/>
      <c r="G528" s="22"/>
      <c r="H528" s="22"/>
      <c r="J528"/>
    </row>
    <row r="529" spans="1:10" x14ac:dyDescent="0.2">
      <c r="A529" s="22"/>
      <c r="B529" s="107"/>
      <c r="C529" s="107"/>
      <c r="D529" s="108"/>
      <c r="E529" s="22"/>
      <c r="F529" s="109"/>
      <c r="G529" s="22"/>
      <c r="H529" s="22"/>
      <c r="J529"/>
    </row>
    <row r="530" spans="1:10" x14ac:dyDescent="0.2">
      <c r="A530" s="22"/>
      <c r="B530" s="107"/>
      <c r="C530" s="107"/>
      <c r="D530" s="108"/>
      <c r="E530" s="22"/>
      <c r="F530" s="109"/>
      <c r="G530" s="22"/>
      <c r="H530" s="22"/>
      <c r="J530"/>
    </row>
    <row r="531" spans="1:10" x14ac:dyDescent="0.2">
      <c r="A531" s="22"/>
      <c r="B531" s="107"/>
      <c r="C531" s="107"/>
      <c r="D531" s="108"/>
      <c r="E531" s="22"/>
      <c r="F531" s="109"/>
      <c r="G531" s="22"/>
      <c r="H531" s="22"/>
      <c r="J531"/>
    </row>
    <row r="532" spans="1:10" x14ac:dyDescent="0.2">
      <c r="A532" s="22"/>
      <c r="B532" s="107"/>
      <c r="C532" s="107"/>
      <c r="D532" s="108"/>
      <c r="E532" s="22"/>
      <c r="F532" s="109"/>
      <c r="G532" s="22"/>
      <c r="H532" s="22"/>
      <c r="J532"/>
    </row>
    <row r="533" spans="1:10" x14ac:dyDescent="0.2">
      <c r="A533" s="22"/>
      <c r="B533" s="107"/>
      <c r="C533" s="107"/>
      <c r="D533" s="108"/>
      <c r="E533" s="22"/>
      <c r="F533" s="109"/>
      <c r="G533" s="22"/>
      <c r="H533" s="22"/>
      <c r="J533"/>
    </row>
    <row r="534" spans="1:10" x14ac:dyDescent="0.2">
      <c r="A534" s="22"/>
      <c r="B534" s="107"/>
      <c r="C534" s="107"/>
      <c r="D534" s="108"/>
      <c r="E534" s="22"/>
      <c r="F534" s="109"/>
      <c r="G534" s="22"/>
      <c r="H534" s="22"/>
      <c r="J534"/>
    </row>
    <row r="535" spans="1:10" x14ac:dyDescent="0.2">
      <c r="A535" s="22"/>
      <c r="B535" s="107"/>
      <c r="C535" s="107"/>
      <c r="D535" s="108"/>
      <c r="E535" s="22"/>
      <c r="F535" s="109"/>
      <c r="G535" s="22"/>
      <c r="H535" s="22"/>
      <c r="J535"/>
    </row>
    <row r="536" spans="1:10" x14ac:dyDescent="0.2">
      <c r="A536" s="22"/>
      <c r="B536" s="107"/>
      <c r="C536" s="107"/>
      <c r="D536" s="108"/>
      <c r="E536" s="22"/>
      <c r="F536" s="109"/>
      <c r="G536" s="22"/>
      <c r="H536" s="22"/>
      <c r="J536"/>
    </row>
    <row r="537" spans="1:10" x14ac:dyDescent="0.2">
      <c r="A537" s="22"/>
      <c r="B537" s="107"/>
      <c r="C537" s="107"/>
      <c r="D537" s="108"/>
      <c r="E537" s="22"/>
      <c r="F537" s="109"/>
      <c r="G537" s="22"/>
      <c r="H537" s="22"/>
      <c r="J537"/>
    </row>
    <row r="538" spans="1:10" x14ac:dyDescent="0.2">
      <c r="A538" s="22"/>
      <c r="B538" s="107"/>
      <c r="C538" s="107"/>
      <c r="D538" s="108"/>
      <c r="E538" s="22"/>
      <c r="F538" s="109"/>
      <c r="G538" s="22"/>
      <c r="H538" s="22"/>
      <c r="J538"/>
    </row>
    <row r="539" spans="1:10" x14ac:dyDescent="0.2">
      <c r="A539" s="22"/>
      <c r="B539" s="107"/>
      <c r="C539" s="107"/>
      <c r="D539" s="108"/>
      <c r="E539" s="22"/>
      <c r="F539" s="109"/>
      <c r="G539" s="22"/>
      <c r="H539" s="22"/>
      <c r="J539"/>
    </row>
    <row r="540" spans="1:10" x14ac:dyDescent="0.2">
      <c r="A540" s="22"/>
      <c r="B540" s="107"/>
      <c r="C540" s="107"/>
      <c r="D540" s="108"/>
      <c r="E540" s="22"/>
      <c r="F540" s="109"/>
      <c r="G540" s="22"/>
      <c r="H540" s="22"/>
      <c r="J540"/>
    </row>
    <row r="541" spans="1:10" x14ac:dyDescent="0.2">
      <c r="A541" s="22"/>
      <c r="B541" s="107"/>
      <c r="C541" s="107"/>
      <c r="D541" s="108"/>
      <c r="E541" s="22"/>
      <c r="F541" s="109"/>
      <c r="G541" s="22"/>
      <c r="H541" s="22"/>
      <c r="J541"/>
    </row>
    <row r="542" spans="1:10" x14ac:dyDescent="0.2">
      <c r="A542" s="22"/>
      <c r="B542" s="107"/>
      <c r="C542" s="107"/>
      <c r="D542" s="108"/>
      <c r="E542" s="22"/>
      <c r="F542" s="109"/>
      <c r="G542" s="22"/>
      <c r="H542" s="22"/>
      <c r="J542"/>
    </row>
    <row r="543" spans="1:10" x14ac:dyDescent="0.2">
      <c r="A543" s="22"/>
      <c r="B543" s="107"/>
      <c r="C543" s="107"/>
      <c r="D543" s="108"/>
      <c r="E543" s="22"/>
      <c r="F543" s="109"/>
      <c r="G543" s="22"/>
      <c r="H543" s="22"/>
      <c r="J543"/>
    </row>
    <row r="544" spans="1:10" x14ac:dyDescent="0.2">
      <c r="A544" s="22"/>
      <c r="B544" s="107"/>
      <c r="C544" s="107"/>
      <c r="D544" s="108"/>
      <c r="E544" s="22"/>
      <c r="F544" s="109"/>
      <c r="G544" s="22"/>
      <c r="H544" s="22"/>
      <c r="J544"/>
    </row>
    <row r="545" spans="1:10" x14ac:dyDescent="0.2">
      <c r="A545" s="22"/>
      <c r="B545" s="107"/>
      <c r="C545" s="107"/>
      <c r="D545" s="108"/>
      <c r="E545" s="22"/>
      <c r="F545" s="109"/>
      <c r="G545" s="22"/>
      <c r="H545" s="22"/>
      <c r="J545"/>
    </row>
    <row r="546" spans="1:10" x14ac:dyDescent="0.2">
      <c r="A546" s="22"/>
      <c r="B546" s="107"/>
      <c r="C546" s="107"/>
      <c r="D546" s="108"/>
      <c r="E546" s="22"/>
      <c r="F546" s="109"/>
      <c r="G546" s="22"/>
      <c r="H546" s="22"/>
      <c r="J546"/>
    </row>
    <row r="547" spans="1:10" x14ac:dyDescent="0.2">
      <c r="A547" s="22"/>
      <c r="B547" s="107"/>
      <c r="C547" s="107"/>
      <c r="D547" s="108"/>
      <c r="E547" s="22"/>
      <c r="F547" s="109"/>
      <c r="G547" s="22"/>
      <c r="H547" s="22"/>
      <c r="J547"/>
    </row>
    <row r="548" spans="1:10" x14ac:dyDescent="0.2">
      <c r="A548" s="22"/>
      <c r="B548" s="107"/>
      <c r="C548" s="107"/>
      <c r="D548" s="108"/>
      <c r="E548" s="22"/>
      <c r="F548" s="109"/>
      <c r="G548" s="22"/>
      <c r="H548" s="22"/>
      <c r="J548"/>
    </row>
    <row r="549" spans="1:10" x14ac:dyDescent="0.2">
      <c r="A549" s="22"/>
      <c r="B549" s="107"/>
      <c r="C549" s="107"/>
      <c r="D549" s="108"/>
      <c r="E549" s="22"/>
      <c r="F549" s="109"/>
      <c r="G549" s="22"/>
      <c r="H549" s="22"/>
      <c r="J549"/>
    </row>
    <row r="550" spans="1:10" x14ac:dyDescent="0.2">
      <c r="A550" s="22"/>
      <c r="B550" s="107"/>
      <c r="C550" s="107"/>
      <c r="D550" s="108"/>
      <c r="E550" s="22"/>
      <c r="F550" s="109"/>
      <c r="G550" s="22"/>
      <c r="H550" s="22"/>
      <c r="J550"/>
    </row>
    <row r="551" spans="1:10" x14ac:dyDescent="0.2">
      <c r="A551" s="22"/>
      <c r="B551" s="107"/>
      <c r="C551" s="107"/>
      <c r="D551" s="108"/>
      <c r="E551" s="22"/>
      <c r="F551" s="109"/>
      <c r="G551" s="22"/>
      <c r="H551" s="22"/>
      <c r="J551"/>
    </row>
    <row r="552" spans="1:10" x14ac:dyDescent="0.2">
      <c r="A552" s="22"/>
      <c r="B552" s="107"/>
      <c r="C552" s="107"/>
      <c r="D552" s="108"/>
      <c r="E552" s="22"/>
      <c r="F552" s="109"/>
      <c r="G552" s="22"/>
      <c r="H552" s="22"/>
      <c r="J552"/>
    </row>
    <row r="553" spans="1:10" x14ac:dyDescent="0.2">
      <c r="A553" s="22"/>
      <c r="B553" s="107"/>
      <c r="C553" s="107"/>
      <c r="D553" s="108"/>
      <c r="E553" s="22"/>
      <c r="F553" s="109"/>
      <c r="G553" s="22"/>
      <c r="H553" s="22"/>
      <c r="J553"/>
    </row>
    <row r="554" spans="1:10" x14ac:dyDescent="0.2">
      <c r="A554" s="22"/>
      <c r="B554" s="107"/>
      <c r="C554" s="107"/>
      <c r="D554" s="108"/>
      <c r="E554" s="22"/>
      <c r="F554" s="109"/>
      <c r="G554" s="22"/>
      <c r="H554" s="22"/>
      <c r="J554"/>
    </row>
    <row r="555" spans="1:10" x14ac:dyDescent="0.2">
      <c r="A555" s="22"/>
      <c r="B555" s="107"/>
      <c r="C555" s="107"/>
      <c r="D555" s="108"/>
      <c r="E555" s="22"/>
      <c r="F555" s="109"/>
      <c r="G555" s="22"/>
      <c r="H555" s="22"/>
      <c r="J555"/>
    </row>
    <row r="556" spans="1:10" x14ac:dyDescent="0.2">
      <c r="A556" s="22"/>
      <c r="B556" s="107"/>
      <c r="C556" s="107"/>
      <c r="D556" s="108"/>
      <c r="E556" s="22"/>
      <c r="F556" s="109"/>
      <c r="G556" s="22"/>
      <c r="H556" s="22"/>
      <c r="J556"/>
    </row>
    <row r="557" spans="1:10" x14ac:dyDescent="0.2">
      <c r="A557" s="22"/>
      <c r="B557" s="107"/>
      <c r="C557" s="107"/>
      <c r="D557" s="108"/>
      <c r="E557" s="22"/>
      <c r="F557" s="109"/>
      <c r="G557" s="22"/>
      <c r="H557" s="22"/>
      <c r="J557"/>
    </row>
    <row r="558" spans="1:10" x14ac:dyDescent="0.2">
      <c r="A558" s="22"/>
      <c r="B558" s="107"/>
      <c r="C558" s="107"/>
      <c r="D558" s="108"/>
      <c r="E558" s="22"/>
      <c r="F558" s="109"/>
      <c r="G558" s="22"/>
      <c r="H558" s="22"/>
      <c r="J558"/>
    </row>
    <row r="559" spans="1:10" x14ac:dyDescent="0.2">
      <c r="A559" s="22"/>
      <c r="B559" s="107"/>
      <c r="C559" s="107"/>
      <c r="D559" s="108"/>
      <c r="E559" s="22"/>
      <c r="F559" s="109"/>
      <c r="G559" s="22"/>
      <c r="H559" s="22"/>
      <c r="J559"/>
    </row>
    <row r="560" spans="1:10" x14ac:dyDescent="0.2">
      <c r="A560" s="22"/>
      <c r="B560" s="107"/>
      <c r="C560" s="107"/>
      <c r="D560" s="108"/>
      <c r="E560" s="22"/>
      <c r="F560" s="109"/>
      <c r="G560" s="22"/>
      <c r="H560" s="22"/>
      <c r="J560"/>
    </row>
    <row r="561" spans="1:10" x14ac:dyDescent="0.2">
      <c r="A561" s="22"/>
      <c r="B561" s="107"/>
      <c r="C561" s="107"/>
      <c r="D561" s="108"/>
      <c r="E561" s="22"/>
      <c r="F561" s="109"/>
      <c r="G561" s="22"/>
      <c r="H561" s="22"/>
      <c r="J561"/>
    </row>
    <row r="562" spans="1:10" x14ac:dyDescent="0.2">
      <c r="A562" s="22"/>
      <c r="B562" s="107"/>
      <c r="C562" s="107"/>
      <c r="D562" s="108"/>
      <c r="E562" s="22"/>
      <c r="F562" s="109"/>
      <c r="G562" s="22"/>
      <c r="H562" s="22"/>
      <c r="J562"/>
    </row>
    <row r="563" spans="1:10" x14ac:dyDescent="0.2">
      <c r="A563" s="22"/>
      <c r="B563" s="107"/>
      <c r="C563" s="107"/>
      <c r="D563" s="108"/>
      <c r="E563" s="22"/>
      <c r="F563" s="109"/>
      <c r="G563" s="22"/>
      <c r="H563" s="22"/>
      <c r="J563"/>
    </row>
    <row r="564" spans="1:10" x14ac:dyDescent="0.2">
      <c r="A564" s="22"/>
      <c r="B564" s="107"/>
      <c r="C564" s="107"/>
      <c r="D564" s="108"/>
      <c r="E564" s="22"/>
      <c r="F564" s="109"/>
      <c r="G564" s="22"/>
      <c r="H564" s="22"/>
      <c r="J564"/>
    </row>
    <row r="565" spans="1:10" x14ac:dyDescent="0.2">
      <c r="A565" s="22"/>
      <c r="B565" s="107"/>
      <c r="C565" s="107"/>
      <c r="D565" s="108"/>
      <c r="E565" s="22"/>
      <c r="F565" s="109"/>
      <c r="G565" s="22"/>
      <c r="H565" s="22"/>
      <c r="J565"/>
    </row>
    <row r="566" spans="1:10" x14ac:dyDescent="0.2">
      <c r="A566" s="22"/>
      <c r="B566" s="107"/>
      <c r="C566" s="107"/>
      <c r="D566" s="108"/>
      <c r="E566" s="22"/>
      <c r="F566" s="109"/>
      <c r="G566" s="22"/>
      <c r="H566" s="22"/>
      <c r="J566"/>
    </row>
    <row r="567" spans="1:10" x14ac:dyDescent="0.2">
      <c r="A567" s="22"/>
      <c r="B567" s="107"/>
      <c r="C567" s="107"/>
      <c r="D567" s="108"/>
      <c r="E567" s="22"/>
      <c r="F567" s="109"/>
      <c r="G567" s="22"/>
      <c r="H567" s="22"/>
      <c r="J567"/>
    </row>
    <row r="568" spans="1:10" x14ac:dyDescent="0.2">
      <c r="A568" s="22"/>
      <c r="B568" s="107"/>
      <c r="C568" s="107"/>
      <c r="D568" s="108"/>
      <c r="E568" s="22"/>
      <c r="F568" s="109"/>
      <c r="G568" s="22"/>
      <c r="H568" s="22"/>
      <c r="J568"/>
    </row>
    <row r="569" spans="1:10" x14ac:dyDescent="0.2">
      <c r="A569" s="22"/>
      <c r="B569" s="107"/>
      <c r="C569" s="107"/>
      <c r="D569" s="108"/>
      <c r="E569" s="22"/>
      <c r="F569" s="109"/>
      <c r="G569" s="22"/>
      <c r="H569" s="22"/>
      <c r="J569"/>
    </row>
    <row r="570" spans="1:10" x14ac:dyDescent="0.2">
      <c r="A570" s="22"/>
      <c r="B570" s="107"/>
      <c r="C570" s="107"/>
      <c r="D570" s="108"/>
      <c r="E570" s="22"/>
      <c r="F570" s="109"/>
      <c r="G570" s="22"/>
      <c r="H570" s="22"/>
      <c r="J570"/>
    </row>
    <row r="571" spans="1:10" x14ac:dyDescent="0.2">
      <c r="A571" s="22"/>
      <c r="B571" s="107"/>
      <c r="C571" s="107"/>
      <c r="D571" s="108"/>
      <c r="E571" s="22"/>
      <c r="F571" s="109"/>
      <c r="G571" s="22"/>
      <c r="H571" s="22"/>
      <c r="J571"/>
    </row>
    <row r="572" spans="1:10" x14ac:dyDescent="0.2">
      <c r="A572" s="22"/>
      <c r="B572" s="107"/>
      <c r="C572" s="107"/>
      <c r="D572" s="108"/>
      <c r="E572" s="22"/>
      <c r="F572" s="109"/>
      <c r="G572" s="22"/>
      <c r="H572" s="22"/>
      <c r="J572"/>
    </row>
    <row r="573" spans="1:10" x14ac:dyDescent="0.2">
      <c r="A573" s="22"/>
      <c r="B573" s="107"/>
      <c r="C573" s="107"/>
      <c r="D573" s="108"/>
      <c r="E573" s="22"/>
      <c r="F573" s="109"/>
      <c r="G573" s="22"/>
      <c r="H573" s="22"/>
      <c r="J573"/>
    </row>
    <row r="574" spans="1:10" x14ac:dyDescent="0.2">
      <c r="A574" s="22"/>
      <c r="B574" s="107"/>
      <c r="C574" s="107"/>
      <c r="D574" s="108"/>
      <c r="E574" s="22"/>
      <c r="F574" s="109"/>
      <c r="G574" s="22"/>
      <c r="H574" s="22"/>
      <c r="J574"/>
    </row>
    <row r="575" spans="1:10" x14ac:dyDescent="0.2">
      <c r="A575" s="22"/>
      <c r="B575" s="107"/>
      <c r="C575" s="107"/>
      <c r="D575" s="108"/>
      <c r="E575" s="22"/>
      <c r="F575" s="109"/>
      <c r="G575" s="22"/>
      <c r="H575" s="22"/>
      <c r="J575"/>
    </row>
    <row r="576" spans="1:10" x14ac:dyDescent="0.2">
      <c r="A576" s="22"/>
      <c r="B576" s="107"/>
      <c r="C576" s="107"/>
      <c r="D576" s="108"/>
      <c r="E576" s="22"/>
      <c r="F576" s="109"/>
      <c r="G576" s="22"/>
      <c r="H576" s="22"/>
      <c r="J576"/>
    </row>
    <row r="577" spans="1:10" x14ac:dyDescent="0.2">
      <c r="A577" s="22"/>
      <c r="B577" s="107"/>
      <c r="C577" s="107"/>
      <c r="D577" s="108"/>
      <c r="E577" s="22"/>
      <c r="F577" s="109"/>
      <c r="G577" s="22"/>
      <c r="H577" s="22"/>
      <c r="J577"/>
    </row>
    <row r="578" spans="1:10" x14ac:dyDescent="0.2">
      <c r="A578" s="22"/>
      <c r="B578" s="107"/>
      <c r="C578" s="107"/>
      <c r="D578" s="108"/>
      <c r="E578" s="22"/>
      <c r="F578" s="109"/>
      <c r="G578" s="22"/>
      <c r="H578" s="22"/>
      <c r="J578"/>
    </row>
    <row r="579" spans="1:10" x14ac:dyDescent="0.2">
      <c r="A579" s="22"/>
      <c r="B579" s="107"/>
      <c r="C579" s="107"/>
      <c r="D579" s="108"/>
      <c r="E579" s="22"/>
      <c r="F579" s="109"/>
      <c r="G579" s="22"/>
      <c r="H579" s="22"/>
      <c r="J579"/>
    </row>
    <row r="580" spans="1:10" x14ac:dyDescent="0.2">
      <c r="A580" s="22"/>
      <c r="B580" s="107"/>
      <c r="C580" s="107"/>
      <c r="D580" s="108"/>
      <c r="E580" s="22"/>
      <c r="F580" s="109"/>
      <c r="G580" s="22"/>
      <c r="H580" s="22"/>
      <c r="J580"/>
    </row>
    <row r="581" spans="1:10" x14ac:dyDescent="0.2">
      <c r="A581" s="22"/>
      <c r="B581" s="107"/>
      <c r="C581" s="107"/>
      <c r="D581" s="108"/>
      <c r="E581" s="22"/>
      <c r="F581" s="109"/>
      <c r="G581" s="22"/>
      <c r="H581" s="22"/>
      <c r="J581"/>
    </row>
    <row r="582" spans="1:10" x14ac:dyDescent="0.2">
      <c r="A582" s="22"/>
      <c r="B582" s="107"/>
      <c r="C582" s="107"/>
      <c r="D582" s="108"/>
      <c r="E582" s="22"/>
      <c r="F582" s="109"/>
      <c r="G582" s="22"/>
      <c r="H582" s="22"/>
      <c r="J582"/>
    </row>
    <row r="583" spans="1:10" x14ac:dyDescent="0.2">
      <c r="A583" s="22"/>
      <c r="B583" s="107"/>
      <c r="C583" s="107"/>
      <c r="D583" s="108"/>
      <c r="E583" s="22"/>
      <c r="F583" s="109"/>
      <c r="G583" s="22"/>
      <c r="H583" s="22"/>
      <c r="J583"/>
    </row>
    <row r="584" spans="1:10" x14ac:dyDescent="0.2">
      <c r="A584" s="22"/>
      <c r="B584" s="107"/>
      <c r="C584" s="107"/>
      <c r="D584" s="108"/>
      <c r="E584" s="22"/>
      <c r="F584" s="109"/>
      <c r="G584" s="22"/>
      <c r="H584" s="22"/>
      <c r="J584"/>
    </row>
    <row r="585" spans="1:10" x14ac:dyDescent="0.2">
      <c r="A585" s="22"/>
      <c r="B585" s="107"/>
      <c r="C585" s="107"/>
      <c r="D585" s="108"/>
      <c r="E585" s="22"/>
      <c r="F585" s="109"/>
      <c r="G585" s="22"/>
      <c r="H585" s="22"/>
      <c r="J585"/>
    </row>
    <row r="586" spans="1:10" x14ac:dyDescent="0.2">
      <c r="A586" s="22"/>
      <c r="B586" s="107"/>
      <c r="C586" s="107"/>
      <c r="D586" s="108"/>
      <c r="E586" s="22"/>
      <c r="F586" s="109"/>
      <c r="G586" s="22"/>
      <c r="H586" s="22"/>
      <c r="J586"/>
    </row>
    <row r="587" spans="1:10" x14ac:dyDescent="0.2">
      <c r="A587" s="22"/>
      <c r="B587" s="107"/>
      <c r="C587" s="107"/>
      <c r="D587" s="108"/>
      <c r="E587" s="22"/>
      <c r="F587" s="109"/>
      <c r="G587" s="22"/>
      <c r="H587" s="22"/>
      <c r="J587"/>
    </row>
    <row r="588" spans="1:10" x14ac:dyDescent="0.2">
      <c r="A588" s="22"/>
      <c r="B588" s="107"/>
      <c r="C588" s="107"/>
      <c r="D588" s="108"/>
      <c r="E588" s="22"/>
      <c r="F588" s="109"/>
      <c r="G588" s="22"/>
      <c r="H588" s="22"/>
      <c r="J588"/>
    </row>
    <row r="589" spans="1:10" x14ac:dyDescent="0.2">
      <c r="A589" s="22"/>
      <c r="B589" s="107"/>
      <c r="C589" s="107"/>
      <c r="D589" s="108"/>
      <c r="E589" s="22"/>
      <c r="F589" s="109"/>
      <c r="G589" s="22"/>
      <c r="H589" s="22"/>
      <c r="J589"/>
    </row>
    <row r="590" spans="1:10" x14ac:dyDescent="0.2">
      <c r="A590" s="22"/>
      <c r="B590" s="107"/>
      <c r="C590" s="107"/>
      <c r="D590" s="108"/>
      <c r="E590" s="22"/>
      <c r="F590" s="109"/>
      <c r="G590" s="22"/>
      <c r="H590" s="22"/>
      <c r="J590"/>
    </row>
    <row r="591" spans="1:10" x14ac:dyDescent="0.2">
      <c r="A591" s="22"/>
      <c r="B591" s="107"/>
      <c r="C591" s="107"/>
      <c r="D591" s="108"/>
      <c r="E591" s="22"/>
      <c r="F591" s="109"/>
      <c r="G591" s="22"/>
      <c r="H591" s="22"/>
      <c r="J591"/>
    </row>
    <row r="592" spans="1:10" x14ac:dyDescent="0.2">
      <c r="A592" s="22"/>
      <c r="B592" s="107"/>
      <c r="C592" s="107"/>
      <c r="D592" s="108"/>
      <c r="E592" s="22"/>
      <c r="F592" s="109"/>
      <c r="G592" s="22"/>
      <c r="H592" s="22"/>
      <c r="J592"/>
    </row>
    <row r="593" spans="1:10" x14ac:dyDescent="0.2">
      <c r="A593" s="22"/>
      <c r="B593" s="107"/>
      <c r="C593" s="107"/>
      <c r="D593" s="108"/>
      <c r="E593" s="22"/>
      <c r="F593" s="109"/>
      <c r="G593" s="22"/>
      <c r="H593" s="22"/>
      <c r="J593"/>
    </row>
    <row r="594" spans="1:10" x14ac:dyDescent="0.2">
      <c r="A594" s="22"/>
      <c r="B594" s="107"/>
      <c r="C594" s="107"/>
      <c r="D594" s="108"/>
      <c r="E594" s="22"/>
      <c r="F594" s="109"/>
      <c r="G594" s="22"/>
      <c r="H594" s="22"/>
      <c r="J594"/>
    </row>
    <row r="595" spans="1:10" x14ac:dyDescent="0.2">
      <c r="A595" s="22"/>
      <c r="B595" s="107"/>
      <c r="C595" s="107"/>
      <c r="D595" s="108"/>
      <c r="E595" s="22"/>
      <c r="F595" s="109"/>
      <c r="G595" s="22"/>
      <c r="H595" s="22"/>
      <c r="J595"/>
    </row>
    <row r="596" spans="1:10" x14ac:dyDescent="0.2">
      <c r="A596" s="22"/>
      <c r="B596" s="107"/>
      <c r="C596" s="107"/>
      <c r="D596" s="108"/>
      <c r="E596" s="22"/>
      <c r="F596" s="109"/>
      <c r="G596" s="22"/>
      <c r="H596" s="22"/>
      <c r="J596"/>
    </row>
    <row r="597" spans="1:10" x14ac:dyDescent="0.2">
      <c r="A597" s="22"/>
      <c r="B597" s="107"/>
      <c r="C597" s="107"/>
      <c r="D597" s="108"/>
      <c r="E597" s="22"/>
      <c r="F597" s="109"/>
      <c r="G597" s="22"/>
      <c r="H597" s="22"/>
      <c r="J597"/>
    </row>
    <row r="598" spans="1:10" x14ac:dyDescent="0.2">
      <c r="A598" s="22"/>
      <c r="B598" s="107"/>
      <c r="C598" s="107"/>
      <c r="D598" s="108"/>
      <c r="E598" s="22"/>
      <c r="F598" s="109"/>
      <c r="G598" s="22"/>
      <c r="H598" s="22"/>
      <c r="J598"/>
    </row>
    <row r="599" spans="1:10" x14ac:dyDescent="0.2">
      <c r="A599" s="22"/>
      <c r="B599" s="107"/>
      <c r="C599" s="107"/>
      <c r="D599" s="108"/>
      <c r="E599" s="22"/>
      <c r="F599" s="109"/>
      <c r="G599" s="22"/>
      <c r="H599" s="22"/>
      <c r="J599"/>
    </row>
    <row r="600" spans="1:10" x14ac:dyDescent="0.2">
      <c r="A600" s="22"/>
      <c r="B600" s="107"/>
      <c r="C600" s="107"/>
      <c r="D600" s="108"/>
      <c r="E600" s="22"/>
      <c r="F600" s="109"/>
      <c r="G600" s="22"/>
      <c r="H600" s="22"/>
      <c r="J600"/>
    </row>
    <row r="601" spans="1:10" x14ac:dyDescent="0.2">
      <c r="A601" s="22"/>
      <c r="B601" s="107"/>
      <c r="C601" s="107"/>
      <c r="D601" s="108"/>
      <c r="E601" s="22"/>
      <c r="F601" s="109"/>
      <c r="G601" s="22"/>
      <c r="H601" s="22"/>
      <c r="J601"/>
    </row>
    <row r="602" spans="1:10" x14ac:dyDescent="0.2">
      <c r="A602" s="22"/>
      <c r="B602" s="107"/>
      <c r="C602" s="107"/>
      <c r="D602" s="108"/>
      <c r="E602" s="22"/>
      <c r="F602" s="109"/>
      <c r="G602" s="22"/>
      <c r="H602" s="22"/>
      <c r="J602"/>
    </row>
    <row r="603" spans="1:10" x14ac:dyDescent="0.2">
      <c r="A603" s="22"/>
      <c r="B603" s="107"/>
      <c r="C603" s="107"/>
      <c r="D603" s="108"/>
      <c r="E603" s="22"/>
      <c r="F603" s="109"/>
      <c r="G603" s="22"/>
      <c r="H603" s="22"/>
      <c r="J603"/>
    </row>
    <row r="604" spans="1:10" x14ac:dyDescent="0.2">
      <c r="A604" s="22"/>
      <c r="B604" s="107"/>
      <c r="C604" s="107"/>
      <c r="D604" s="108"/>
      <c r="E604" s="22"/>
      <c r="F604" s="109"/>
      <c r="G604" s="22"/>
      <c r="H604" s="22"/>
      <c r="J604"/>
    </row>
    <row r="605" spans="1:10" x14ac:dyDescent="0.2">
      <c r="A605" s="22"/>
      <c r="B605" s="107"/>
      <c r="C605" s="107"/>
      <c r="D605" s="108"/>
      <c r="E605" s="22"/>
      <c r="F605" s="109"/>
      <c r="G605" s="22"/>
      <c r="H605" s="22"/>
      <c r="J605"/>
    </row>
    <row r="606" spans="1:10" x14ac:dyDescent="0.2">
      <c r="A606" s="22"/>
      <c r="B606" s="107"/>
      <c r="C606" s="107"/>
      <c r="D606" s="108"/>
      <c r="E606" s="22"/>
      <c r="F606" s="109"/>
      <c r="G606" s="22"/>
      <c r="H606" s="22"/>
      <c r="J606"/>
    </row>
    <row r="607" spans="1:10" x14ac:dyDescent="0.2">
      <c r="A607" s="22"/>
      <c r="B607" s="107"/>
      <c r="C607" s="107"/>
      <c r="D607" s="108"/>
      <c r="E607" s="22"/>
      <c r="F607" s="109"/>
      <c r="G607" s="22"/>
      <c r="H607" s="22"/>
      <c r="J607"/>
    </row>
    <row r="608" spans="1:10" x14ac:dyDescent="0.2">
      <c r="A608" s="22"/>
      <c r="B608" s="107"/>
      <c r="C608" s="107"/>
      <c r="D608" s="108"/>
      <c r="E608" s="22"/>
      <c r="F608" s="109"/>
      <c r="G608" s="22"/>
      <c r="H608" s="22"/>
      <c r="J608"/>
    </row>
    <row r="609" spans="1:10" x14ac:dyDescent="0.2">
      <c r="A609" s="22"/>
      <c r="B609" s="107"/>
      <c r="C609" s="107"/>
      <c r="D609" s="108"/>
      <c r="E609" s="22"/>
      <c r="F609" s="109"/>
      <c r="G609" s="22"/>
      <c r="H609" s="22"/>
      <c r="J609"/>
    </row>
    <row r="610" spans="1:10" x14ac:dyDescent="0.2">
      <c r="A610" s="22"/>
      <c r="B610" s="107"/>
      <c r="C610" s="107"/>
      <c r="D610" s="108"/>
      <c r="E610" s="22"/>
      <c r="F610" s="109"/>
      <c r="G610" s="22"/>
      <c r="H610" s="22"/>
      <c r="J610"/>
    </row>
    <row r="611" spans="1:10" x14ac:dyDescent="0.2">
      <c r="A611" s="22"/>
      <c r="B611" s="107"/>
      <c r="C611" s="107"/>
      <c r="D611" s="108"/>
      <c r="E611" s="22"/>
      <c r="F611" s="109"/>
      <c r="G611" s="22"/>
      <c r="H611" s="22"/>
    </row>
    <row r="612" spans="1:10" x14ac:dyDescent="0.2">
      <c r="A612" s="22"/>
      <c r="B612" s="107"/>
      <c r="C612" s="107"/>
      <c r="D612" s="108"/>
      <c r="E612" s="22"/>
      <c r="F612" s="109"/>
      <c r="G612" s="22"/>
      <c r="H612" s="22"/>
    </row>
    <row r="613" spans="1:10" x14ac:dyDescent="0.2">
      <c r="A613" s="22"/>
      <c r="B613" s="107"/>
      <c r="C613" s="107"/>
      <c r="D613" s="108"/>
      <c r="E613" s="22"/>
      <c r="F613" s="109"/>
      <c r="G613" s="22"/>
      <c r="H613" s="22"/>
    </row>
    <row r="614" spans="1:10" x14ac:dyDescent="0.2">
      <c r="A614" s="22"/>
      <c r="B614" s="107"/>
      <c r="C614" s="107"/>
      <c r="D614" s="108"/>
      <c r="E614" s="22"/>
      <c r="F614" s="109"/>
      <c r="G614" s="22"/>
      <c r="H614" s="22"/>
    </row>
    <row r="615" spans="1:10" x14ac:dyDescent="0.2">
      <c r="A615" s="22"/>
      <c r="B615" s="107"/>
      <c r="C615" s="107"/>
      <c r="D615" s="108"/>
      <c r="E615" s="22"/>
      <c r="F615" s="109"/>
      <c r="G615" s="22"/>
      <c r="H615" s="22"/>
    </row>
    <row r="616" spans="1:10" x14ac:dyDescent="0.2">
      <c r="A616" s="22"/>
      <c r="B616" s="107"/>
      <c r="C616" s="107"/>
      <c r="D616" s="108"/>
      <c r="E616" s="22"/>
      <c r="F616" s="109"/>
      <c r="G616" s="22"/>
      <c r="H616" s="22"/>
    </row>
    <row r="617" spans="1:10" x14ac:dyDescent="0.2">
      <c r="A617" s="22"/>
      <c r="B617" s="107"/>
      <c r="C617" s="107"/>
      <c r="D617" s="108"/>
      <c r="E617" s="22"/>
      <c r="F617" s="109"/>
      <c r="G617" s="22"/>
      <c r="H617" s="22"/>
    </row>
    <row r="618" spans="1:10" x14ac:dyDescent="0.2">
      <c r="A618" s="22"/>
      <c r="B618" s="107"/>
      <c r="C618" s="107"/>
      <c r="D618" s="108"/>
      <c r="E618" s="22"/>
      <c r="F618" s="109"/>
      <c r="G618" s="22"/>
      <c r="H618" s="22"/>
    </row>
    <row r="619" spans="1:10" x14ac:dyDescent="0.2">
      <c r="A619" s="22"/>
      <c r="B619" s="107"/>
      <c r="C619" s="107"/>
      <c r="D619" s="108"/>
      <c r="E619" s="22"/>
      <c r="F619" s="109"/>
      <c r="G619" s="22"/>
      <c r="H619" s="22"/>
    </row>
    <row r="620" spans="1:10" x14ac:dyDescent="0.2">
      <c r="A620" s="22"/>
      <c r="B620" s="107"/>
      <c r="C620" s="107"/>
      <c r="D620" s="108"/>
      <c r="E620" s="22"/>
      <c r="F620" s="109"/>
      <c r="G620" s="22"/>
      <c r="H620" s="22"/>
    </row>
    <row r="621" spans="1:10" x14ac:dyDescent="0.2">
      <c r="A621" s="22"/>
      <c r="B621" s="107"/>
      <c r="C621" s="107"/>
      <c r="D621" s="108"/>
      <c r="E621" s="22"/>
      <c r="F621" s="109"/>
      <c r="G621" s="22"/>
      <c r="H621" s="22"/>
    </row>
    <row r="622" spans="1:10" x14ac:dyDescent="0.2">
      <c r="A622" s="22"/>
      <c r="B622" s="107"/>
      <c r="C622" s="107"/>
      <c r="D622" s="108"/>
      <c r="E622" s="22"/>
      <c r="F622" s="109"/>
      <c r="G622" s="22"/>
      <c r="H622" s="22"/>
    </row>
    <row r="623" spans="1:10" x14ac:dyDescent="0.2">
      <c r="A623" s="22"/>
      <c r="B623" s="107"/>
      <c r="C623" s="107"/>
      <c r="D623" s="108"/>
      <c r="E623" s="22"/>
      <c r="F623" s="109"/>
      <c r="G623" s="22"/>
      <c r="H623" s="22"/>
    </row>
    <row r="624" spans="1:10" x14ac:dyDescent="0.2">
      <c r="A624" s="22"/>
      <c r="B624" s="107"/>
      <c r="C624" s="107"/>
      <c r="D624" s="108"/>
      <c r="E624" s="22"/>
      <c r="F624" s="109"/>
      <c r="G624" s="22"/>
      <c r="H624" s="22"/>
    </row>
    <row r="625" spans="1:8" x14ac:dyDescent="0.2">
      <c r="A625" s="22"/>
      <c r="B625" s="107"/>
      <c r="C625" s="107"/>
      <c r="D625" s="108"/>
      <c r="E625" s="22"/>
      <c r="F625" s="109"/>
      <c r="G625" s="22"/>
      <c r="H625" s="22"/>
    </row>
    <row r="626" spans="1:8" x14ac:dyDescent="0.2">
      <c r="A626" s="22"/>
      <c r="B626" s="107"/>
      <c r="C626" s="107"/>
      <c r="D626" s="108"/>
      <c r="E626" s="22"/>
      <c r="F626" s="109"/>
      <c r="G626" s="22"/>
      <c r="H626" s="22"/>
    </row>
    <row r="627" spans="1:8" x14ac:dyDescent="0.2">
      <c r="A627" s="22"/>
      <c r="B627" s="107"/>
      <c r="C627" s="107"/>
      <c r="D627" s="108"/>
      <c r="E627" s="22"/>
      <c r="F627" s="109"/>
      <c r="G627" s="22"/>
      <c r="H627" s="22"/>
    </row>
    <row r="628" spans="1:8" x14ac:dyDescent="0.2">
      <c r="A628" s="22"/>
      <c r="B628" s="107"/>
      <c r="C628" s="107"/>
      <c r="D628" s="108"/>
      <c r="E628" s="22"/>
      <c r="F628" s="109"/>
      <c r="G628" s="22"/>
      <c r="H628" s="22"/>
    </row>
    <row r="629" spans="1:8" x14ac:dyDescent="0.2">
      <c r="A629" s="22"/>
      <c r="B629" s="107"/>
      <c r="C629" s="107"/>
      <c r="D629" s="108"/>
      <c r="E629" s="22"/>
      <c r="F629" s="109"/>
      <c r="G629" s="22"/>
      <c r="H629" s="22"/>
    </row>
    <row r="630" spans="1:8" x14ac:dyDescent="0.2">
      <c r="A630" s="22"/>
      <c r="B630" s="107"/>
      <c r="C630" s="107"/>
      <c r="D630" s="108"/>
      <c r="E630" s="22"/>
      <c r="F630" s="109"/>
      <c r="G630" s="22"/>
      <c r="H630" s="22"/>
    </row>
    <row r="631" spans="1:8" x14ac:dyDescent="0.2">
      <c r="A631" s="22"/>
      <c r="B631" s="107"/>
      <c r="C631" s="107"/>
      <c r="D631" s="108"/>
      <c r="E631" s="22"/>
      <c r="F631" s="109"/>
      <c r="G631" s="22"/>
      <c r="H631" s="22"/>
    </row>
    <row r="632" spans="1:8" x14ac:dyDescent="0.2">
      <c r="A632" s="22"/>
      <c r="B632" s="107"/>
      <c r="C632" s="107"/>
      <c r="D632" s="108"/>
      <c r="E632" s="22"/>
      <c r="F632" s="109"/>
      <c r="G632" s="22"/>
      <c r="H632" s="22"/>
    </row>
    <row r="633" spans="1:8" x14ac:dyDescent="0.2">
      <c r="A633" s="22"/>
      <c r="B633" s="107"/>
      <c r="C633" s="107"/>
      <c r="D633" s="108"/>
      <c r="E633" s="22"/>
      <c r="F633" s="109"/>
      <c r="G633" s="22"/>
      <c r="H633" s="22"/>
    </row>
    <row r="634" spans="1:8" x14ac:dyDescent="0.2">
      <c r="A634" s="22"/>
      <c r="B634" s="107"/>
      <c r="C634" s="107"/>
      <c r="D634" s="108"/>
      <c r="E634" s="22"/>
      <c r="F634" s="109"/>
      <c r="G634" s="22"/>
      <c r="H634" s="22"/>
    </row>
    <row r="635" spans="1:8" x14ac:dyDescent="0.2">
      <c r="A635" s="22"/>
      <c r="B635" s="107"/>
      <c r="C635" s="107"/>
      <c r="D635" s="108"/>
      <c r="E635" s="22"/>
      <c r="F635" s="109"/>
      <c r="G635" s="22"/>
      <c r="H635" s="22"/>
    </row>
    <row r="636" spans="1:8" x14ac:dyDescent="0.2">
      <c r="A636" s="22"/>
      <c r="B636" s="107"/>
      <c r="C636" s="107"/>
      <c r="D636" s="108"/>
      <c r="E636" s="22"/>
      <c r="F636" s="109"/>
      <c r="G636" s="22"/>
      <c r="H636" s="22"/>
    </row>
    <row r="637" spans="1:8" x14ac:dyDescent="0.2">
      <c r="A637" s="22"/>
      <c r="B637" s="107"/>
      <c r="C637" s="107"/>
      <c r="D637" s="108"/>
      <c r="E637" s="22"/>
      <c r="F637" s="109"/>
      <c r="G637" s="22"/>
      <c r="H637" s="22"/>
    </row>
    <row r="638" spans="1:8" x14ac:dyDescent="0.2">
      <c r="A638" s="22"/>
      <c r="B638" s="107"/>
      <c r="C638" s="107"/>
      <c r="D638" s="108"/>
      <c r="E638" s="22"/>
      <c r="F638" s="109"/>
      <c r="G638" s="22"/>
      <c r="H638" s="22"/>
    </row>
    <row r="639" spans="1:8" x14ac:dyDescent="0.2">
      <c r="A639" s="22"/>
      <c r="B639" s="107"/>
      <c r="C639" s="107"/>
      <c r="D639" s="108"/>
      <c r="E639" s="22"/>
      <c r="F639" s="109"/>
      <c r="G639" s="22"/>
      <c r="H639" s="22"/>
    </row>
    <row r="640" spans="1:8" x14ac:dyDescent="0.2">
      <c r="A640" s="22"/>
      <c r="B640" s="107"/>
      <c r="C640" s="107"/>
      <c r="D640" s="108"/>
      <c r="E640" s="22"/>
      <c r="F640" s="109"/>
      <c r="G640" s="22"/>
      <c r="H640" s="22"/>
    </row>
    <row r="641" spans="1:8" x14ac:dyDescent="0.2">
      <c r="A641" s="22"/>
      <c r="B641" s="107"/>
      <c r="C641" s="107"/>
      <c r="D641" s="108"/>
      <c r="E641" s="22"/>
      <c r="F641" s="109"/>
      <c r="G641" s="22"/>
      <c r="H641" s="22"/>
    </row>
    <row r="642" spans="1:8" x14ac:dyDescent="0.2">
      <c r="A642" s="22"/>
      <c r="B642" s="107"/>
      <c r="C642" s="107"/>
      <c r="D642" s="108"/>
      <c r="E642" s="22"/>
      <c r="F642" s="109"/>
      <c r="G642" s="22"/>
      <c r="H642" s="22"/>
    </row>
    <row r="643" spans="1:8" x14ac:dyDescent="0.2">
      <c r="A643" s="22"/>
      <c r="B643" s="107"/>
      <c r="C643" s="107"/>
      <c r="D643" s="108"/>
      <c r="E643" s="22"/>
      <c r="F643" s="109"/>
      <c r="G643" s="22"/>
      <c r="H643" s="22"/>
    </row>
    <row r="644" spans="1:8" x14ac:dyDescent="0.2">
      <c r="A644" s="22"/>
      <c r="B644" s="107"/>
      <c r="C644" s="107"/>
      <c r="D644" s="108"/>
      <c r="E644" s="22"/>
      <c r="F644" s="109"/>
      <c r="G644" s="22"/>
      <c r="H644" s="22"/>
    </row>
    <row r="645" spans="1:8" x14ac:dyDescent="0.2">
      <c r="A645" s="22"/>
      <c r="B645" s="107"/>
      <c r="C645" s="107"/>
      <c r="D645" s="108"/>
      <c r="E645" s="22"/>
      <c r="F645" s="109"/>
      <c r="G645" s="22"/>
      <c r="H645" s="22"/>
    </row>
    <row r="646" spans="1:8" x14ac:dyDescent="0.2">
      <c r="A646" s="22"/>
      <c r="B646" s="107"/>
      <c r="C646" s="107"/>
      <c r="D646" s="108"/>
      <c r="E646" s="22"/>
      <c r="F646" s="109"/>
      <c r="G646" s="22"/>
      <c r="H646" s="22"/>
    </row>
    <row r="647" spans="1:8" x14ac:dyDescent="0.2">
      <c r="A647" s="22"/>
      <c r="B647" s="107"/>
      <c r="C647" s="107"/>
      <c r="D647" s="108"/>
      <c r="E647" s="22"/>
      <c r="F647" s="109"/>
      <c r="G647" s="22"/>
      <c r="H647" s="22"/>
    </row>
    <row r="648" spans="1:8" x14ac:dyDescent="0.2">
      <c r="A648" s="22"/>
      <c r="B648" s="107"/>
      <c r="C648" s="107"/>
      <c r="D648" s="108"/>
      <c r="E648" s="22"/>
      <c r="F648" s="109"/>
      <c r="G648" s="22"/>
      <c r="H648" s="22"/>
    </row>
    <row r="649" spans="1:8" x14ac:dyDescent="0.2">
      <c r="A649" s="22"/>
      <c r="B649" s="107"/>
      <c r="C649" s="107"/>
      <c r="D649" s="108"/>
      <c r="E649" s="22"/>
      <c r="F649" s="109"/>
      <c r="G649" s="22"/>
      <c r="H649" s="22"/>
    </row>
    <row r="650" spans="1:8" x14ac:dyDescent="0.2">
      <c r="A650" s="22"/>
      <c r="B650" s="107"/>
      <c r="C650" s="107"/>
      <c r="D650" s="108"/>
      <c r="E650" s="22"/>
      <c r="F650" s="109"/>
      <c r="G650" s="22"/>
      <c r="H650" s="22"/>
    </row>
    <row r="651" spans="1:8" x14ac:dyDescent="0.2">
      <c r="A651" s="22"/>
      <c r="B651" s="107"/>
      <c r="C651" s="107"/>
      <c r="D651" s="108"/>
      <c r="E651" s="22"/>
      <c r="F651" s="109"/>
      <c r="G651" s="22"/>
      <c r="H651" s="22"/>
    </row>
    <row r="652" spans="1:8" x14ac:dyDescent="0.2">
      <c r="A652" s="22"/>
      <c r="B652" s="107"/>
      <c r="C652" s="107"/>
      <c r="D652" s="108"/>
      <c r="E652" s="22"/>
      <c r="F652" s="109"/>
      <c r="G652" s="22"/>
      <c r="H652" s="22"/>
    </row>
    <row r="653" spans="1:8" x14ac:dyDescent="0.2">
      <c r="A653" s="22"/>
      <c r="B653" s="107"/>
      <c r="C653" s="107"/>
      <c r="D653" s="108"/>
      <c r="E653" s="22"/>
      <c r="F653" s="109"/>
      <c r="G653" s="22"/>
      <c r="H653" s="22"/>
    </row>
    <row r="654" spans="1:8" x14ac:dyDescent="0.2">
      <c r="A654" s="22"/>
      <c r="B654" s="107"/>
      <c r="C654" s="107"/>
      <c r="D654" s="108"/>
      <c r="E654" s="22"/>
      <c r="F654" s="109"/>
      <c r="G654" s="22"/>
      <c r="H654" s="22"/>
    </row>
    <row r="655" spans="1:8" x14ac:dyDescent="0.2">
      <c r="A655" s="22"/>
      <c r="B655" s="107"/>
      <c r="C655" s="107"/>
      <c r="D655" s="108"/>
      <c r="E655" s="22"/>
      <c r="F655" s="109"/>
      <c r="G655" s="22"/>
      <c r="H655" s="22"/>
    </row>
    <row r="656" spans="1:8" x14ac:dyDescent="0.2">
      <c r="A656" s="22"/>
      <c r="B656" s="107"/>
      <c r="C656" s="107"/>
      <c r="D656" s="108"/>
      <c r="E656" s="22"/>
      <c r="F656" s="109"/>
      <c r="G656" s="22"/>
      <c r="H656" s="22"/>
    </row>
    <row r="657" spans="1:8" x14ac:dyDescent="0.2">
      <c r="A657" s="22"/>
      <c r="B657" s="107"/>
      <c r="C657" s="107"/>
      <c r="D657" s="108"/>
      <c r="E657" s="22"/>
      <c r="F657" s="109"/>
      <c r="G657" s="22"/>
      <c r="H657" s="22"/>
    </row>
    <row r="658" spans="1:8" x14ac:dyDescent="0.2">
      <c r="A658" s="22"/>
      <c r="B658" s="107"/>
      <c r="C658" s="107"/>
      <c r="D658" s="108"/>
      <c r="E658" s="22"/>
      <c r="F658" s="109"/>
      <c r="G658" s="22"/>
      <c r="H658" s="22"/>
    </row>
    <row r="659" spans="1:8" x14ac:dyDescent="0.2">
      <c r="A659" s="22"/>
      <c r="B659" s="107"/>
      <c r="C659" s="107"/>
      <c r="D659" s="108"/>
      <c r="E659" s="22"/>
      <c r="F659" s="109"/>
      <c r="G659" s="22"/>
      <c r="H659" s="22"/>
    </row>
    <row r="660" spans="1:8" x14ac:dyDescent="0.2">
      <c r="A660" s="22"/>
      <c r="B660" s="107"/>
      <c r="C660" s="107"/>
      <c r="D660" s="108"/>
      <c r="E660" s="22"/>
      <c r="F660" s="109"/>
      <c r="G660" s="22"/>
      <c r="H660" s="22"/>
    </row>
    <row r="661" spans="1:8" x14ac:dyDescent="0.2">
      <c r="A661" s="22"/>
      <c r="B661" s="107"/>
      <c r="C661" s="107"/>
      <c r="D661" s="108"/>
      <c r="E661" s="22"/>
      <c r="F661" s="109"/>
      <c r="G661" s="22"/>
      <c r="H661" s="22"/>
    </row>
    <row r="662" spans="1:8" x14ac:dyDescent="0.2">
      <c r="A662" s="22"/>
      <c r="B662" s="107"/>
      <c r="C662" s="107"/>
      <c r="D662" s="108"/>
      <c r="E662" s="22"/>
      <c r="F662" s="109"/>
      <c r="G662" s="22"/>
      <c r="H662" s="22"/>
    </row>
    <row r="663" spans="1:8" x14ac:dyDescent="0.2">
      <c r="A663" s="22"/>
      <c r="B663" s="107"/>
      <c r="C663" s="107"/>
      <c r="D663" s="108"/>
      <c r="E663" s="22"/>
      <c r="F663" s="109"/>
      <c r="G663" s="22"/>
      <c r="H663" s="22"/>
    </row>
    <row r="664" spans="1:8" x14ac:dyDescent="0.2">
      <c r="A664" s="22"/>
      <c r="B664" s="107"/>
      <c r="C664" s="107"/>
      <c r="D664" s="108"/>
      <c r="E664" s="22"/>
      <c r="F664" s="109"/>
      <c r="G664" s="22"/>
      <c r="H664" s="22"/>
    </row>
    <row r="665" spans="1:8" x14ac:dyDescent="0.2">
      <c r="A665" s="22"/>
      <c r="B665" s="107"/>
      <c r="C665" s="107"/>
      <c r="D665" s="108"/>
      <c r="E665" s="22"/>
      <c r="F665" s="109"/>
      <c r="G665" s="22"/>
      <c r="H665" s="22"/>
    </row>
    <row r="666" spans="1:8" x14ac:dyDescent="0.2">
      <c r="A666" s="22"/>
      <c r="B666" s="107"/>
      <c r="C666" s="107"/>
      <c r="D666" s="108"/>
      <c r="E666" s="22"/>
      <c r="F666" s="109"/>
      <c r="G666" s="22"/>
      <c r="H666" s="22"/>
    </row>
    <row r="667" spans="1:8" x14ac:dyDescent="0.2">
      <c r="A667" s="22"/>
      <c r="B667" s="107"/>
      <c r="C667" s="107"/>
      <c r="D667" s="108"/>
      <c r="E667" s="22"/>
      <c r="F667" s="109"/>
      <c r="G667" s="22"/>
      <c r="H667" s="22"/>
    </row>
    <row r="668" spans="1:8" x14ac:dyDescent="0.2">
      <c r="A668" s="22"/>
      <c r="B668" s="107"/>
      <c r="C668" s="107"/>
      <c r="D668" s="108"/>
      <c r="E668" s="22"/>
      <c r="F668" s="109"/>
      <c r="G668" s="22"/>
      <c r="H668" s="22"/>
    </row>
    <row r="669" spans="1:8" x14ac:dyDescent="0.2">
      <c r="A669" s="22"/>
      <c r="B669" s="107"/>
      <c r="C669" s="107"/>
      <c r="D669" s="108"/>
      <c r="E669" s="22"/>
      <c r="F669" s="109"/>
      <c r="G669" s="22"/>
      <c r="H669" s="22"/>
    </row>
    <row r="670" spans="1:8" x14ac:dyDescent="0.2">
      <c r="A670" s="22"/>
      <c r="B670" s="107"/>
      <c r="C670" s="107"/>
      <c r="D670" s="108"/>
      <c r="E670" s="22"/>
      <c r="F670" s="109"/>
      <c r="G670" s="22"/>
      <c r="H670" s="22"/>
    </row>
    <row r="671" spans="1:8" x14ac:dyDescent="0.2">
      <c r="A671" s="22"/>
      <c r="B671" s="107"/>
      <c r="C671" s="107"/>
      <c r="D671" s="108"/>
      <c r="E671" s="22"/>
      <c r="F671" s="109"/>
      <c r="G671" s="22"/>
      <c r="H671" s="22"/>
    </row>
    <row r="672" spans="1:8" x14ac:dyDescent="0.2">
      <c r="A672" s="22"/>
      <c r="B672" s="107"/>
      <c r="C672" s="107"/>
      <c r="D672" s="108"/>
      <c r="E672" s="22"/>
      <c r="F672" s="109"/>
      <c r="G672" s="22"/>
      <c r="H672" s="22"/>
    </row>
    <row r="673" spans="1:8" x14ac:dyDescent="0.2">
      <c r="A673" s="22"/>
      <c r="B673" s="107"/>
      <c r="C673" s="107"/>
      <c r="D673" s="108"/>
      <c r="E673" s="22"/>
      <c r="F673" s="109"/>
      <c r="G673" s="22"/>
      <c r="H673" s="22"/>
    </row>
    <row r="674" spans="1:8" x14ac:dyDescent="0.2">
      <c r="A674" s="22"/>
      <c r="B674" s="107"/>
      <c r="C674" s="107"/>
      <c r="D674" s="108"/>
      <c r="E674" s="22"/>
      <c r="F674" s="109"/>
      <c r="G674" s="22"/>
      <c r="H674" s="22"/>
    </row>
    <row r="675" spans="1:8" x14ac:dyDescent="0.2">
      <c r="A675" s="22"/>
      <c r="B675" s="107"/>
      <c r="C675" s="107"/>
      <c r="D675" s="108"/>
      <c r="E675" s="22"/>
      <c r="F675" s="109"/>
      <c r="G675" s="22"/>
      <c r="H675" s="22"/>
    </row>
    <row r="676" spans="1:8" x14ac:dyDescent="0.2">
      <c r="A676" s="22"/>
      <c r="B676" s="107"/>
      <c r="C676" s="107"/>
      <c r="D676" s="108"/>
      <c r="E676" s="22"/>
      <c r="F676" s="109"/>
      <c r="G676" s="22"/>
      <c r="H676" s="22"/>
    </row>
    <row r="677" spans="1:8" x14ac:dyDescent="0.2">
      <c r="A677" s="22"/>
      <c r="B677" s="107"/>
      <c r="C677" s="107"/>
      <c r="D677" s="108"/>
      <c r="E677" s="22"/>
      <c r="F677" s="109"/>
      <c r="G677" s="22"/>
      <c r="H677" s="22"/>
    </row>
    <row r="678" spans="1:8" x14ac:dyDescent="0.2">
      <c r="A678" s="22"/>
      <c r="B678" s="107"/>
      <c r="C678" s="107"/>
      <c r="D678" s="108"/>
      <c r="E678" s="22"/>
      <c r="F678" s="109"/>
      <c r="G678" s="22"/>
      <c r="H678" s="22"/>
    </row>
    <row r="679" spans="1:8" x14ac:dyDescent="0.2">
      <c r="A679" s="22"/>
      <c r="B679" s="107"/>
      <c r="C679" s="107"/>
      <c r="D679" s="108"/>
      <c r="E679" s="22"/>
      <c r="F679" s="109"/>
      <c r="G679" s="22"/>
      <c r="H679" s="22"/>
    </row>
    <row r="680" spans="1:8" x14ac:dyDescent="0.2">
      <c r="A680" s="22"/>
      <c r="B680" s="107"/>
      <c r="C680" s="107"/>
      <c r="D680" s="108"/>
      <c r="E680" s="22"/>
      <c r="F680" s="109"/>
      <c r="G680" s="22"/>
      <c r="H680" s="22"/>
    </row>
    <row r="681" spans="1:8" x14ac:dyDescent="0.2">
      <c r="A681" s="22"/>
      <c r="B681" s="107"/>
      <c r="C681" s="107"/>
      <c r="D681" s="108"/>
      <c r="E681" s="22"/>
      <c r="F681" s="109"/>
      <c r="G681" s="22"/>
      <c r="H681" s="22"/>
    </row>
    <row r="682" spans="1:8" x14ac:dyDescent="0.2">
      <c r="A682" s="22"/>
      <c r="B682" s="107"/>
      <c r="C682" s="107"/>
      <c r="D682" s="108"/>
      <c r="E682" s="22"/>
      <c r="F682" s="109"/>
      <c r="G682" s="22"/>
      <c r="H682" s="22"/>
    </row>
    <row r="683" spans="1:8" x14ac:dyDescent="0.2">
      <c r="A683" s="22"/>
      <c r="B683" s="107"/>
      <c r="C683" s="107"/>
      <c r="D683" s="108"/>
      <c r="E683" s="22"/>
      <c r="F683" s="109"/>
      <c r="G683" s="22"/>
      <c r="H683" s="22"/>
    </row>
    <row r="684" spans="1:8" x14ac:dyDescent="0.2">
      <c r="A684" s="22"/>
      <c r="B684" s="107"/>
      <c r="C684" s="107"/>
      <c r="D684" s="108"/>
      <c r="E684" s="22"/>
      <c r="F684" s="109"/>
      <c r="G684" s="22"/>
      <c r="H684" s="22"/>
    </row>
    <row r="685" spans="1:8" x14ac:dyDescent="0.2">
      <c r="A685" s="22"/>
      <c r="B685" s="107"/>
      <c r="C685" s="107"/>
      <c r="D685" s="108"/>
      <c r="E685" s="22"/>
      <c r="F685" s="109"/>
      <c r="G685" s="22"/>
      <c r="H685" s="22"/>
    </row>
    <row r="686" spans="1:8" x14ac:dyDescent="0.2">
      <c r="A686" s="22"/>
      <c r="B686" s="107"/>
      <c r="C686" s="107"/>
      <c r="D686" s="108"/>
      <c r="E686" s="22"/>
      <c r="F686" s="109"/>
      <c r="G686" s="22"/>
      <c r="H686" s="22"/>
    </row>
    <row r="687" spans="1:8" x14ac:dyDescent="0.2">
      <c r="A687" s="22"/>
      <c r="B687" s="107"/>
      <c r="C687" s="107"/>
      <c r="D687" s="108"/>
      <c r="E687" s="22"/>
      <c r="F687" s="109"/>
      <c r="G687" s="22"/>
      <c r="H687" s="22"/>
    </row>
    <row r="688" spans="1:8" x14ac:dyDescent="0.2">
      <c r="A688" s="22"/>
      <c r="B688" s="107"/>
      <c r="C688" s="107"/>
      <c r="D688" s="108"/>
      <c r="E688" s="22"/>
      <c r="F688" s="109"/>
      <c r="G688" s="22"/>
      <c r="H688" s="22"/>
    </row>
    <row r="689" spans="1:8" x14ac:dyDescent="0.2">
      <c r="A689" s="22"/>
      <c r="B689" s="107"/>
      <c r="C689" s="107"/>
      <c r="D689" s="108"/>
      <c r="E689" s="22"/>
      <c r="F689" s="109"/>
      <c r="G689" s="22"/>
      <c r="H689" s="22"/>
    </row>
    <row r="690" spans="1:8" x14ac:dyDescent="0.2">
      <c r="A690" s="22"/>
      <c r="B690" s="107"/>
      <c r="C690" s="107"/>
      <c r="D690" s="108"/>
      <c r="E690" s="22"/>
      <c r="F690" s="109"/>
      <c r="G690" s="22"/>
      <c r="H690" s="22"/>
    </row>
    <row r="691" spans="1:8" x14ac:dyDescent="0.2">
      <c r="A691" s="22"/>
      <c r="B691" s="107"/>
      <c r="C691" s="107"/>
      <c r="D691" s="108"/>
      <c r="E691" s="22"/>
      <c r="F691" s="109"/>
      <c r="G691" s="22"/>
      <c r="H691" s="22"/>
    </row>
    <row r="692" spans="1:8" x14ac:dyDescent="0.2">
      <c r="A692" s="22"/>
      <c r="B692" s="107"/>
      <c r="C692" s="107"/>
      <c r="D692" s="108"/>
      <c r="E692" s="22"/>
      <c r="F692" s="109"/>
      <c r="G692" s="22"/>
      <c r="H692" s="22"/>
    </row>
    <row r="693" spans="1:8" x14ac:dyDescent="0.2">
      <c r="A693" s="22"/>
      <c r="B693" s="107"/>
      <c r="C693" s="107"/>
      <c r="D693" s="108"/>
      <c r="E693" s="22"/>
      <c r="F693" s="109"/>
      <c r="G693" s="22"/>
      <c r="H693" s="22"/>
    </row>
    <row r="694" spans="1:8" x14ac:dyDescent="0.2">
      <c r="A694" s="22"/>
      <c r="B694" s="107"/>
      <c r="C694" s="107"/>
      <c r="D694" s="108"/>
      <c r="E694" s="22"/>
      <c r="F694" s="109"/>
      <c r="G694" s="22"/>
      <c r="H694" s="22"/>
    </row>
    <row r="695" spans="1:8" x14ac:dyDescent="0.2">
      <c r="A695" s="22"/>
      <c r="B695" s="107"/>
      <c r="C695" s="107"/>
      <c r="D695" s="108"/>
      <c r="E695" s="22"/>
      <c r="F695" s="109"/>
      <c r="G695" s="22"/>
      <c r="H695" s="22"/>
    </row>
    <row r="696" spans="1:8" x14ac:dyDescent="0.2">
      <c r="A696" s="22"/>
      <c r="B696" s="107"/>
      <c r="C696" s="107"/>
      <c r="D696" s="108"/>
      <c r="E696" s="22"/>
      <c r="F696" s="109"/>
      <c r="G696" s="22"/>
      <c r="H696" s="22"/>
    </row>
    <row r="697" spans="1:8" x14ac:dyDescent="0.2">
      <c r="A697" s="22"/>
      <c r="B697" s="107"/>
      <c r="C697" s="107"/>
      <c r="D697" s="108"/>
      <c r="E697" s="22"/>
      <c r="F697" s="109"/>
      <c r="G697" s="22"/>
      <c r="H697" s="22"/>
    </row>
    <row r="698" spans="1:8" x14ac:dyDescent="0.2">
      <c r="A698" s="22"/>
      <c r="B698" s="107"/>
      <c r="C698" s="107"/>
      <c r="D698" s="108"/>
      <c r="E698" s="22"/>
      <c r="F698" s="109"/>
      <c r="G698" s="22"/>
      <c r="H698" s="22"/>
    </row>
    <row r="699" spans="1:8" x14ac:dyDescent="0.2">
      <c r="A699" s="22"/>
      <c r="B699" s="107"/>
      <c r="C699" s="107"/>
      <c r="D699" s="108"/>
      <c r="E699" s="22"/>
      <c r="F699" s="109"/>
      <c r="G699" s="22"/>
      <c r="H699" s="22"/>
    </row>
    <row r="700" spans="1:8" x14ac:dyDescent="0.2">
      <c r="A700" s="22"/>
      <c r="B700" s="107"/>
      <c r="C700" s="107"/>
      <c r="D700" s="108"/>
      <c r="E700" s="22"/>
      <c r="F700" s="109"/>
      <c r="G700" s="22"/>
      <c r="H700" s="22"/>
    </row>
    <row r="701" spans="1:8" x14ac:dyDescent="0.2">
      <c r="A701" s="22"/>
      <c r="B701" s="107"/>
      <c r="C701" s="107"/>
      <c r="D701" s="108"/>
      <c r="E701" s="22"/>
      <c r="F701" s="109"/>
      <c r="G701" s="22"/>
      <c r="H701" s="22"/>
    </row>
    <row r="702" spans="1:8" x14ac:dyDescent="0.2">
      <c r="A702" s="22"/>
      <c r="B702" s="107"/>
      <c r="C702" s="107"/>
      <c r="D702" s="108"/>
      <c r="E702" s="22"/>
      <c r="F702" s="109"/>
      <c r="G702" s="22"/>
      <c r="H702" s="22"/>
    </row>
    <row r="703" spans="1:8" x14ac:dyDescent="0.2">
      <c r="A703" s="22"/>
      <c r="B703" s="107"/>
      <c r="C703" s="107"/>
      <c r="D703" s="108"/>
      <c r="E703" s="22"/>
      <c r="F703" s="109"/>
      <c r="G703" s="22"/>
      <c r="H703" s="22"/>
    </row>
    <row r="704" spans="1:8" x14ac:dyDescent="0.2">
      <c r="A704" s="22"/>
      <c r="B704" s="107"/>
      <c r="C704" s="107"/>
      <c r="D704" s="108"/>
      <c r="E704" s="22"/>
      <c r="F704" s="109"/>
      <c r="G704" s="22"/>
      <c r="H704" s="22"/>
    </row>
    <row r="705" spans="1:8" x14ac:dyDescent="0.2">
      <c r="A705" s="22"/>
      <c r="B705" s="107"/>
      <c r="C705" s="107"/>
      <c r="D705" s="108"/>
      <c r="E705" s="22"/>
      <c r="F705" s="109"/>
      <c r="G705" s="22"/>
      <c r="H705" s="22"/>
    </row>
    <row r="706" spans="1:8" x14ac:dyDescent="0.2">
      <c r="A706" s="22"/>
      <c r="B706" s="107"/>
      <c r="C706" s="107"/>
      <c r="D706" s="108"/>
      <c r="E706" s="22"/>
      <c r="F706" s="109"/>
      <c r="G706" s="22"/>
      <c r="H706" s="22"/>
    </row>
    <row r="707" spans="1:8" x14ac:dyDescent="0.2">
      <c r="A707" s="22"/>
      <c r="B707" s="107"/>
      <c r="C707" s="107"/>
      <c r="D707" s="108"/>
      <c r="E707" s="22"/>
      <c r="F707" s="109"/>
      <c r="G707" s="22"/>
      <c r="H707" s="22"/>
    </row>
    <row r="708" spans="1:8" x14ac:dyDescent="0.2">
      <c r="A708" s="22"/>
      <c r="B708" s="107"/>
      <c r="C708" s="107"/>
      <c r="D708" s="108"/>
      <c r="E708" s="22"/>
      <c r="F708" s="109"/>
      <c r="G708" s="22"/>
      <c r="H708" s="22"/>
    </row>
    <row r="709" spans="1:8" x14ac:dyDescent="0.2">
      <c r="A709" s="22"/>
      <c r="B709" s="107"/>
      <c r="C709" s="107"/>
      <c r="D709" s="108"/>
      <c r="E709" s="22"/>
      <c r="F709" s="109"/>
      <c r="G709" s="22"/>
      <c r="H709" s="22"/>
    </row>
    <row r="710" spans="1:8" x14ac:dyDescent="0.2">
      <c r="A710" s="22"/>
      <c r="B710" s="107"/>
      <c r="C710" s="107"/>
      <c r="D710" s="108"/>
      <c r="E710" s="22"/>
      <c r="F710" s="109"/>
      <c r="G710" s="22"/>
      <c r="H710" s="22"/>
    </row>
    <row r="711" spans="1:8" x14ac:dyDescent="0.2">
      <c r="A711" s="22"/>
      <c r="B711" s="107"/>
      <c r="C711" s="107"/>
      <c r="D711" s="108"/>
      <c r="E711" s="22"/>
      <c r="F711" s="109"/>
      <c r="G711" s="22"/>
      <c r="H711" s="22"/>
    </row>
    <row r="712" spans="1:8" x14ac:dyDescent="0.2">
      <c r="A712" s="22"/>
      <c r="B712" s="107"/>
      <c r="C712" s="107"/>
      <c r="D712" s="108"/>
      <c r="E712" s="22"/>
      <c r="F712" s="109"/>
      <c r="G712" s="22"/>
      <c r="H712" s="22"/>
    </row>
    <row r="713" spans="1:8" x14ac:dyDescent="0.2">
      <c r="A713" s="22"/>
      <c r="B713" s="107"/>
      <c r="C713" s="107"/>
      <c r="D713" s="108"/>
      <c r="E713" s="22"/>
      <c r="F713" s="109"/>
      <c r="G713" s="22"/>
      <c r="H713" s="22"/>
    </row>
    <row r="714" spans="1:8" x14ac:dyDescent="0.2">
      <c r="A714" s="22"/>
      <c r="B714" s="107"/>
      <c r="C714" s="107"/>
      <c r="D714" s="108"/>
      <c r="E714" s="22"/>
      <c r="F714" s="109"/>
      <c r="G714" s="22"/>
      <c r="H714" s="22"/>
    </row>
    <row r="715" spans="1:8" x14ac:dyDescent="0.2">
      <c r="A715" s="22"/>
      <c r="B715" s="107"/>
      <c r="C715" s="107"/>
      <c r="D715" s="108"/>
      <c r="E715" s="22"/>
      <c r="F715" s="109"/>
      <c r="G715" s="22"/>
      <c r="H715" s="22"/>
    </row>
    <row r="716" spans="1:8" x14ac:dyDescent="0.2">
      <c r="A716" s="22"/>
      <c r="B716" s="107"/>
      <c r="C716" s="107"/>
      <c r="D716" s="108"/>
      <c r="E716" s="22"/>
      <c r="F716" s="109"/>
      <c r="G716" s="22"/>
      <c r="H716" s="22"/>
    </row>
    <row r="717" spans="1:8" x14ac:dyDescent="0.2">
      <c r="A717" s="22"/>
      <c r="B717" s="107"/>
      <c r="C717" s="107"/>
      <c r="D717" s="108"/>
      <c r="E717" s="22"/>
      <c r="F717" s="109"/>
      <c r="G717" s="22"/>
      <c r="H717" s="22"/>
    </row>
    <row r="718" spans="1:8" x14ac:dyDescent="0.2">
      <c r="A718" s="22"/>
      <c r="B718" s="107"/>
      <c r="C718" s="107"/>
      <c r="D718" s="108"/>
      <c r="E718" s="22"/>
      <c r="F718" s="109"/>
      <c r="G718" s="22"/>
      <c r="H718" s="22"/>
    </row>
    <row r="719" spans="1:8" x14ac:dyDescent="0.2">
      <c r="A719" s="22"/>
      <c r="B719" s="107"/>
      <c r="C719" s="107"/>
      <c r="D719" s="108"/>
      <c r="E719" s="22"/>
      <c r="F719" s="109"/>
      <c r="G719" s="22"/>
      <c r="H719" s="22"/>
    </row>
    <row r="720" spans="1:8" x14ac:dyDescent="0.2">
      <c r="A720" s="22"/>
      <c r="B720" s="107"/>
      <c r="C720" s="107"/>
      <c r="D720" s="108"/>
      <c r="E720" s="22"/>
      <c r="F720" s="109"/>
      <c r="G720" s="22"/>
      <c r="H720" s="22"/>
    </row>
    <row r="721" spans="1:8" x14ac:dyDescent="0.2">
      <c r="A721" s="22"/>
      <c r="B721" s="107"/>
      <c r="C721" s="107"/>
      <c r="D721" s="108"/>
      <c r="E721" s="22"/>
      <c r="F721" s="109"/>
      <c r="G721" s="22"/>
      <c r="H721" s="22"/>
    </row>
    <row r="722" spans="1:8" x14ac:dyDescent="0.2">
      <c r="A722" s="22"/>
      <c r="B722" s="107"/>
      <c r="C722" s="107"/>
      <c r="D722" s="108"/>
      <c r="E722" s="22"/>
      <c r="F722" s="109"/>
      <c r="G722" s="22"/>
      <c r="H722" s="22"/>
    </row>
    <row r="723" spans="1:8" x14ac:dyDescent="0.2">
      <c r="A723" s="22"/>
      <c r="B723" s="107"/>
      <c r="C723" s="107"/>
      <c r="D723" s="108"/>
      <c r="E723" s="22"/>
      <c r="F723" s="109"/>
      <c r="G723" s="22"/>
      <c r="H723" s="22"/>
    </row>
    <row r="724" spans="1:8" x14ac:dyDescent="0.2">
      <c r="A724" s="22"/>
      <c r="B724" s="107"/>
      <c r="C724" s="107"/>
      <c r="D724" s="108"/>
      <c r="E724" s="22"/>
      <c r="F724" s="109"/>
      <c r="G724" s="22"/>
      <c r="H724" s="22"/>
    </row>
    <row r="725" spans="1:8" x14ac:dyDescent="0.2">
      <c r="A725" s="22"/>
      <c r="B725" s="107"/>
      <c r="C725" s="107"/>
      <c r="D725" s="108"/>
      <c r="E725" s="22"/>
      <c r="F725" s="109"/>
      <c r="G725" s="22"/>
      <c r="H725" s="22"/>
    </row>
    <row r="726" spans="1:8" x14ac:dyDescent="0.2">
      <c r="A726" s="22"/>
      <c r="B726" s="107"/>
      <c r="C726" s="107"/>
      <c r="D726" s="108"/>
      <c r="E726" s="22"/>
      <c r="F726" s="109"/>
      <c r="G726" s="22"/>
      <c r="H726" s="22"/>
    </row>
    <row r="727" spans="1:8" x14ac:dyDescent="0.2">
      <c r="A727" s="22"/>
      <c r="B727" s="107"/>
      <c r="C727" s="107"/>
      <c r="D727" s="108"/>
      <c r="E727" s="22"/>
      <c r="F727" s="109"/>
      <c r="G727" s="22"/>
      <c r="H727" s="22"/>
    </row>
    <row r="728" spans="1:8" x14ac:dyDescent="0.2">
      <c r="A728" s="22"/>
      <c r="B728" s="107"/>
      <c r="C728" s="107"/>
      <c r="D728" s="108"/>
      <c r="E728" s="22"/>
      <c r="F728" s="109"/>
      <c r="G728" s="22"/>
      <c r="H728" s="22"/>
    </row>
    <row r="729" spans="1:8" x14ac:dyDescent="0.2">
      <c r="A729" s="22"/>
      <c r="B729" s="107"/>
      <c r="C729" s="107"/>
      <c r="D729" s="108"/>
      <c r="E729" s="22"/>
      <c r="F729" s="109"/>
      <c r="G729" s="22"/>
      <c r="H729" s="22"/>
    </row>
    <row r="730" spans="1:8" x14ac:dyDescent="0.2">
      <c r="A730" s="22"/>
      <c r="B730" s="107"/>
      <c r="C730" s="107"/>
      <c r="D730" s="108"/>
      <c r="E730" s="22"/>
      <c r="F730" s="109"/>
      <c r="G730" s="22"/>
      <c r="H730" s="22"/>
    </row>
    <row r="731" spans="1:8" x14ac:dyDescent="0.2">
      <c r="A731" s="22"/>
      <c r="B731" s="107"/>
      <c r="C731" s="107"/>
      <c r="D731" s="108"/>
      <c r="E731" s="22"/>
      <c r="F731" s="109"/>
      <c r="G731" s="22"/>
      <c r="H731" s="22"/>
    </row>
    <row r="732" spans="1:8" x14ac:dyDescent="0.2">
      <c r="A732" s="22"/>
      <c r="B732" s="107"/>
      <c r="C732" s="107"/>
      <c r="D732" s="108"/>
      <c r="E732" s="22"/>
      <c r="F732" s="109"/>
      <c r="G732" s="22"/>
      <c r="H732" s="22"/>
    </row>
    <row r="733" spans="1:8" x14ac:dyDescent="0.2">
      <c r="A733" s="22"/>
      <c r="B733" s="107"/>
      <c r="C733" s="107"/>
      <c r="D733" s="108"/>
      <c r="E733" s="22"/>
      <c r="F733" s="109"/>
      <c r="G733" s="22"/>
      <c r="H733" s="22"/>
    </row>
    <row r="734" spans="1:8" x14ac:dyDescent="0.2">
      <c r="A734" s="22"/>
      <c r="B734" s="107"/>
      <c r="C734" s="107"/>
      <c r="D734" s="108"/>
      <c r="E734" s="22"/>
      <c r="F734" s="109"/>
      <c r="G734" s="22"/>
      <c r="H734" s="22"/>
    </row>
    <row r="735" spans="1:8" x14ac:dyDescent="0.2">
      <c r="A735" s="22"/>
      <c r="B735" s="107"/>
      <c r="C735" s="107"/>
      <c r="D735" s="108"/>
      <c r="E735" s="22"/>
      <c r="F735" s="109"/>
      <c r="G735" s="22"/>
      <c r="H735" s="22"/>
    </row>
    <row r="736" spans="1:8" x14ac:dyDescent="0.2">
      <c r="A736" s="22"/>
      <c r="B736" s="107"/>
      <c r="C736" s="107"/>
      <c r="D736" s="108"/>
      <c r="E736" s="22"/>
      <c r="F736" s="109"/>
      <c r="G736" s="22"/>
      <c r="H736" s="22"/>
    </row>
    <row r="737" spans="1:8" x14ac:dyDescent="0.2">
      <c r="A737" s="22"/>
      <c r="B737" s="107"/>
      <c r="C737" s="107"/>
      <c r="D737" s="108"/>
      <c r="E737" s="22"/>
      <c r="F737" s="109"/>
      <c r="G737" s="22"/>
      <c r="H737" s="22"/>
    </row>
    <row r="738" spans="1:8" x14ac:dyDescent="0.2">
      <c r="A738" s="22"/>
      <c r="B738" s="107"/>
      <c r="C738" s="107"/>
      <c r="D738" s="108"/>
      <c r="E738" s="22"/>
      <c r="F738" s="109"/>
      <c r="G738" s="22"/>
      <c r="H738" s="22"/>
    </row>
    <row r="739" spans="1:8" x14ac:dyDescent="0.2">
      <c r="A739" s="22"/>
      <c r="B739" s="107"/>
      <c r="C739" s="107"/>
      <c r="D739" s="108"/>
      <c r="E739" s="22"/>
      <c r="F739" s="109"/>
      <c r="G739" s="22"/>
      <c r="H739" s="22"/>
    </row>
    <row r="740" spans="1:8" x14ac:dyDescent="0.2">
      <c r="A740" s="22"/>
      <c r="B740" s="107"/>
      <c r="C740" s="107"/>
      <c r="D740" s="108"/>
      <c r="E740" s="22"/>
      <c r="F740" s="109"/>
      <c r="G740" s="22"/>
      <c r="H740" s="22"/>
    </row>
    <row r="741" spans="1:8" x14ac:dyDescent="0.2">
      <c r="A741" s="22"/>
      <c r="B741" s="107"/>
      <c r="C741" s="107"/>
      <c r="D741" s="108"/>
      <c r="E741" s="22"/>
      <c r="F741" s="109"/>
      <c r="G741" s="22"/>
      <c r="H741" s="22"/>
    </row>
    <row r="742" spans="1:8" x14ac:dyDescent="0.2">
      <c r="A742" s="22"/>
      <c r="B742" s="107"/>
      <c r="C742" s="107"/>
      <c r="D742" s="108"/>
      <c r="E742" s="22"/>
      <c r="F742" s="109"/>
      <c r="G742" s="22"/>
      <c r="H742" s="22"/>
    </row>
    <row r="743" spans="1:8" x14ac:dyDescent="0.2">
      <c r="A743" s="22"/>
      <c r="B743" s="107"/>
      <c r="C743" s="107"/>
      <c r="D743" s="108"/>
      <c r="E743" s="22"/>
      <c r="F743" s="109"/>
      <c r="G743" s="22"/>
      <c r="H743" s="22"/>
    </row>
    <row r="744" spans="1:8" x14ac:dyDescent="0.2">
      <c r="A744" s="22"/>
      <c r="B744" s="107"/>
      <c r="C744" s="107"/>
      <c r="D744" s="108"/>
      <c r="E744" s="22"/>
      <c r="F744" s="109"/>
      <c r="G744" s="22"/>
      <c r="H744" s="22"/>
    </row>
    <row r="745" spans="1:8" x14ac:dyDescent="0.2">
      <c r="A745" s="22"/>
      <c r="B745" s="107"/>
      <c r="C745" s="107"/>
      <c r="D745" s="108"/>
      <c r="E745" s="22"/>
      <c r="F745" s="109"/>
      <c r="G745" s="22"/>
      <c r="H745" s="22"/>
    </row>
    <row r="746" spans="1:8" x14ac:dyDescent="0.2">
      <c r="A746" s="22"/>
      <c r="B746" s="107"/>
      <c r="C746" s="107"/>
      <c r="D746" s="108"/>
      <c r="E746" s="22"/>
      <c r="F746" s="109"/>
      <c r="G746" s="22"/>
      <c r="H746" s="22"/>
    </row>
    <row r="747" spans="1:8" x14ac:dyDescent="0.2">
      <c r="A747" s="22"/>
      <c r="B747" s="107"/>
      <c r="C747" s="107"/>
      <c r="D747" s="108"/>
      <c r="E747" s="22"/>
      <c r="F747" s="109"/>
      <c r="G747" s="22"/>
      <c r="H747" s="22"/>
    </row>
    <row r="748" spans="1:8" x14ac:dyDescent="0.2">
      <c r="A748" s="22"/>
      <c r="B748" s="107"/>
      <c r="C748" s="107"/>
      <c r="D748" s="108"/>
      <c r="E748" s="22"/>
      <c r="F748" s="109"/>
      <c r="G748" s="22"/>
      <c r="H748" s="22"/>
    </row>
    <row r="749" spans="1:8" x14ac:dyDescent="0.2">
      <c r="A749" s="22"/>
      <c r="B749" s="107"/>
      <c r="C749" s="107"/>
      <c r="D749" s="108"/>
      <c r="E749" s="22"/>
      <c r="F749" s="109"/>
      <c r="G749" s="22"/>
      <c r="H749" s="22"/>
    </row>
    <row r="750" spans="1:8" x14ac:dyDescent="0.2">
      <c r="A750" s="22"/>
      <c r="B750" s="107"/>
      <c r="C750" s="107"/>
      <c r="D750" s="108"/>
      <c r="E750" s="22"/>
      <c r="F750" s="109"/>
      <c r="G750" s="22"/>
      <c r="H750" s="22"/>
    </row>
    <row r="751" spans="1:8" x14ac:dyDescent="0.2">
      <c r="A751" s="22"/>
      <c r="B751" s="107"/>
      <c r="C751" s="107"/>
      <c r="D751" s="108"/>
      <c r="E751" s="22"/>
      <c r="F751" s="109"/>
      <c r="G751" s="22"/>
      <c r="H751" s="22"/>
    </row>
    <row r="752" spans="1:8" x14ac:dyDescent="0.2">
      <c r="A752" s="22"/>
      <c r="B752" s="107"/>
      <c r="C752" s="107"/>
      <c r="D752" s="108"/>
      <c r="E752" s="22"/>
      <c r="F752" s="109"/>
      <c r="G752" s="22"/>
      <c r="H752" s="22"/>
    </row>
    <row r="753" spans="1:8" x14ac:dyDescent="0.2">
      <c r="A753" s="22"/>
      <c r="B753" s="107"/>
      <c r="C753" s="107"/>
      <c r="D753" s="108"/>
      <c r="E753" s="22"/>
      <c r="F753" s="109"/>
      <c r="G753" s="22"/>
      <c r="H753" s="22"/>
    </row>
    <row r="754" spans="1:8" x14ac:dyDescent="0.2">
      <c r="A754" s="22"/>
      <c r="B754" s="107"/>
      <c r="C754" s="107"/>
      <c r="D754" s="108"/>
      <c r="E754" s="22"/>
      <c r="F754" s="109"/>
      <c r="G754" s="22"/>
      <c r="H754" s="22"/>
    </row>
    <row r="755" spans="1:8" x14ac:dyDescent="0.2">
      <c r="A755" s="22"/>
      <c r="B755" s="107"/>
      <c r="C755" s="107"/>
      <c r="D755" s="108"/>
      <c r="E755" s="22"/>
      <c r="F755" s="109"/>
      <c r="G755" s="22"/>
      <c r="H755" s="22"/>
    </row>
    <row r="756" spans="1:8" x14ac:dyDescent="0.2">
      <c r="A756" s="22"/>
      <c r="B756" s="107"/>
      <c r="C756" s="107"/>
      <c r="D756" s="108"/>
      <c r="E756" s="22"/>
      <c r="F756" s="109"/>
      <c r="G756" s="22"/>
      <c r="H756" s="22"/>
    </row>
    <row r="757" spans="1:8" x14ac:dyDescent="0.2">
      <c r="A757" s="22"/>
      <c r="B757" s="107"/>
      <c r="C757" s="107"/>
      <c r="D757" s="108"/>
      <c r="E757" s="22"/>
      <c r="F757" s="109"/>
      <c r="G757" s="22"/>
      <c r="H757" s="22"/>
    </row>
    <row r="758" spans="1:8" x14ac:dyDescent="0.2">
      <c r="A758" s="22"/>
      <c r="B758" s="107"/>
      <c r="C758" s="107"/>
      <c r="D758" s="108"/>
      <c r="E758" s="22"/>
      <c r="F758" s="109"/>
      <c r="G758" s="22"/>
      <c r="H758" s="22"/>
    </row>
    <row r="759" spans="1:8" x14ac:dyDescent="0.2">
      <c r="A759" s="22"/>
      <c r="B759" s="107"/>
      <c r="C759" s="107"/>
      <c r="D759" s="108"/>
      <c r="E759" s="22"/>
      <c r="F759" s="109"/>
      <c r="G759" s="22"/>
      <c r="H759" s="22"/>
    </row>
    <row r="760" spans="1:8" x14ac:dyDescent="0.2">
      <c r="A760" s="22"/>
      <c r="B760" s="107"/>
      <c r="C760" s="107"/>
      <c r="D760" s="108"/>
      <c r="E760" s="22"/>
      <c r="F760" s="109"/>
      <c r="G760" s="22"/>
      <c r="H760" s="22"/>
    </row>
    <row r="761" spans="1:8" x14ac:dyDescent="0.2">
      <c r="A761" s="22"/>
      <c r="B761" s="107"/>
      <c r="C761" s="107"/>
      <c r="D761" s="108"/>
      <c r="E761" s="22"/>
      <c r="F761" s="109"/>
      <c r="G761" s="22"/>
      <c r="H761" s="22"/>
    </row>
    <row r="762" spans="1:8" x14ac:dyDescent="0.2">
      <c r="A762" s="22"/>
      <c r="B762" s="107"/>
      <c r="C762" s="107"/>
      <c r="D762" s="108"/>
      <c r="E762" s="22"/>
      <c r="F762" s="109"/>
      <c r="G762" s="22"/>
      <c r="H762" s="22"/>
    </row>
    <row r="763" spans="1:8" x14ac:dyDescent="0.2">
      <c r="A763" s="22"/>
      <c r="B763" s="107"/>
      <c r="C763" s="107"/>
      <c r="D763" s="108"/>
      <c r="E763" s="22"/>
      <c r="F763" s="109"/>
      <c r="G763" s="22"/>
      <c r="H763" s="22"/>
    </row>
    <row r="764" spans="1:8" x14ac:dyDescent="0.2">
      <c r="A764" s="22"/>
      <c r="B764" s="107"/>
      <c r="C764" s="107"/>
      <c r="D764" s="108"/>
      <c r="E764" s="22"/>
      <c r="F764" s="109"/>
      <c r="G764" s="22"/>
      <c r="H764" s="22"/>
    </row>
    <row r="765" spans="1:8" x14ac:dyDescent="0.2">
      <c r="A765" s="22"/>
      <c r="B765" s="107"/>
      <c r="C765" s="107"/>
      <c r="D765" s="108"/>
      <c r="E765" s="22"/>
      <c r="F765" s="109"/>
      <c r="G765" s="22"/>
      <c r="H765" s="22"/>
    </row>
    <row r="766" spans="1:8" x14ac:dyDescent="0.2">
      <c r="A766" s="22"/>
      <c r="B766" s="107"/>
      <c r="C766" s="107"/>
      <c r="D766" s="108"/>
      <c r="E766" s="22"/>
      <c r="F766" s="109"/>
      <c r="G766" s="22"/>
      <c r="H766" s="22"/>
    </row>
    <row r="767" spans="1:8" x14ac:dyDescent="0.2">
      <c r="A767" s="22"/>
      <c r="B767" s="107"/>
      <c r="C767" s="107"/>
      <c r="D767" s="108"/>
      <c r="E767" s="22"/>
      <c r="F767" s="109"/>
      <c r="G767" s="22"/>
      <c r="H767" s="22"/>
    </row>
    <row r="768" spans="1:8" x14ac:dyDescent="0.2">
      <c r="A768" s="22"/>
      <c r="B768" s="107"/>
      <c r="C768" s="107"/>
      <c r="D768" s="108"/>
      <c r="E768" s="22"/>
      <c r="F768" s="109"/>
      <c r="G768" s="22"/>
      <c r="H768" s="22"/>
    </row>
    <row r="769" spans="1:8" x14ac:dyDescent="0.2">
      <c r="A769" s="22"/>
      <c r="B769" s="107"/>
      <c r="C769" s="107"/>
      <c r="D769" s="108"/>
      <c r="E769" s="22"/>
      <c r="F769" s="109"/>
      <c r="G769" s="22"/>
      <c r="H769" s="22"/>
    </row>
    <row r="770" spans="1:8" x14ac:dyDescent="0.2">
      <c r="A770" s="22"/>
      <c r="B770" s="107"/>
      <c r="C770" s="107"/>
      <c r="D770" s="108"/>
      <c r="E770" s="22"/>
      <c r="F770" s="109"/>
      <c r="G770" s="22"/>
      <c r="H770" s="22"/>
    </row>
    <row r="771" spans="1:8" x14ac:dyDescent="0.2">
      <c r="A771" s="22"/>
      <c r="B771" s="107"/>
      <c r="C771" s="107"/>
      <c r="D771" s="108"/>
      <c r="E771" s="22"/>
      <c r="F771" s="109"/>
      <c r="G771" s="22"/>
      <c r="H771" s="22"/>
    </row>
    <row r="772" spans="1:8" x14ac:dyDescent="0.2">
      <c r="A772" s="22"/>
      <c r="B772" s="107"/>
      <c r="C772" s="107"/>
      <c r="D772" s="108"/>
      <c r="E772" s="22"/>
      <c r="F772" s="109"/>
      <c r="G772" s="22"/>
      <c r="H772" s="22"/>
    </row>
    <row r="773" spans="1:8" x14ac:dyDescent="0.2">
      <c r="A773" s="22"/>
      <c r="B773" s="107"/>
      <c r="C773" s="107"/>
      <c r="D773" s="108"/>
      <c r="E773" s="22"/>
      <c r="F773" s="109"/>
      <c r="G773" s="22"/>
      <c r="H773" s="22"/>
    </row>
    <row r="774" spans="1:8" x14ac:dyDescent="0.2">
      <c r="A774" s="22"/>
      <c r="B774" s="107"/>
      <c r="C774" s="107"/>
      <c r="D774" s="108"/>
      <c r="E774" s="22"/>
      <c r="F774" s="109"/>
      <c r="G774" s="22"/>
      <c r="H774" s="22"/>
    </row>
    <row r="775" spans="1:8" x14ac:dyDescent="0.2">
      <c r="A775" s="22"/>
      <c r="B775" s="107"/>
      <c r="C775" s="107"/>
      <c r="D775" s="108"/>
      <c r="E775" s="22"/>
      <c r="F775" s="109"/>
      <c r="G775" s="22"/>
      <c r="H775" s="22"/>
    </row>
    <row r="776" spans="1:8" x14ac:dyDescent="0.2">
      <c r="A776" s="22"/>
      <c r="B776" s="107"/>
      <c r="C776" s="107"/>
      <c r="D776" s="108"/>
      <c r="E776" s="22"/>
      <c r="F776" s="109"/>
      <c r="G776" s="22"/>
      <c r="H776" s="22"/>
    </row>
    <row r="777" spans="1:8" x14ac:dyDescent="0.2">
      <c r="A777" s="22"/>
      <c r="B777" s="107"/>
      <c r="C777" s="107"/>
      <c r="D777" s="108"/>
      <c r="E777" s="22"/>
      <c r="F777" s="109"/>
      <c r="G777" s="22"/>
      <c r="H777" s="22"/>
    </row>
    <row r="778" spans="1:8" x14ac:dyDescent="0.2">
      <c r="A778" s="22"/>
      <c r="B778" s="107"/>
      <c r="C778" s="107"/>
      <c r="D778" s="108"/>
      <c r="E778" s="22"/>
      <c r="F778" s="109"/>
      <c r="G778" s="22"/>
      <c r="H778" s="22"/>
    </row>
    <row r="779" spans="1:8" x14ac:dyDescent="0.2">
      <c r="A779" s="22"/>
      <c r="B779" s="107"/>
      <c r="C779" s="107"/>
      <c r="D779" s="108"/>
      <c r="E779" s="22"/>
      <c r="F779" s="109"/>
      <c r="G779" s="22"/>
      <c r="H779" s="22"/>
    </row>
    <row r="780" spans="1:8" x14ac:dyDescent="0.2">
      <c r="A780" s="22"/>
      <c r="B780" s="107"/>
      <c r="C780" s="107"/>
      <c r="D780" s="108"/>
      <c r="E780" s="22"/>
      <c r="F780" s="109"/>
      <c r="G780" s="22"/>
      <c r="H780" s="22"/>
    </row>
    <row r="781" spans="1:8" x14ac:dyDescent="0.2">
      <c r="A781" s="22"/>
      <c r="B781" s="107"/>
      <c r="C781" s="107"/>
      <c r="D781" s="108"/>
      <c r="E781" s="22"/>
      <c r="F781" s="109"/>
      <c r="G781" s="22"/>
      <c r="H781" s="22"/>
    </row>
    <row r="782" spans="1:8" x14ac:dyDescent="0.2">
      <c r="A782" s="22"/>
      <c r="B782" s="107"/>
      <c r="C782" s="107"/>
      <c r="D782" s="108"/>
      <c r="E782" s="22"/>
      <c r="F782" s="109"/>
      <c r="G782" s="22"/>
      <c r="H782" s="22"/>
    </row>
    <row r="783" spans="1:8" x14ac:dyDescent="0.2">
      <c r="A783" s="22"/>
      <c r="B783" s="107"/>
      <c r="C783" s="107"/>
      <c r="D783" s="108"/>
      <c r="E783" s="22"/>
      <c r="F783" s="109"/>
      <c r="G783" s="22"/>
      <c r="H783" s="22"/>
    </row>
    <row r="784" spans="1:8" x14ac:dyDescent="0.2">
      <c r="A784" s="22"/>
      <c r="B784" s="107"/>
      <c r="C784" s="107"/>
      <c r="D784" s="108"/>
      <c r="E784" s="22"/>
      <c r="F784" s="109"/>
      <c r="G784" s="22"/>
      <c r="H784" s="22"/>
    </row>
    <row r="785" spans="1:8" x14ac:dyDescent="0.2">
      <c r="A785" s="22"/>
      <c r="B785" s="107"/>
      <c r="C785" s="107"/>
      <c r="D785" s="108"/>
      <c r="E785" s="22"/>
      <c r="F785" s="109"/>
      <c r="G785" s="22"/>
      <c r="H785" s="22"/>
    </row>
    <row r="786" spans="1:8" x14ac:dyDescent="0.2">
      <c r="A786" s="22"/>
      <c r="B786" s="107"/>
      <c r="C786" s="107"/>
      <c r="D786" s="108"/>
      <c r="E786" s="22"/>
      <c r="F786" s="109"/>
      <c r="G786" s="22"/>
      <c r="H786" s="22"/>
    </row>
    <row r="787" spans="1:8" x14ac:dyDescent="0.2">
      <c r="A787" s="22"/>
      <c r="B787" s="107"/>
      <c r="C787" s="107"/>
      <c r="D787" s="108"/>
      <c r="E787" s="22"/>
      <c r="F787" s="109"/>
      <c r="G787" s="22"/>
      <c r="H787" s="22"/>
    </row>
    <row r="788" spans="1:8" x14ac:dyDescent="0.2">
      <c r="A788" s="22"/>
      <c r="B788" s="107"/>
      <c r="C788" s="107"/>
      <c r="D788" s="108"/>
      <c r="E788" s="22"/>
      <c r="F788" s="109"/>
      <c r="G788" s="22"/>
      <c r="H788" s="22"/>
    </row>
    <row r="789" spans="1:8" x14ac:dyDescent="0.2">
      <c r="A789" s="22"/>
      <c r="B789" s="107"/>
      <c r="C789" s="107"/>
      <c r="D789" s="108"/>
      <c r="E789" s="22"/>
      <c r="F789" s="109"/>
      <c r="G789" s="22"/>
      <c r="H789" s="22"/>
    </row>
    <row r="790" spans="1:8" x14ac:dyDescent="0.2">
      <c r="A790" s="22"/>
      <c r="B790" s="107"/>
      <c r="C790" s="107"/>
      <c r="D790" s="108"/>
      <c r="E790" s="22"/>
      <c r="F790" s="109"/>
      <c r="G790" s="22"/>
      <c r="H790" s="22"/>
    </row>
    <row r="791" spans="1:8" x14ac:dyDescent="0.2">
      <c r="A791" s="22"/>
      <c r="B791" s="107"/>
      <c r="C791" s="107"/>
      <c r="D791" s="108"/>
      <c r="E791" s="22"/>
      <c r="F791" s="109"/>
      <c r="G791" s="22"/>
      <c r="H791" s="22"/>
    </row>
    <row r="792" spans="1:8" x14ac:dyDescent="0.2">
      <c r="A792" s="22"/>
      <c r="B792" s="107"/>
      <c r="C792" s="107"/>
      <c r="D792" s="108"/>
      <c r="E792" s="22"/>
      <c r="F792" s="109"/>
      <c r="G792" s="22"/>
      <c r="H792" s="22"/>
    </row>
    <row r="793" spans="1:8" x14ac:dyDescent="0.2">
      <c r="A793" s="22"/>
      <c r="B793" s="107"/>
      <c r="C793" s="107"/>
      <c r="D793" s="108"/>
      <c r="E793" s="22"/>
      <c r="F793" s="109"/>
      <c r="G793" s="22"/>
      <c r="H793" s="22"/>
    </row>
    <row r="794" spans="1:8" x14ac:dyDescent="0.2">
      <c r="A794" s="22"/>
      <c r="B794" s="107"/>
      <c r="C794" s="107"/>
      <c r="D794" s="108"/>
      <c r="E794" s="22"/>
      <c r="F794" s="109"/>
      <c r="G794" s="22"/>
      <c r="H794" s="22"/>
    </row>
    <row r="795" spans="1:8" x14ac:dyDescent="0.2">
      <c r="A795" s="22"/>
      <c r="B795" s="107"/>
      <c r="C795" s="107"/>
      <c r="D795" s="108"/>
      <c r="E795" s="22"/>
      <c r="F795" s="109"/>
      <c r="G795" s="22"/>
      <c r="H795" s="22"/>
    </row>
    <row r="796" spans="1:8" x14ac:dyDescent="0.2">
      <c r="A796" s="22"/>
      <c r="B796" s="107"/>
      <c r="C796" s="107"/>
      <c r="D796" s="108"/>
      <c r="E796" s="22"/>
      <c r="F796" s="109"/>
      <c r="G796" s="22"/>
      <c r="H796" s="22"/>
    </row>
    <row r="797" spans="1:8" x14ac:dyDescent="0.2">
      <c r="A797" s="22"/>
      <c r="B797" s="107"/>
      <c r="C797" s="107"/>
      <c r="D797" s="108"/>
      <c r="E797" s="22"/>
      <c r="F797" s="109"/>
      <c r="G797" s="22"/>
      <c r="H797" s="22"/>
    </row>
    <row r="798" spans="1:8" x14ac:dyDescent="0.2">
      <c r="A798" s="22"/>
      <c r="B798" s="107"/>
      <c r="C798" s="107"/>
      <c r="D798" s="108"/>
      <c r="E798" s="22"/>
      <c r="F798" s="109"/>
      <c r="G798" s="22"/>
      <c r="H798" s="22"/>
    </row>
    <row r="799" spans="1:8" x14ac:dyDescent="0.2">
      <c r="A799" s="22"/>
      <c r="B799" s="107"/>
      <c r="C799" s="107"/>
      <c r="D799" s="108"/>
      <c r="E799" s="22"/>
      <c r="F799" s="109"/>
      <c r="G799" s="22"/>
      <c r="H799" s="22"/>
    </row>
    <row r="800" spans="1:8" x14ac:dyDescent="0.2">
      <c r="A800" s="22"/>
      <c r="B800" s="107"/>
      <c r="C800" s="107"/>
      <c r="D800" s="108"/>
      <c r="E800" s="22"/>
      <c r="F800" s="109"/>
      <c r="G800" s="22"/>
      <c r="H800" s="22"/>
    </row>
    <row r="801" spans="1:8" x14ac:dyDescent="0.2">
      <c r="A801" s="22"/>
      <c r="B801" s="107"/>
      <c r="C801" s="107"/>
      <c r="D801" s="108"/>
      <c r="E801" s="22"/>
      <c r="F801" s="109"/>
      <c r="G801" s="22"/>
      <c r="H801" s="22"/>
    </row>
    <row r="802" spans="1:8" x14ac:dyDescent="0.2">
      <c r="A802" s="22"/>
      <c r="B802" s="107"/>
      <c r="C802" s="107"/>
      <c r="D802" s="108"/>
      <c r="E802" s="22"/>
      <c r="F802" s="109"/>
      <c r="G802" s="22"/>
      <c r="H802" s="22"/>
    </row>
    <row r="803" spans="1:8" x14ac:dyDescent="0.2">
      <c r="A803" s="22"/>
      <c r="B803" s="107"/>
      <c r="C803" s="107"/>
      <c r="D803" s="108"/>
      <c r="E803" s="22"/>
      <c r="F803" s="109"/>
      <c r="G803" s="22"/>
      <c r="H803" s="22"/>
    </row>
    <row r="804" spans="1:8" x14ac:dyDescent="0.2">
      <c r="A804" s="22"/>
      <c r="B804" s="107"/>
      <c r="C804" s="107"/>
      <c r="D804" s="108"/>
      <c r="E804" s="22"/>
      <c r="F804" s="109"/>
      <c r="G804" s="22"/>
      <c r="H804" s="22"/>
    </row>
    <row r="805" spans="1:8" x14ac:dyDescent="0.2">
      <c r="A805" s="22"/>
      <c r="B805" s="107"/>
      <c r="C805" s="107"/>
      <c r="D805" s="108"/>
      <c r="E805" s="22"/>
      <c r="F805" s="109"/>
      <c r="G805" s="22"/>
      <c r="H805" s="22"/>
    </row>
    <row r="806" spans="1:8" x14ac:dyDescent="0.2">
      <c r="A806" s="22"/>
      <c r="B806" s="107"/>
      <c r="C806" s="107"/>
      <c r="D806" s="108"/>
      <c r="E806" s="22"/>
      <c r="F806" s="109"/>
      <c r="G806" s="22"/>
      <c r="H806" s="22"/>
    </row>
    <row r="807" spans="1:8" x14ac:dyDescent="0.2">
      <c r="A807" s="22"/>
      <c r="B807" s="107"/>
      <c r="C807" s="107"/>
      <c r="D807" s="108"/>
      <c r="E807" s="22"/>
      <c r="F807" s="109"/>
      <c r="G807" s="22"/>
      <c r="H807" s="22"/>
    </row>
    <row r="808" spans="1:8" x14ac:dyDescent="0.2">
      <c r="A808" s="22"/>
      <c r="B808" s="107"/>
      <c r="C808" s="107"/>
      <c r="D808" s="108"/>
      <c r="E808" s="22"/>
      <c r="F808" s="109"/>
      <c r="G808" s="22"/>
      <c r="H808" s="22"/>
    </row>
    <row r="809" spans="1:8" x14ac:dyDescent="0.2">
      <c r="A809" s="22"/>
      <c r="B809" s="107"/>
      <c r="C809" s="107"/>
      <c r="D809" s="108"/>
      <c r="E809" s="22"/>
      <c r="F809" s="109"/>
      <c r="G809" s="22"/>
      <c r="H809" s="22"/>
    </row>
    <row r="810" spans="1:8" x14ac:dyDescent="0.2">
      <c r="A810" s="22"/>
      <c r="B810" s="107"/>
      <c r="C810" s="107"/>
      <c r="D810" s="108"/>
      <c r="E810" s="22"/>
      <c r="F810" s="109"/>
      <c r="G810" s="22"/>
      <c r="H810" s="22"/>
    </row>
    <row r="811" spans="1:8" x14ac:dyDescent="0.2">
      <c r="A811" s="22"/>
      <c r="B811" s="107"/>
      <c r="C811" s="107"/>
      <c r="D811" s="108"/>
      <c r="E811" s="22"/>
      <c r="F811" s="109"/>
      <c r="G811" s="22"/>
      <c r="H811" s="22"/>
    </row>
    <row r="812" spans="1:8" x14ac:dyDescent="0.2">
      <c r="A812" s="22"/>
      <c r="B812" s="107"/>
      <c r="C812" s="107"/>
      <c r="D812" s="108"/>
      <c r="E812" s="22"/>
      <c r="F812" s="109"/>
      <c r="G812" s="22"/>
      <c r="H812" s="22"/>
    </row>
    <row r="813" spans="1:8" x14ac:dyDescent="0.2">
      <c r="A813" s="22"/>
      <c r="B813" s="107"/>
      <c r="C813" s="107"/>
      <c r="D813" s="108"/>
      <c r="E813" s="22"/>
      <c r="F813" s="109"/>
      <c r="G813" s="22"/>
      <c r="H813" s="22"/>
    </row>
    <row r="814" spans="1:8" x14ac:dyDescent="0.2">
      <c r="A814" s="22"/>
      <c r="B814" s="107"/>
      <c r="C814" s="107"/>
      <c r="D814" s="108"/>
      <c r="E814" s="22"/>
      <c r="F814" s="109"/>
      <c r="G814" s="22"/>
      <c r="H814" s="22"/>
    </row>
    <row r="815" spans="1:8" x14ac:dyDescent="0.2">
      <c r="A815" s="22"/>
      <c r="B815" s="107"/>
      <c r="C815" s="107"/>
      <c r="D815" s="108"/>
      <c r="E815" s="22"/>
      <c r="F815" s="109"/>
      <c r="G815" s="22"/>
      <c r="H815" s="22"/>
    </row>
    <row r="816" spans="1:8" x14ac:dyDescent="0.2">
      <c r="A816" s="22"/>
      <c r="B816" s="107"/>
      <c r="C816" s="107"/>
      <c r="D816" s="108"/>
      <c r="E816" s="22"/>
      <c r="F816" s="109"/>
      <c r="G816" s="22"/>
      <c r="H816" s="22"/>
    </row>
    <row r="817" spans="1:8" x14ac:dyDescent="0.2">
      <c r="A817" s="22"/>
      <c r="B817" s="107"/>
      <c r="C817" s="107"/>
      <c r="D817" s="108"/>
      <c r="E817" s="22"/>
      <c r="F817" s="109"/>
      <c r="G817" s="22"/>
      <c r="H817" s="22"/>
    </row>
    <row r="818" spans="1:8" x14ac:dyDescent="0.2">
      <c r="A818" s="22"/>
      <c r="B818" s="107"/>
      <c r="C818" s="107"/>
      <c r="D818" s="108"/>
      <c r="E818" s="22"/>
      <c r="F818" s="109"/>
      <c r="G818" s="22"/>
      <c r="H818" s="22"/>
    </row>
    <row r="819" spans="1:8" x14ac:dyDescent="0.2">
      <c r="A819" s="22"/>
      <c r="B819" s="107"/>
      <c r="C819" s="107"/>
      <c r="D819" s="108"/>
      <c r="E819" s="22"/>
      <c r="F819" s="109"/>
      <c r="G819" s="22"/>
      <c r="H819" s="22"/>
    </row>
    <row r="820" spans="1:8" x14ac:dyDescent="0.2">
      <c r="A820" s="22"/>
      <c r="B820" s="107"/>
      <c r="C820" s="107"/>
      <c r="D820" s="108"/>
      <c r="E820" s="22"/>
      <c r="F820" s="109"/>
      <c r="G820" s="22"/>
      <c r="H820" s="22"/>
    </row>
    <row r="821" spans="1:8" x14ac:dyDescent="0.2">
      <c r="A821" s="22"/>
      <c r="B821" s="107"/>
      <c r="C821" s="107"/>
      <c r="D821" s="108"/>
      <c r="E821" s="22"/>
      <c r="F821" s="109"/>
      <c r="G821" s="22"/>
      <c r="H821" s="22"/>
    </row>
    <row r="822" spans="1:8" x14ac:dyDescent="0.2">
      <c r="A822" s="22"/>
      <c r="B822" s="107"/>
      <c r="C822" s="107"/>
      <c r="D822" s="108"/>
      <c r="E822" s="22"/>
      <c r="F822" s="109"/>
      <c r="G822" s="22"/>
      <c r="H822" s="22"/>
    </row>
    <row r="823" spans="1:8" x14ac:dyDescent="0.2">
      <c r="A823" s="22"/>
      <c r="B823" s="107"/>
      <c r="C823" s="107"/>
      <c r="D823" s="108"/>
      <c r="E823" s="22"/>
      <c r="F823" s="109"/>
      <c r="G823" s="22"/>
      <c r="H823" s="22"/>
    </row>
    <row r="824" spans="1:8" x14ac:dyDescent="0.2">
      <c r="A824" s="22"/>
      <c r="B824" s="107"/>
      <c r="C824" s="107"/>
      <c r="D824" s="108"/>
      <c r="E824" s="22"/>
      <c r="F824" s="109"/>
      <c r="G824" s="22"/>
      <c r="H824" s="22"/>
    </row>
    <row r="825" spans="1:8" x14ac:dyDescent="0.2">
      <c r="A825" s="22"/>
      <c r="B825" s="107"/>
      <c r="C825" s="107"/>
      <c r="D825" s="108"/>
      <c r="E825" s="22"/>
      <c r="F825" s="109"/>
      <c r="G825" s="22"/>
      <c r="H825" s="22"/>
    </row>
    <row r="826" spans="1:8" x14ac:dyDescent="0.2">
      <c r="A826" s="22"/>
      <c r="B826" s="107"/>
      <c r="C826" s="107"/>
      <c r="D826" s="108"/>
      <c r="E826" s="22"/>
      <c r="F826" s="109"/>
      <c r="G826" s="22"/>
      <c r="H826" s="22"/>
    </row>
    <row r="827" spans="1:8" x14ac:dyDescent="0.2">
      <c r="A827" s="22"/>
      <c r="B827" s="107"/>
      <c r="C827" s="107"/>
      <c r="D827" s="108"/>
      <c r="E827" s="22"/>
      <c r="F827" s="109"/>
      <c r="G827" s="22"/>
      <c r="H827" s="22"/>
    </row>
    <row r="828" spans="1:8" x14ac:dyDescent="0.2">
      <c r="A828" s="22"/>
      <c r="B828" s="107"/>
      <c r="C828" s="107"/>
      <c r="D828" s="108"/>
      <c r="E828" s="22"/>
      <c r="F828" s="109"/>
      <c r="G828" s="22"/>
      <c r="H828" s="22"/>
    </row>
    <row r="829" spans="1:8" x14ac:dyDescent="0.2">
      <c r="A829" s="22"/>
      <c r="B829" s="107"/>
      <c r="C829" s="107"/>
      <c r="D829" s="108"/>
      <c r="E829" s="22"/>
      <c r="F829" s="109"/>
      <c r="G829" s="22"/>
      <c r="H829" s="22"/>
    </row>
    <row r="830" spans="1:8" x14ac:dyDescent="0.2">
      <c r="A830" s="22"/>
      <c r="B830" s="107"/>
      <c r="C830" s="107"/>
      <c r="D830" s="108"/>
      <c r="E830" s="22"/>
      <c r="F830" s="109"/>
      <c r="G830" s="22"/>
      <c r="H830" s="22"/>
    </row>
    <row r="831" spans="1:8" x14ac:dyDescent="0.2">
      <c r="A831" s="22"/>
      <c r="B831" s="107"/>
      <c r="C831" s="107"/>
      <c r="D831" s="108"/>
      <c r="E831" s="22"/>
      <c r="F831" s="109"/>
      <c r="G831" s="22"/>
      <c r="H831" s="22"/>
    </row>
    <row r="832" spans="1:8" x14ac:dyDescent="0.2">
      <c r="A832" s="22"/>
      <c r="B832" s="107"/>
      <c r="C832" s="107"/>
      <c r="D832" s="108"/>
      <c r="E832" s="22"/>
      <c r="F832" s="109"/>
      <c r="G832" s="22"/>
      <c r="H832" s="22"/>
    </row>
    <row r="833" spans="1:8" x14ac:dyDescent="0.2">
      <c r="A833" s="22"/>
      <c r="B833" s="107"/>
      <c r="C833" s="107"/>
      <c r="D833" s="108"/>
      <c r="E833" s="22"/>
      <c r="F833" s="109"/>
      <c r="G833" s="22"/>
      <c r="H833" s="22"/>
    </row>
    <row r="834" spans="1:8" x14ac:dyDescent="0.2">
      <c r="A834" s="22"/>
      <c r="B834" s="107"/>
      <c r="C834" s="107"/>
      <c r="D834" s="108"/>
      <c r="E834" s="22"/>
      <c r="F834" s="109"/>
      <c r="G834" s="22"/>
      <c r="H834" s="22"/>
    </row>
    <row r="835" spans="1:8" x14ac:dyDescent="0.2">
      <c r="A835" s="22"/>
      <c r="B835" s="107"/>
      <c r="C835" s="107"/>
      <c r="D835" s="108"/>
      <c r="E835" s="22"/>
      <c r="F835" s="109"/>
      <c r="G835" s="22"/>
      <c r="H835" s="22"/>
    </row>
    <row r="836" spans="1:8" x14ac:dyDescent="0.2">
      <c r="A836" s="22"/>
      <c r="B836" s="107"/>
      <c r="C836" s="107"/>
      <c r="D836" s="108"/>
      <c r="E836" s="22"/>
      <c r="F836" s="109"/>
      <c r="G836" s="22"/>
      <c r="H836" s="22"/>
    </row>
    <row r="837" spans="1:8" x14ac:dyDescent="0.2">
      <c r="A837" s="22"/>
      <c r="B837" s="107"/>
      <c r="C837" s="107"/>
      <c r="D837" s="108"/>
      <c r="E837" s="22"/>
      <c r="F837" s="109"/>
      <c r="G837" s="22"/>
      <c r="H837" s="22"/>
    </row>
    <row r="838" spans="1:8" x14ac:dyDescent="0.2">
      <c r="A838" s="22"/>
      <c r="B838" s="107"/>
      <c r="C838" s="107"/>
      <c r="D838" s="108"/>
      <c r="E838" s="22"/>
      <c r="F838" s="109"/>
      <c r="G838" s="22"/>
      <c r="H838" s="22"/>
    </row>
    <row r="839" spans="1:8" x14ac:dyDescent="0.2">
      <c r="A839" s="22"/>
      <c r="B839" s="107"/>
      <c r="C839" s="107"/>
      <c r="D839" s="108"/>
      <c r="E839" s="22"/>
      <c r="F839" s="109"/>
      <c r="G839" s="22"/>
      <c r="H839" s="22"/>
    </row>
    <row r="840" spans="1:8" x14ac:dyDescent="0.2">
      <c r="A840" s="22"/>
      <c r="B840" s="107"/>
      <c r="C840" s="107"/>
      <c r="D840" s="108"/>
      <c r="E840" s="22"/>
      <c r="F840" s="109"/>
      <c r="G840" s="22"/>
      <c r="H840" s="22"/>
    </row>
    <row r="841" spans="1:8" x14ac:dyDescent="0.2">
      <c r="A841" s="22"/>
      <c r="B841" s="107"/>
      <c r="C841" s="107"/>
      <c r="D841" s="108"/>
      <c r="E841" s="22"/>
      <c r="F841" s="109"/>
      <c r="G841" s="22"/>
      <c r="H841" s="22"/>
    </row>
    <row r="842" spans="1:8" x14ac:dyDescent="0.2">
      <c r="A842" s="22"/>
      <c r="B842" s="107"/>
      <c r="C842" s="107"/>
      <c r="D842" s="108"/>
      <c r="E842" s="22"/>
      <c r="F842" s="109"/>
      <c r="G842" s="22"/>
      <c r="H842" s="22"/>
    </row>
    <row r="843" spans="1:8" x14ac:dyDescent="0.2">
      <c r="A843" s="22"/>
      <c r="B843" s="107"/>
      <c r="C843" s="107"/>
      <c r="D843" s="108"/>
      <c r="E843" s="22"/>
      <c r="F843" s="109"/>
      <c r="G843" s="22"/>
      <c r="H843" s="22"/>
    </row>
    <row r="844" spans="1:8" x14ac:dyDescent="0.2">
      <c r="A844" s="22"/>
      <c r="B844" s="107"/>
      <c r="C844" s="107"/>
      <c r="D844" s="108"/>
      <c r="E844" s="22"/>
      <c r="F844" s="109"/>
      <c r="G844" s="22"/>
      <c r="H844" s="22"/>
    </row>
    <row r="845" spans="1:8" x14ac:dyDescent="0.2">
      <c r="A845" s="22"/>
      <c r="B845" s="107"/>
      <c r="C845" s="107"/>
      <c r="D845" s="108"/>
      <c r="E845" s="22"/>
      <c r="F845" s="109"/>
      <c r="G845" s="22"/>
      <c r="H845" s="22"/>
    </row>
    <row r="846" spans="1:8" x14ac:dyDescent="0.2">
      <c r="A846" s="22"/>
      <c r="B846" s="107"/>
      <c r="C846" s="107"/>
      <c r="D846" s="108"/>
      <c r="E846" s="22"/>
      <c r="F846" s="109"/>
      <c r="G846" s="22"/>
      <c r="H846" s="22"/>
    </row>
    <row r="847" spans="1:8" x14ac:dyDescent="0.2">
      <c r="A847" s="22"/>
      <c r="B847" s="107"/>
      <c r="C847" s="107"/>
      <c r="D847" s="108"/>
      <c r="E847" s="22"/>
      <c r="F847" s="109"/>
      <c r="G847" s="22"/>
      <c r="H847" s="22"/>
    </row>
    <row r="848" spans="1:8" x14ac:dyDescent="0.2">
      <c r="A848" s="22"/>
      <c r="B848" s="107"/>
      <c r="C848" s="107"/>
      <c r="D848" s="108"/>
      <c r="E848" s="22"/>
      <c r="F848" s="109"/>
      <c r="G848" s="22"/>
      <c r="H848" s="22"/>
    </row>
    <row r="849" spans="1:8" x14ac:dyDescent="0.2">
      <c r="A849" s="22"/>
      <c r="B849" s="107"/>
      <c r="C849" s="107"/>
      <c r="D849" s="108"/>
      <c r="E849" s="22"/>
      <c r="F849" s="109"/>
      <c r="G849" s="22"/>
      <c r="H849" s="22"/>
    </row>
    <row r="850" spans="1:8" x14ac:dyDescent="0.2">
      <c r="A850" s="22"/>
      <c r="B850" s="107"/>
      <c r="C850" s="107"/>
      <c r="D850" s="108"/>
      <c r="E850" s="22"/>
      <c r="F850" s="109"/>
      <c r="G850" s="22"/>
      <c r="H850" s="22"/>
    </row>
    <row r="851" spans="1:8" x14ac:dyDescent="0.2">
      <c r="A851" s="22"/>
      <c r="B851" s="107"/>
      <c r="C851" s="107"/>
      <c r="D851" s="108"/>
      <c r="E851" s="22"/>
      <c r="F851" s="109"/>
      <c r="G851" s="22"/>
      <c r="H851" s="22"/>
    </row>
    <row r="852" spans="1:8" x14ac:dyDescent="0.2">
      <c r="A852" s="22"/>
      <c r="B852" s="107"/>
      <c r="C852" s="107"/>
      <c r="D852" s="108"/>
      <c r="E852" s="22"/>
      <c r="F852" s="109"/>
      <c r="G852" s="22"/>
      <c r="H852" s="22"/>
    </row>
    <row r="853" spans="1:8" x14ac:dyDescent="0.2">
      <c r="A853" s="22"/>
      <c r="B853" s="107"/>
      <c r="C853" s="107"/>
      <c r="D853" s="108"/>
      <c r="E853" s="22"/>
      <c r="F853" s="109"/>
      <c r="G853" s="22"/>
      <c r="H853" s="22"/>
    </row>
    <row r="854" spans="1:8" x14ac:dyDescent="0.2">
      <c r="A854" s="22"/>
      <c r="B854" s="107"/>
      <c r="C854" s="107"/>
      <c r="D854" s="108"/>
      <c r="E854" s="22"/>
      <c r="F854" s="109"/>
      <c r="G854" s="22"/>
      <c r="H854" s="22"/>
    </row>
    <row r="855" spans="1:8" x14ac:dyDescent="0.2">
      <c r="A855" s="22"/>
      <c r="B855" s="107"/>
      <c r="C855" s="107"/>
      <c r="D855" s="108"/>
      <c r="E855" s="22"/>
      <c r="F855" s="109"/>
      <c r="G855" s="22"/>
      <c r="H855" s="22"/>
    </row>
    <row r="856" spans="1:8" x14ac:dyDescent="0.2">
      <c r="A856" s="22"/>
      <c r="B856" s="107"/>
      <c r="C856" s="107"/>
      <c r="D856" s="108"/>
      <c r="E856" s="22"/>
      <c r="F856" s="109"/>
      <c r="G856" s="22"/>
      <c r="H856" s="22"/>
    </row>
    <row r="857" spans="1:8" x14ac:dyDescent="0.2">
      <c r="A857" s="22"/>
      <c r="B857" s="107"/>
      <c r="C857" s="107"/>
      <c r="D857" s="108"/>
      <c r="E857" s="22"/>
      <c r="F857" s="109"/>
      <c r="G857" s="22"/>
      <c r="H857" s="22"/>
    </row>
    <row r="858" spans="1:8" x14ac:dyDescent="0.2">
      <c r="A858" s="22"/>
      <c r="B858" s="107"/>
      <c r="C858" s="107"/>
      <c r="D858" s="108"/>
      <c r="E858" s="22"/>
      <c r="F858" s="109"/>
      <c r="G858" s="22"/>
      <c r="H858" s="22"/>
    </row>
    <row r="859" spans="1:8" x14ac:dyDescent="0.2">
      <c r="A859" s="22"/>
      <c r="B859" s="107"/>
      <c r="C859" s="107"/>
      <c r="D859" s="108"/>
      <c r="E859" s="22"/>
      <c r="F859" s="109"/>
      <c r="G859" s="22"/>
      <c r="H859" s="22"/>
    </row>
    <row r="860" spans="1:8" x14ac:dyDescent="0.2">
      <c r="A860" s="22"/>
      <c r="B860" s="107"/>
      <c r="C860" s="107"/>
      <c r="D860" s="108"/>
      <c r="E860" s="22"/>
      <c r="F860" s="109"/>
      <c r="G860" s="22"/>
      <c r="H860" s="22"/>
    </row>
    <row r="861" spans="1:8" x14ac:dyDescent="0.2">
      <c r="A861" s="22"/>
      <c r="B861" s="107"/>
      <c r="C861" s="107"/>
      <c r="D861" s="108"/>
      <c r="E861" s="22"/>
      <c r="F861" s="109"/>
      <c r="G861" s="22"/>
      <c r="H861" s="22"/>
    </row>
    <row r="862" spans="1:8" x14ac:dyDescent="0.2">
      <c r="A862" s="22"/>
      <c r="B862" s="107"/>
      <c r="C862" s="107"/>
      <c r="D862" s="108"/>
      <c r="E862" s="22"/>
      <c r="F862" s="109"/>
      <c r="G862" s="22"/>
      <c r="H862" s="22"/>
    </row>
    <row r="863" spans="1:8" x14ac:dyDescent="0.2">
      <c r="A863" s="22"/>
      <c r="B863" s="107"/>
      <c r="C863" s="107"/>
      <c r="D863" s="108"/>
      <c r="E863" s="22"/>
      <c r="F863" s="109"/>
      <c r="G863" s="22"/>
      <c r="H863" s="22"/>
    </row>
    <row r="864" spans="1:8" x14ac:dyDescent="0.2">
      <c r="A864" s="22"/>
      <c r="B864" s="107"/>
      <c r="C864" s="107"/>
      <c r="D864" s="108"/>
      <c r="E864" s="22"/>
      <c r="F864" s="109"/>
      <c r="G864" s="22"/>
      <c r="H864" s="22"/>
    </row>
    <row r="865" spans="1:8" x14ac:dyDescent="0.2">
      <c r="A865" s="22"/>
      <c r="B865" s="107"/>
      <c r="C865" s="107"/>
      <c r="D865" s="108"/>
      <c r="E865" s="22"/>
      <c r="F865" s="109"/>
      <c r="G865" s="22"/>
      <c r="H865" s="22"/>
    </row>
    <row r="866" spans="1:8" x14ac:dyDescent="0.2">
      <c r="A866" s="22"/>
      <c r="B866" s="107"/>
      <c r="C866" s="107"/>
      <c r="D866" s="108"/>
      <c r="E866" s="22"/>
      <c r="F866" s="109"/>
      <c r="G866" s="22"/>
      <c r="H866" s="22"/>
    </row>
    <row r="867" spans="1:8" x14ac:dyDescent="0.2">
      <c r="A867" s="22"/>
      <c r="B867" s="107"/>
      <c r="C867" s="107"/>
      <c r="D867" s="108"/>
      <c r="E867" s="22"/>
      <c r="F867" s="109"/>
      <c r="G867" s="22"/>
      <c r="H867" s="22"/>
    </row>
    <row r="868" spans="1:8" x14ac:dyDescent="0.2">
      <c r="A868" s="22"/>
      <c r="B868" s="107"/>
      <c r="C868" s="107"/>
      <c r="D868" s="108"/>
      <c r="E868" s="22"/>
      <c r="F868" s="109"/>
      <c r="G868" s="22"/>
      <c r="H868" s="22"/>
    </row>
    <row r="869" spans="1:8" x14ac:dyDescent="0.2">
      <c r="A869" s="22"/>
      <c r="B869" s="107"/>
      <c r="C869" s="107"/>
      <c r="D869" s="108"/>
      <c r="E869" s="22"/>
      <c r="F869" s="109"/>
      <c r="G869" s="22"/>
      <c r="H869" s="22"/>
    </row>
    <row r="870" spans="1:8" x14ac:dyDescent="0.2">
      <c r="A870" s="22"/>
      <c r="B870" s="107"/>
      <c r="C870" s="107"/>
      <c r="D870" s="108"/>
      <c r="E870" s="22"/>
      <c r="F870" s="109"/>
      <c r="G870" s="22"/>
      <c r="H870" s="22"/>
    </row>
    <row r="871" spans="1:8" x14ac:dyDescent="0.2">
      <c r="A871" s="22"/>
      <c r="B871" s="107"/>
      <c r="C871" s="107"/>
      <c r="D871" s="108"/>
      <c r="E871" s="22"/>
      <c r="F871" s="109"/>
      <c r="G871" s="22"/>
      <c r="H871" s="22"/>
    </row>
    <row r="872" spans="1:8" x14ac:dyDescent="0.2">
      <c r="A872" s="22"/>
      <c r="B872" s="107"/>
      <c r="C872" s="107"/>
      <c r="D872" s="108"/>
      <c r="E872" s="22"/>
      <c r="F872" s="109"/>
      <c r="G872" s="22"/>
      <c r="H872" s="22"/>
    </row>
    <row r="873" spans="1:8" x14ac:dyDescent="0.2">
      <c r="A873" s="22"/>
      <c r="B873" s="107"/>
      <c r="C873" s="107"/>
      <c r="D873" s="108"/>
      <c r="E873" s="22"/>
      <c r="F873" s="109"/>
      <c r="G873" s="22"/>
      <c r="H873" s="22"/>
    </row>
    <row r="874" spans="1:8" x14ac:dyDescent="0.2">
      <c r="A874" s="22"/>
      <c r="B874" s="107"/>
      <c r="C874" s="107"/>
      <c r="D874" s="108"/>
      <c r="E874" s="22"/>
      <c r="F874" s="109"/>
      <c r="G874" s="22"/>
      <c r="H874" s="22"/>
    </row>
    <row r="875" spans="1:8" x14ac:dyDescent="0.2">
      <c r="A875" s="22"/>
      <c r="B875" s="107"/>
      <c r="C875" s="107"/>
      <c r="D875" s="108"/>
      <c r="E875" s="22"/>
      <c r="F875" s="109"/>
      <c r="G875" s="22"/>
      <c r="H875" s="22"/>
    </row>
    <row r="876" spans="1:8" x14ac:dyDescent="0.2">
      <c r="A876" s="22"/>
      <c r="B876" s="107"/>
      <c r="C876" s="107"/>
      <c r="D876" s="108"/>
      <c r="E876" s="22"/>
      <c r="F876" s="109"/>
      <c r="G876" s="22"/>
      <c r="H876" s="22"/>
    </row>
    <row r="877" spans="1:8" x14ac:dyDescent="0.2">
      <c r="A877" s="22"/>
      <c r="B877" s="107"/>
      <c r="C877" s="107"/>
      <c r="D877" s="108"/>
      <c r="E877" s="22"/>
      <c r="F877" s="109"/>
      <c r="G877" s="22"/>
      <c r="H877" s="22"/>
    </row>
    <row r="878" spans="1:8" x14ac:dyDescent="0.2">
      <c r="A878" s="22"/>
      <c r="B878" s="107"/>
      <c r="C878" s="107"/>
      <c r="D878" s="108"/>
      <c r="E878" s="22"/>
      <c r="F878" s="109"/>
      <c r="G878" s="22"/>
      <c r="H878" s="22"/>
    </row>
    <row r="879" spans="1:8" x14ac:dyDescent="0.2">
      <c r="A879" s="22"/>
      <c r="B879" s="107"/>
      <c r="C879" s="107"/>
      <c r="D879" s="108"/>
      <c r="E879" s="22"/>
      <c r="F879" s="109"/>
      <c r="G879" s="22"/>
      <c r="H879" s="22"/>
    </row>
    <row r="880" spans="1:8" x14ac:dyDescent="0.2">
      <c r="A880" s="22"/>
      <c r="B880" s="107"/>
      <c r="C880" s="107"/>
      <c r="D880" s="108"/>
      <c r="E880" s="22"/>
      <c r="F880" s="109"/>
      <c r="G880" s="22"/>
      <c r="H880" s="22"/>
    </row>
    <row r="881" spans="1:8" x14ac:dyDescent="0.2">
      <c r="A881" s="22"/>
      <c r="B881" s="107"/>
      <c r="C881" s="107"/>
      <c r="D881" s="108"/>
      <c r="E881" s="22"/>
      <c r="F881" s="109"/>
      <c r="G881" s="22"/>
      <c r="H881" s="22"/>
    </row>
    <row r="882" spans="1:8" x14ac:dyDescent="0.2">
      <c r="A882" s="22"/>
      <c r="B882" s="107"/>
      <c r="C882" s="107"/>
      <c r="D882" s="108"/>
      <c r="E882" s="22"/>
      <c r="F882" s="109"/>
      <c r="G882" s="22"/>
      <c r="H882" s="22"/>
    </row>
    <row r="883" spans="1:8" x14ac:dyDescent="0.2">
      <c r="A883" s="22"/>
      <c r="B883" s="107"/>
      <c r="C883" s="107"/>
      <c r="D883" s="108"/>
      <c r="E883" s="22"/>
      <c r="F883" s="109"/>
      <c r="G883" s="22"/>
      <c r="H883" s="22"/>
    </row>
    <row r="884" spans="1:8" x14ac:dyDescent="0.2">
      <c r="A884" s="22"/>
      <c r="B884" s="107"/>
      <c r="C884" s="107"/>
      <c r="D884" s="108"/>
      <c r="E884" s="22"/>
      <c r="F884" s="109"/>
      <c r="G884" s="22"/>
      <c r="H884" s="22"/>
    </row>
    <row r="885" spans="1:8" x14ac:dyDescent="0.2">
      <c r="A885" s="22"/>
      <c r="B885" s="107"/>
      <c r="C885" s="107"/>
      <c r="D885" s="108"/>
      <c r="E885" s="22"/>
      <c r="F885" s="109"/>
      <c r="G885" s="22"/>
      <c r="H885" s="22"/>
    </row>
    <row r="886" spans="1:8" x14ac:dyDescent="0.2">
      <c r="A886" s="22"/>
      <c r="B886" s="107"/>
      <c r="C886" s="107"/>
      <c r="D886" s="108"/>
      <c r="E886" s="22"/>
      <c r="F886" s="109"/>
      <c r="G886" s="22"/>
      <c r="H886" s="22"/>
    </row>
    <row r="887" spans="1:8" x14ac:dyDescent="0.2">
      <c r="A887" s="22"/>
      <c r="B887" s="107"/>
      <c r="C887" s="107"/>
      <c r="D887" s="108"/>
      <c r="E887" s="22"/>
      <c r="F887" s="109"/>
      <c r="G887" s="22"/>
      <c r="H887" s="22"/>
    </row>
    <row r="888" spans="1:8" x14ac:dyDescent="0.2">
      <c r="A888" s="22"/>
      <c r="B888" s="107"/>
      <c r="C888" s="107"/>
      <c r="D888" s="108"/>
      <c r="E888" s="22"/>
      <c r="F888" s="109"/>
      <c r="G888" s="22"/>
      <c r="H888" s="22"/>
    </row>
    <row r="889" spans="1:8" x14ac:dyDescent="0.2">
      <c r="A889" s="22"/>
      <c r="B889" s="107"/>
      <c r="C889" s="107"/>
      <c r="D889" s="108"/>
      <c r="E889" s="22"/>
      <c r="F889" s="109"/>
      <c r="G889" s="22"/>
      <c r="H889" s="22"/>
    </row>
    <row r="890" spans="1:8" x14ac:dyDescent="0.2">
      <c r="A890" s="22"/>
      <c r="B890" s="107"/>
      <c r="C890" s="107"/>
      <c r="D890" s="108"/>
      <c r="E890" s="22"/>
      <c r="F890" s="109"/>
      <c r="G890" s="22"/>
      <c r="H890" s="22"/>
    </row>
    <row r="891" spans="1:8" x14ac:dyDescent="0.2">
      <c r="A891" s="22"/>
      <c r="B891" s="107"/>
      <c r="C891" s="107"/>
      <c r="D891" s="108"/>
      <c r="E891" s="22"/>
      <c r="F891" s="109"/>
      <c r="G891" s="22"/>
      <c r="H891" s="22"/>
    </row>
    <row r="892" spans="1:8" x14ac:dyDescent="0.2">
      <c r="A892" s="22"/>
      <c r="B892" s="107"/>
      <c r="C892" s="107"/>
      <c r="D892" s="108"/>
      <c r="E892" s="22"/>
      <c r="F892" s="109"/>
      <c r="G892" s="22"/>
      <c r="H892" s="22"/>
    </row>
    <row r="893" spans="1:8" x14ac:dyDescent="0.2">
      <c r="A893" s="22"/>
      <c r="B893" s="107"/>
      <c r="C893" s="107"/>
      <c r="D893" s="108"/>
      <c r="E893" s="22"/>
      <c r="F893" s="109"/>
      <c r="G893" s="22"/>
      <c r="H893" s="22"/>
    </row>
    <row r="894" spans="1:8" x14ac:dyDescent="0.2">
      <c r="A894" s="22"/>
      <c r="B894" s="107"/>
      <c r="C894" s="107"/>
      <c r="D894" s="108"/>
      <c r="E894" s="22"/>
      <c r="F894" s="109"/>
      <c r="G894" s="22"/>
      <c r="H894" s="22"/>
    </row>
    <row r="895" spans="1:8" x14ac:dyDescent="0.2">
      <c r="A895" s="22"/>
      <c r="B895" s="107"/>
      <c r="C895" s="107"/>
      <c r="D895" s="108"/>
      <c r="E895" s="22"/>
      <c r="F895" s="109"/>
      <c r="G895" s="22"/>
      <c r="H895" s="22"/>
    </row>
    <row r="896" spans="1:8" x14ac:dyDescent="0.2">
      <c r="A896" s="22"/>
      <c r="B896" s="107"/>
      <c r="C896" s="107"/>
      <c r="D896" s="108"/>
      <c r="E896" s="22"/>
      <c r="F896" s="109"/>
      <c r="G896" s="22"/>
      <c r="H896" s="22"/>
    </row>
    <row r="897" spans="1:8" x14ac:dyDescent="0.2">
      <c r="A897" s="22"/>
      <c r="B897" s="107"/>
      <c r="C897" s="107"/>
      <c r="D897" s="108"/>
      <c r="E897" s="22"/>
      <c r="F897" s="109"/>
      <c r="G897" s="22"/>
      <c r="H897" s="22"/>
    </row>
    <row r="898" spans="1:8" x14ac:dyDescent="0.2">
      <c r="A898" s="22"/>
      <c r="B898" s="107"/>
      <c r="C898" s="107"/>
      <c r="D898" s="108"/>
      <c r="E898" s="22"/>
      <c r="F898" s="109"/>
      <c r="G898" s="22"/>
      <c r="H898" s="22"/>
    </row>
    <row r="899" spans="1:8" x14ac:dyDescent="0.2">
      <c r="A899" s="22"/>
      <c r="B899" s="107"/>
      <c r="C899" s="107"/>
      <c r="D899" s="108"/>
      <c r="E899" s="22"/>
      <c r="F899" s="109"/>
      <c r="G899" s="22"/>
      <c r="H899" s="22"/>
    </row>
    <row r="900" spans="1:8" x14ac:dyDescent="0.2">
      <c r="A900" s="22"/>
      <c r="B900" s="107"/>
      <c r="C900" s="107"/>
      <c r="D900" s="108"/>
      <c r="E900" s="22"/>
      <c r="F900" s="109"/>
      <c r="G900" s="22"/>
      <c r="H900" s="22"/>
    </row>
    <row r="901" spans="1:8" x14ac:dyDescent="0.2">
      <c r="A901" s="22"/>
      <c r="B901" s="107"/>
      <c r="C901" s="107"/>
      <c r="D901" s="108"/>
      <c r="E901" s="22"/>
      <c r="F901" s="109"/>
      <c r="G901" s="22"/>
      <c r="H901" s="22"/>
    </row>
    <row r="902" spans="1:8" x14ac:dyDescent="0.2">
      <c r="A902" s="22"/>
      <c r="B902" s="107"/>
      <c r="C902" s="107"/>
      <c r="D902" s="108"/>
      <c r="E902" s="22"/>
      <c r="F902" s="109"/>
      <c r="G902" s="22"/>
      <c r="H902" s="22"/>
    </row>
    <row r="903" spans="1:8" x14ac:dyDescent="0.2">
      <c r="A903" s="22"/>
      <c r="B903" s="107"/>
      <c r="C903" s="107"/>
      <c r="D903" s="108"/>
      <c r="E903" s="22"/>
      <c r="F903" s="109"/>
      <c r="G903" s="22"/>
      <c r="H903" s="22"/>
    </row>
    <row r="904" spans="1:8" x14ac:dyDescent="0.2">
      <c r="A904" s="22"/>
      <c r="B904" s="107"/>
      <c r="C904" s="107"/>
      <c r="D904" s="108"/>
      <c r="E904" s="22"/>
      <c r="F904" s="109"/>
      <c r="G904" s="22"/>
      <c r="H904" s="22"/>
    </row>
    <row r="905" spans="1:8" x14ac:dyDescent="0.2">
      <c r="A905" s="22"/>
      <c r="B905" s="107"/>
      <c r="C905" s="107"/>
      <c r="D905" s="108"/>
      <c r="E905" s="22"/>
      <c r="F905" s="109"/>
      <c r="G905" s="22"/>
      <c r="H905" s="22"/>
    </row>
    <row r="906" spans="1:8" x14ac:dyDescent="0.2">
      <c r="A906" s="22"/>
      <c r="B906" s="107"/>
      <c r="C906" s="107"/>
      <c r="D906" s="108"/>
      <c r="E906" s="22"/>
      <c r="F906" s="109"/>
      <c r="G906" s="22"/>
      <c r="H906" s="22"/>
    </row>
    <row r="907" spans="1:8" x14ac:dyDescent="0.2">
      <c r="A907" s="22"/>
      <c r="B907" s="107"/>
      <c r="C907" s="107"/>
      <c r="D907" s="108"/>
      <c r="E907" s="22"/>
      <c r="F907" s="109"/>
      <c r="G907" s="22"/>
      <c r="H907" s="22"/>
    </row>
    <row r="908" spans="1:8" x14ac:dyDescent="0.2">
      <c r="A908" s="22"/>
      <c r="B908" s="107"/>
      <c r="C908" s="107"/>
      <c r="D908" s="108"/>
      <c r="E908" s="22"/>
      <c r="F908" s="109"/>
      <c r="G908" s="22"/>
      <c r="H908" s="22"/>
    </row>
    <row r="909" spans="1:8" x14ac:dyDescent="0.2">
      <c r="A909" s="22"/>
      <c r="B909" s="107"/>
      <c r="C909" s="107"/>
      <c r="D909" s="108"/>
      <c r="E909" s="22"/>
      <c r="F909" s="109"/>
      <c r="G909" s="22"/>
      <c r="H909" s="22"/>
    </row>
    <row r="910" spans="1:8" x14ac:dyDescent="0.2">
      <c r="A910" s="22"/>
      <c r="B910" s="107"/>
      <c r="C910" s="107"/>
      <c r="D910" s="108"/>
      <c r="E910" s="22"/>
      <c r="F910" s="109"/>
      <c r="G910" s="22"/>
      <c r="H910" s="22"/>
    </row>
    <row r="911" spans="1:8" x14ac:dyDescent="0.2">
      <c r="A911" s="22"/>
      <c r="B911" s="107"/>
      <c r="C911" s="107"/>
      <c r="D911" s="108"/>
      <c r="E911" s="22"/>
      <c r="F911" s="109"/>
      <c r="G911" s="22"/>
      <c r="H911" s="22"/>
    </row>
    <row r="912" spans="1:8" x14ac:dyDescent="0.2">
      <c r="A912" s="22"/>
      <c r="B912" s="107"/>
      <c r="C912" s="107"/>
      <c r="D912" s="108"/>
      <c r="E912" s="22"/>
      <c r="F912" s="109"/>
      <c r="G912" s="22"/>
      <c r="H912" s="22"/>
    </row>
    <row r="913" spans="1:8" x14ac:dyDescent="0.2">
      <c r="A913" s="22"/>
      <c r="B913" s="107"/>
      <c r="C913" s="107"/>
      <c r="D913" s="108"/>
      <c r="E913" s="22"/>
      <c r="F913" s="109"/>
      <c r="G913" s="22"/>
      <c r="H913" s="22"/>
    </row>
    <row r="914" spans="1:8" x14ac:dyDescent="0.2">
      <c r="A914" s="22"/>
      <c r="B914" s="107"/>
      <c r="C914" s="107"/>
      <c r="D914" s="108"/>
      <c r="E914" s="22"/>
      <c r="F914" s="109"/>
      <c r="G914" s="22"/>
      <c r="H914" s="22"/>
    </row>
    <row r="915" spans="1:8" x14ac:dyDescent="0.2">
      <c r="A915" s="22"/>
      <c r="B915" s="107"/>
      <c r="C915" s="107"/>
      <c r="D915" s="108"/>
      <c r="E915" s="22"/>
      <c r="F915" s="109"/>
      <c r="G915" s="22"/>
      <c r="H915" s="22"/>
    </row>
    <row r="916" spans="1:8" x14ac:dyDescent="0.2">
      <c r="A916" s="22"/>
      <c r="B916" s="107"/>
      <c r="C916" s="107"/>
      <c r="D916" s="108"/>
      <c r="E916" s="22"/>
      <c r="F916" s="109"/>
      <c r="G916" s="22"/>
      <c r="H916" s="22"/>
    </row>
    <row r="917" spans="1:8" x14ac:dyDescent="0.2">
      <c r="A917" s="22"/>
      <c r="B917" s="107"/>
      <c r="C917" s="107"/>
      <c r="D917" s="108"/>
      <c r="E917" s="22"/>
      <c r="F917" s="109"/>
      <c r="G917" s="22"/>
      <c r="H917" s="22"/>
    </row>
    <row r="918" spans="1:8" x14ac:dyDescent="0.2">
      <c r="A918" s="22"/>
      <c r="B918" s="107"/>
      <c r="C918" s="107"/>
      <c r="D918" s="108"/>
      <c r="E918" s="22"/>
      <c r="F918" s="109"/>
      <c r="G918" s="22"/>
      <c r="H918" s="22"/>
    </row>
    <row r="919" spans="1:8" x14ac:dyDescent="0.2">
      <c r="A919" s="22"/>
      <c r="B919" s="107"/>
      <c r="C919" s="107"/>
      <c r="D919" s="108"/>
      <c r="E919" s="22"/>
      <c r="F919" s="109"/>
      <c r="G919" s="22"/>
      <c r="H919" s="22"/>
    </row>
    <row r="920" spans="1:8" x14ac:dyDescent="0.2">
      <c r="A920" s="22"/>
      <c r="B920" s="107"/>
      <c r="C920" s="107"/>
      <c r="D920" s="108"/>
      <c r="E920" s="22"/>
      <c r="F920" s="109"/>
      <c r="G920" s="22"/>
      <c r="H920" s="22"/>
    </row>
    <row r="921" spans="1:8" x14ac:dyDescent="0.2">
      <c r="A921" s="22"/>
      <c r="B921" s="107"/>
      <c r="C921" s="107"/>
      <c r="D921" s="108"/>
      <c r="E921" s="22"/>
      <c r="F921" s="109"/>
      <c r="G921" s="22"/>
      <c r="H921" s="22"/>
    </row>
    <row r="922" spans="1:8" x14ac:dyDescent="0.2">
      <c r="A922" s="22"/>
      <c r="B922" s="107"/>
      <c r="C922" s="107"/>
      <c r="D922" s="108"/>
      <c r="E922" s="22"/>
      <c r="F922" s="109"/>
      <c r="G922" s="22"/>
      <c r="H922" s="22"/>
    </row>
    <row r="923" spans="1:8" x14ac:dyDescent="0.2">
      <c r="A923" s="22"/>
      <c r="B923" s="107"/>
      <c r="C923" s="107"/>
      <c r="D923" s="108"/>
      <c r="E923" s="22"/>
      <c r="F923" s="109"/>
      <c r="G923" s="22"/>
      <c r="H923" s="22"/>
    </row>
    <row r="924" spans="1:8" x14ac:dyDescent="0.2">
      <c r="A924" s="22"/>
      <c r="B924" s="107"/>
      <c r="C924" s="107"/>
      <c r="D924" s="108"/>
      <c r="E924" s="22"/>
      <c r="F924" s="109"/>
      <c r="G924" s="22"/>
      <c r="H924" s="22"/>
    </row>
    <row r="925" spans="1:8" x14ac:dyDescent="0.2">
      <c r="A925" s="22"/>
      <c r="B925" s="107"/>
      <c r="C925" s="107"/>
      <c r="D925" s="108"/>
      <c r="E925" s="22"/>
      <c r="F925" s="109"/>
      <c r="G925" s="22"/>
      <c r="H925" s="22"/>
    </row>
    <row r="926" spans="1:8" x14ac:dyDescent="0.2">
      <c r="A926" s="22"/>
      <c r="B926" s="107"/>
      <c r="C926" s="107"/>
      <c r="D926" s="108"/>
      <c r="E926" s="22"/>
      <c r="F926" s="109"/>
      <c r="G926" s="22"/>
      <c r="H926" s="22"/>
    </row>
    <row r="927" spans="1:8" x14ac:dyDescent="0.2">
      <c r="A927" s="22"/>
      <c r="B927" s="107"/>
      <c r="C927" s="107"/>
      <c r="D927" s="108"/>
      <c r="E927" s="22"/>
      <c r="F927" s="109"/>
      <c r="G927" s="22"/>
      <c r="H927" s="22"/>
    </row>
    <row r="928" spans="1:8" x14ac:dyDescent="0.2">
      <c r="A928" s="22"/>
      <c r="B928" s="107"/>
      <c r="C928" s="107"/>
      <c r="D928" s="108"/>
      <c r="E928" s="22"/>
      <c r="F928" s="109"/>
      <c r="G928" s="22"/>
      <c r="H928" s="22"/>
    </row>
    <row r="929" spans="1:8" x14ac:dyDescent="0.2">
      <c r="A929" s="22"/>
      <c r="B929" s="107"/>
      <c r="C929" s="107"/>
      <c r="D929" s="108"/>
      <c r="E929" s="22"/>
      <c r="F929" s="109"/>
      <c r="G929" s="22"/>
      <c r="H929" s="22"/>
    </row>
    <row r="930" spans="1:8" x14ac:dyDescent="0.2">
      <c r="A930" s="22"/>
      <c r="B930" s="107"/>
      <c r="C930" s="107"/>
      <c r="D930" s="108"/>
      <c r="E930" s="22"/>
      <c r="F930" s="109"/>
      <c r="G930" s="22"/>
      <c r="H930" s="22"/>
    </row>
    <row r="931" spans="1:8" x14ac:dyDescent="0.2">
      <c r="A931" s="22"/>
      <c r="B931" s="107"/>
      <c r="C931" s="107"/>
      <c r="D931" s="108"/>
      <c r="E931" s="22"/>
      <c r="F931" s="109"/>
      <c r="G931" s="22"/>
      <c r="H931" s="22"/>
    </row>
    <row r="932" spans="1:8" x14ac:dyDescent="0.2">
      <c r="A932" s="22"/>
      <c r="B932" s="107"/>
      <c r="C932" s="107"/>
      <c r="D932" s="108"/>
      <c r="E932" s="22"/>
      <c r="F932" s="109"/>
      <c r="G932" s="22"/>
      <c r="H932" s="22"/>
    </row>
    <row r="933" spans="1:8" x14ac:dyDescent="0.2">
      <c r="A933" s="22"/>
      <c r="B933" s="107"/>
      <c r="C933" s="107"/>
      <c r="D933" s="108"/>
      <c r="E933" s="22"/>
      <c r="F933" s="109"/>
      <c r="G933" s="22"/>
      <c r="H933" s="22"/>
    </row>
    <row r="934" spans="1:8" x14ac:dyDescent="0.2">
      <c r="A934" s="22"/>
      <c r="B934" s="107"/>
      <c r="C934" s="107"/>
      <c r="D934" s="108"/>
      <c r="E934" s="22"/>
      <c r="F934" s="109"/>
      <c r="G934" s="22"/>
      <c r="H934" s="22"/>
    </row>
    <row r="935" spans="1:8" x14ac:dyDescent="0.2">
      <c r="A935" s="22"/>
      <c r="B935" s="107"/>
      <c r="C935" s="107"/>
      <c r="D935" s="108"/>
      <c r="E935" s="22"/>
      <c r="F935" s="109"/>
      <c r="G935" s="22"/>
      <c r="H935" s="22"/>
    </row>
    <row r="936" spans="1:8" x14ac:dyDescent="0.2">
      <c r="A936" s="22"/>
      <c r="B936" s="107"/>
      <c r="C936" s="107"/>
      <c r="D936" s="108"/>
      <c r="E936" s="22"/>
      <c r="F936" s="109"/>
      <c r="G936" s="22"/>
      <c r="H936" s="22"/>
    </row>
    <row r="937" spans="1:8" x14ac:dyDescent="0.2">
      <c r="A937" s="22"/>
      <c r="B937" s="107"/>
      <c r="C937" s="107"/>
      <c r="D937" s="108"/>
      <c r="E937" s="22"/>
      <c r="F937" s="109"/>
      <c r="G937" s="22"/>
      <c r="H937" s="22"/>
    </row>
    <row r="938" spans="1:8" x14ac:dyDescent="0.2">
      <c r="A938" s="22"/>
      <c r="B938" s="107"/>
      <c r="C938" s="107"/>
      <c r="D938" s="108"/>
      <c r="E938" s="22"/>
      <c r="F938" s="109"/>
      <c r="G938" s="22"/>
      <c r="H938" s="22"/>
    </row>
    <row r="939" spans="1:8" x14ac:dyDescent="0.2">
      <c r="A939" s="22"/>
      <c r="B939" s="107"/>
      <c r="C939" s="107"/>
      <c r="D939" s="108"/>
      <c r="E939" s="22"/>
      <c r="F939" s="109"/>
      <c r="G939" s="22"/>
      <c r="H939" s="22"/>
    </row>
    <row r="940" spans="1:8" x14ac:dyDescent="0.2">
      <c r="A940" s="22"/>
      <c r="B940" s="107"/>
      <c r="C940" s="107"/>
      <c r="D940" s="108"/>
      <c r="E940" s="22"/>
      <c r="F940" s="109"/>
      <c r="G940" s="22"/>
      <c r="H940" s="22"/>
    </row>
    <row r="941" spans="1:8" x14ac:dyDescent="0.2">
      <c r="A941" s="22"/>
      <c r="B941" s="107"/>
      <c r="C941" s="107"/>
      <c r="D941" s="108"/>
      <c r="E941" s="22"/>
      <c r="F941" s="109"/>
      <c r="G941" s="22"/>
      <c r="H941" s="22"/>
    </row>
    <row r="942" spans="1:8" x14ac:dyDescent="0.2">
      <c r="A942" s="22"/>
      <c r="B942" s="107"/>
      <c r="C942" s="107"/>
      <c r="D942" s="108"/>
      <c r="E942" s="22"/>
      <c r="F942" s="109"/>
      <c r="G942" s="22"/>
      <c r="H942" s="22"/>
    </row>
    <row r="943" spans="1:8" x14ac:dyDescent="0.2">
      <c r="A943" s="22"/>
      <c r="B943" s="107"/>
      <c r="C943" s="107"/>
      <c r="D943" s="108"/>
      <c r="E943" s="22"/>
      <c r="F943" s="109"/>
      <c r="G943" s="22"/>
      <c r="H943" s="22"/>
    </row>
    <row r="944" spans="1:8" x14ac:dyDescent="0.2">
      <c r="A944" s="22"/>
      <c r="B944" s="107"/>
      <c r="C944" s="107"/>
      <c r="D944" s="108"/>
      <c r="E944" s="22"/>
      <c r="F944" s="109"/>
      <c r="G944" s="22"/>
      <c r="H944" s="22"/>
    </row>
    <row r="945" spans="1:8" x14ac:dyDescent="0.2">
      <c r="A945" s="22"/>
      <c r="B945" s="107"/>
      <c r="C945" s="107"/>
      <c r="D945" s="108"/>
      <c r="E945" s="22"/>
      <c r="F945" s="109"/>
      <c r="G945" s="22"/>
      <c r="H945" s="22"/>
    </row>
    <row r="946" spans="1:8" x14ac:dyDescent="0.2">
      <c r="A946" s="22"/>
      <c r="B946" s="107"/>
      <c r="C946" s="107"/>
      <c r="D946" s="108"/>
      <c r="E946" s="22"/>
      <c r="F946" s="109"/>
      <c r="G946" s="22"/>
      <c r="H946" s="22"/>
    </row>
    <row r="947" spans="1:8" x14ac:dyDescent="0.2">
      <c r="A947" s="22"/>
      <c r="B947" s="107"/>
      <c r="C947" s="107"/>
      <c r="D947" s="108"/>
      <c r="E947" s="22"/>
      <c r="F947" s="109"/>
      <c r="G947" s="22"/>
      <c r="H947" s="22"/>
    </row>
    <row r="948" spans="1:8" x14ac:dyDescent="0.2">
      <c r="A948" s="22"/>
      <c r="B948" s="107"/>
      <c r="C948" s="107"/>
      <c r="D948" s="108"/>
      <c r="E948" s="22"/>
      <c r="F948" s="109"/>
      <c r="G948" s="22"/>
      <c r="H948" s="22"/>
    </row>
    <row r="949" spans="1:8" x14ac:dyDescent="0.2">
      <c r="A949" s="22"/>
      <c r="B949" s="107"/>
      <c r="C949" s="107"/>
      <c r="D949" s="108"/>
      <c r="E949" s="22"/>
      <c r="F949" s="109"/>
      <c r="G949" s="22"/>
      <c r="H949" s="22"/>
    </row>
    <row r="950" spans="1:8" x14ac:dyDescent="0.2">
      <c r="A950" s="22"/>
      <c r="B950" s="107"/>
      <c r="C950" s="107"/>
      <c r="D950" s="108"/>
      <c r="E950" s="22"/>
      <c r="F950" s="109"/>
      <c r="G950" s="22"/>
      <c r="H950" s="22"/>
    </row>
    <row r="951" spans="1:8" x14ac:dyDescent="0.2">
      <c r="A951" s="22"/>
      <c r="B951" s="107"/>
      <c r="C951" s="107"/>
      <c r="D951" s="108"/>
      <c r="E951" s="22"/>
      <c r="F951" s="109"/>
      <c r="G951" s="22"/>
      <c r="H951" s="22"/>
    </row>
    <row r="952" spans="1:8" x14ac:dyDescent="0.2">
      <c r="A952" s="22"/>
      <c r="B952" s="107"/>
      <c r="C952" s="107"/>
      <c r="D952" s="108"/>
      <c r="E952" s="22"/>
      <c r="F952" s="109"/>
      <c r="G952" s="22"/>
      <c r="H952" s="22"/>
    </row>
    <row r="953" spans="1:8" x14ac:dyDescent="0.2">
      <c r="A953" s="22"/>
      <c r="B953" s="107"/>
      <c r="C953" s="107"/>
      <c r="D953" s="108"/>
      <c r="E953" s="22"/>
      <c r="F953" s="109"/>
      <c r="G953" s="22"/>
      <c r="H953" s="22"/>
    </row>
    <row r="954" spans="1:8" x14ac:dyDescent="0.2">
      <c r="A954" s="22"/>
      <c r="B954" s="107"/>
      <c r="C954" s="107"/>
      <c r="D954" s="108"/>
      <c r="E954" s="22"/>
      <c r="F954" s="109"/>
      <c r="G954" s="22"/>
      <c r="H954" s="22"/>
    </row>
    <row r="955" spans="1:8" x14ac:dyDescent="0.2">
      <c r="A955" s="22"/>
      <c r="B955" s="107"/>
      <c r="C955" s="107"/>
      <c r="D955" s="108"/>
      <c r="E955" s="22"/>
      <c r="F955" s="109"/>
      <c r="G955" s="22"/>
      <c r="H955" s="22"/>
    </row>
    <row r="956" spans="1:8" x14ac:dyDescent="0.2">
      <c r="A956" s="22"/>
      <c r="B956" s="107"/>
      <c r="C956" s="107"/>
      <c r="D956" s="108"/>
      <c r="E956" s="22"/>
      <c r="F956" s="109"/>
      <c r="G956" s="22"/>
      <c r="H956" s="22"/>
    </row>
    <row r="957" spans="1:8" x14ac:dyDescent="0.2">
      <c r="A957" s="22"/>
      <c r="B957" s="107"/>
      <c r="C957" s="107"/>
      <c r="D957" s="108"/>
      <c r="E957" s="22"/>
      <c r="F957" s="109"/>
      <c r="G957" s="22"/>
      <c r="H957" s="22"/>
    </row>
    <row r="958" spans="1:8" x14ac:dyDescent="0.2">
      <c r="A958" s="22"/>
      <c r="B958" s="107"/>
      <c r="C958" s="107"/>
      <c r="D958" s="108"/>
      <c r="E958" s="22"/>
      <c r="F958" s="109"/>
      <c r="G958" s="22"/>
      <c r="H958" s="22"/>
    </row>
    <row r="959" spans="1:8" x14ac:dyDescent="0.2">
      <c r="A959" s="22"/>
      <c r="B959" s="107"/>
      <c r="C959" s="107"/>
      <c r="D959" s="108"/>
      <c r="E959" s="22"/>
      <c r="F959" s="109"/>
      <c r="G959" s="22"/>
      <c r="H959" s="22"/>
    </row>
    <row r="960" spans="1:8" x14ac:dyDescent="0.2">
      <c r="A960" s="22"/>
      <c r="B960" s="107"/>
      <c r="C960" s="107"/>
      <c r="D960" s="108"/>
      <c r="E960" s="22"/>
      <c r="F960" s="109"/>
      <c r="G960" s="22"/>
      <c r="H960" s="22"/>
    </row>
    <row r="961" spans="1:8" x14ac:dyDescent="0.2">
      <c r="A961" s="22"/>
      <c r="B961" s="107"/>
      <c r="C961" s="107"/>
      <c r="D961" s="108"/>
      <c r="E961" s="22"/>
      <c r="F961" s="109"/>
      <c r="G961" s="22"/>
      <c r="H961" s="22"/>
    </row>
    <row r="962" spans="1:8" x14ac:dyDescent="0.2">
      <c r="A962" s="22"/>
      <c r="B962" s="107"/>
      <c r="C962" s="107"/>
      <c r="D962" s="108"/>
      <c r="E962" s="22"/>
      <c r="F962" s="109"/>
      <c r="G962" s="22"/>
      <c r="H962" s="22"/>
    </row>
    <row r="963" spans="1:8" x14ac:dyDescent="0.2">
      <c r="A963" s="22"/>
      <c r="B963" s="107"/>
      <c r="C963" s="107"/>
      <c r="D963" s="108"/>
      <c r="E963" s="22"/>
      <c r="F963" s="109"/>
      <c r="G963" s="22"/>
      <c r="H963" s="22"/>
    </row>
    <row r="964" spans="1:8" x14ac:dyDescent="0.2">
      <c r="A964" s="22"/>
      <c r="B964" s="107"/>
      <c r="C964" s="107"/>
      <c r="D964" s="108"/>
      <c r="E964" s="22"/>
      <c r="F964" s="109"/>
      <c r="G964" s="22"/>
      <c r="H964" s="22"/>
    </row>
    <row r="965" spans="1:8" x14ac:dyDescent="0.2">
      <c r="A965" s="22"/>
      <c r="B965" s="107"/>
      <c r="C965" s="107"/>
      <c r="D965" s="108"/>
      <c r="E965" s="22"/>
      <c r="F965" s="109"/>
      <c r="G965" s="22"/>
      <c r="H965" s="22"/>
    </row>
    <row r="966" spans="1:8" x14ac:dyDescent="0.2">
      <c r="A966" s="22"/>
      <c r="B966" s="107"/>
      <c r="C966" s="107"/>
      <c r="D966" s="108"/>
      <c r="E966" s="22"/>
      <c r="F966" s="109"/>
      <c r="G966" s="22"/>
      <c r="H966" s="22"/>
    </row>
    <row r="967" spans="1:8" x14ac:dyDescent="0.2">
      <c r="A967" s="22"/>
      <c r="B967" s="107"/>
      <c r="C967" s="107"/>
      <c r="D967" s="108"/>
      <c r="E967" s="22"/>
      <c r="F967" s="109"/>
      <c r="G967" s="22"/>
      <c r="H967" s="22"/>
    </row>
    <row r="968" spans="1:8" x14ac:dyDescent="0.2">
      <c r="A968" s="22"/>
      <c r="B968" s="107"/>
      <c r="C968" s="107"/>
      <c r="D968" s="108"/>
      <c r="E968" s="22"/>
      <c r="F968" s="109"/>
      <c r="G968" s="22"/>
      <c r="H968" s="22"/>
    </row>
    <row r="969" spans="1:8" x14ac:dyDescent="0.2">
      <c r="A969" s="22"/>
      <c r="B969" s="107"/>
      <c r="C969" s="107"/>
      <c r="D969" s="108"/>
      <c r="E969" s="22"/>
      <c r="F969" s="109"/>
      <c r="G969" s="22"/>
      <c r="H969" s="22"/>
    </row>
    <row r="970" spans="1:8" x14ac:dyDescent="0.2">
      <c r="A970" s="22"/>
      <c r="B970" s="107"/>
      <c r="C970" s="107"/>
      <c r="D970" s="108"/>
      <c r="E970" s="22"/>
      <c r="F970" s="109"/>
      <c r="G970" s="22"/>
      <c r="H970" s="22"/>
    </row>
    <row r="971" spans="1:8" x14ac:dyDescent="0.2">
      <c r="A971" s="22"/>
      <c r="B971" s="107"/>
      <c r="C971" s="107"/>
      <c r="D971" s="108"/>
      <c r="E971" s="22"/>
      <c r="F971" s="109"/>
      <c r="G971" s="22"/>
      <c r="H971" s="22"/>
    </row>
    <row r="972" spans="1:8" x14ac:dyDescent="0.2">
      <c r="A972" s="22"/>
      <c r="B972" s="107"/>
      <c r="C972" s="107"/>
      <c r="D972" s="108"/>
      <c r="E972" s="22"/>
      <c r="F972" s="109"/>
      <c r="G972" s="22"/>
      <c r="H972" s="22"/>
    </row>
    <row r="973" spans="1:8" x14ac:dyDescent="0.2">
      <c r="A973" s="22"/>
      <c r="B973" s="107"/>
      <c r="C973" s="107"/>
      <c r="D973" s="108"/>
      <c r="E973" s="22"/>
      <c r="F973" s="109"/>
      <c r="G973" s="22"/>
      <c r="H973" s="22"/>
    </row>
    <row r="974" spans="1:8" x14ac:dyDescent="0.2">
      <c r="A974" s="22"/>
      <c r="B974" s="107"/>
      <c r="C974" s="107"/>
      <c r="D974" s="108"/>
      <c r="E974" s="22"/>
      <c r="F974" s="109"/>
      <c r="G974" s="22"/>
      <c r="H974" s="22"/>
    </row>
    <row r="975" spans="1:8" x14ac:dyDescent="0.2">
      <c r="A975" s="22"/>
      <c r="B975" s="107"/>
      <c r="C975" s="107"/>
      <c r="D975" s="108"/>
      <c r="E975" s="22"/>
      <c r="F975" s="109"/>
      <c r="G975" s="22"/>
      <c r="H975" s="22"/>
    </row>
    <row r="976" spans="1:8" x14ac:dyDescent="0.2">
      <c r="A976" s="22"/>
      <c r="B976" s="107"/>
      <c r="C976" s="107"/>
      <c r="D976" s="108"/>
      <c r="E976" s="22"/>
      <c r="F976" s="109"/>
      <c r="G976" s="22"/>
      <c r="H976" s="22"/>
    </row>
    <row r="977" spans="1:8" x14ac:dyDescent="0.2">
      <c r="A977" s="22"/>
      <c r="B977" s="107"/>
      <c r="C977" s="107"/>
      <c r="D977" s="108"/>
      <c r="E977" s="22"/>
      <c r="F977" s="109"/>
      <c r="G977" s="22"/>
      <c r="H977" s="22"/>
    </row>
    <row r="978" spans="1:8" x14ac:dyDescent="0.2">
      <c r="A978" s="22"/>
      <c r="B978" s="107"/>
      <c r="C978" s="107"/>
      <c r="D978" s="108"/>
      <c r="E978" s="22"/>
      <c r="F978" s="109"/>
      <c r="G978" s="22"/>
      <c r="H978" s="22"/>
    </row>
    <row r="979" spans="1:8" x14ac:dyDescent="0.2">
      <c r="A979" s="22"/>
      <c r="B979" s="107"/>
      <c r="C979" s="107"/>
      <c r="D979" s="108"/>
      <c r="E979" s="22"/>
      <c r="F979" s="109"/>
      <c r="G979" s="22"/>
      <c r="H979" s="22"/>
    </row>
    <row r="980" spans="1:8" x14ac:dyDescent="0.2">
      <c r="A980" s="22"/>
      <c r="B980" s="107"/>
      <c r="C980" s="107"/>
      <c r="D980" s="108"/>
      <c r="E980" s="22"/>
      <c r="F980" s="109"/>
      <c r="G980" s="22"/>
      <c r="H980" s="22"/>
    </row>
    <row r="981" spans="1:8" x14ac:dyDescent="0.2">
      <c r="A981" s="22"/>
      <c r="B981" s="107"/>
      <c r="C981" s="107"/>
      <c r="D981" s="108"/>
      <c r="E981" s="22"/>
      <c r="F981" s="109"/>
      <c r="G981" s="22"/>
      <c r="H981" s="22"/>
    </row>
    <row r="982" spans="1:8" x14ac:dyDescent="0.2">
      <c r="A982" s="22"/>
      <c r="B982" s="107"/>
      <c r="C982" s="107"/>
      <c r="D982" s="108"/>
      <c r="E982" s="22"/>
      <c r="F982" s="109"/>
      <c r="G982" s="22"/>
      <c r="H982" s="22"/>
    </row>
    <row r="983" spans="1:8" x14ac:dyDescent="0.2">
      <c r="A983" s="22"/>
      <c r="B983" s="107"/>
      <c r="C983" s="107"/>
      <c r="D983" s="108"/>
      <c r="E983" s="22"/>
      <c r="F983" s="109"/>
      <c r="G983" s="22"/>
      <c r="H983" s="22"/>
    </row>
    <row r="984" spans="1:8" x14ac:dyDescent="0.2">
      <c r="A984" s="22"/>
      <c r="B984" s="107"/>
      <c r="C984" s="107"/>
      <c r="D984" s="108"/>
      <c r="E984" s="22"/>
      <c r="F984" s="109"/>
      <c r="G984" s="22"/>
      <c r="H984" s="22"/>
    </row>
    <row r="985" spans="1:8" x14ac:dyDescent="0.2">
      <c r="A985" s="22"/>
      <c r="B985" s="107"/>
      <c r="C985" s="107"/>
      <c r="D985" s="108"/>
      <c r="E985" s="22"/>
      <c r="F985" s="109"/>
      <c r="G985" s="22"/>
      <c r="H985" s="22"/>
    </row>
    <row r="986" spans="1:8" x14ac:dyDescent="0.2">
      <c r="A986" s="22"/>
      <c r="B986" s="107"/>
      <c r="C986" s="107"/>
      <c r="D986" s="108"/>
      <c r="E986" s="22"/>
      <c r="F986" s="109"/>
      <c r="G986" s="22"/>
      <c r="H986" s="22"/>
    </row>
    <row r="987" spans="1:8" x14ac:dyDescent="0.2">
      <c r="A987" s="22"/>
      <c r="B987" s="107"/>
      <c r="C987" s="107"/>
      <c r="D987" s="108"/>
      <c r="E987" s="22"/>
      <c r="F987" s="109"/>
      <c r="G987" s="22"/>
      <c r="H987" s="22"/>
    </row>
    <row r="988" spans="1:8" x14ac:dyDescent="0.2">
      <c r="A988" s="22"/>
      <c r="B988" s="107"/>
      <c r="C988" s="107"/>
      <c r="D988" s="108"/>
      <c r="E988" s="22"/>
      <c r="F988" s="109"/>
      <c r="G988" s="22"/>
      <c r="H988" s="22"/>
    </row>
    <row r="989" spans="1:8" x14ac:dyDescent="0.2">
      <c r="A989" s="22"/>
      <c r="B989" s="107"/>
      <c r="C989" s="107"/>
      <c r="D989" s="108"/>
      <c r="E989" s="22"/>
      <c r="F989" s="109"/>
      <c r="G989" s="22"/>
      <c r="H989" s="22"/>
    </row>
    <row r="990" spans="1:8" x14ac:dyDescent="0.2">
      <c r="A990" s="22"/>
      <c r="B990" s="107"/>
      <c r="C990" s="107"/>
      <c r="D990" s="108"/>
      <c r="E990" s="22"/>
      <c r="F990" s="109"/>
      <c r="G990" s="22"/>
      <c r="H990" s="22"/>
    </row>
    <row r="991" spans="1:8" x14ac:dyDescent="0.2">
      <c r="A991" s="22"/>
      <c r="B991" s="107"/>
      <c r="C991" s="107"/>
      <c r="D991" s="108"/>
      <c r="E991" s="22"/>
      <c r="F991" s="109"/>
      <c r="G991" s="22"/>
      <c r="H991" s="22"/>
    </row>
    <row r="992" spans="1:8" x14ac:dyDescent="0.2">
      <c r="A992" s="22"/>
      <c r="B992" s="107"/>
      <c r="C992" s="107"/>
      <c r="D992" s="108"/>
      <c r="E992" s="22"/>
      <c r="F992" s="109"/>
      <c r="G992" s="22"/>
      <c r="H992" s="22"/>
    </row>
    <row r="993" spans="1:8" x14ac:dyDescent="0.2">
      <c r="A993" s="22"/>
      <c r="B993" s="107"/>
      <c r="C993" s="107"/>
      <c r="D993" s="108"/>
      <c r="E993" s="22"/>
      <c r="F993" s="109"/>
      <c r="G993" s="22"/>
      <c r="H993" s="22"/>
    </row>
    <row r="994" spans="1:8" x14ac:dyDescent="0.2">
      <c r="A994" s="22"/>
      <c r="B994" s="107"/>
      <c r="C994" s="107"/>
      <c r="D994" s="108"/>
      <c r="E994" s="22"/>
      <c r="F994" s="109"/>
      <c r="G994" s="22"/>
      <c r="H994" s="22"/>
    </row>
    <row r="995" spans="1:8" x14ac:dyDescent="0.2">
      <c r="A995" s="22"/>
      <c r="B995" s="107"/>
      <c r="C995" s="107"/>
      <c r="D995" s="108"/>
      <c r="E995" s="22"/>
      <c r="F995" s="109"/>
      <c r="G995" s="22"/>
      <c r="H995" s="22"/>
    </row>
    <row r="996" spans="1:8" x14ac:dyDescent="0.2">
      <c r="A996" s="22"/>
      <c r="B996" s="107"/>
      <c r="C996" s="107"/>
      <c r="D996" s="108"/>
      <c r="E996" s="22"/>
      <c r="F996" s="109"/>
      <c r="G996" s="22"/>
      <c r="H996" s="22"/>
    </row>
    <row r="997" spans="1:8" x14ac:dyDescent="0.2">
      <c r="A997" s="22"/>
      <c r="B997" s="107"/>
      <c r="C997" s="107"/>
      <c r="D997" s="108"/>
      <c r="E997" s="22"/>
      <c r="F997" s="109"/>
      <c r="G997" s="22"/>
      <c r="H997" s="22"/>
    </row>
    <row r="998" spans="1:8" x14ac:dyDescent="0.2">
      <c r="A998" s="22"/>
      <c r="B998" s="107"/>
      <c r="C998" s="107"/>
      <c r="D998" s="108"/>
      <c r="E998" s="22"/>
      <c r="F998" s="109"/>
      <c r="G998" s="22"/>
      <c r="H998" s="22"/>
    </row>
    <row r="999" spans="1:8" x14ac:dyDescent="0.2">
      <c r="A999" s="22"/>
      <c r="B999" s="107"/>
      <c r="C999" s="107"/>
      <c r="D999" s="108"/>
      <c r="E999" s="22"/>
      <c r="F999" s="109"/>
      <c r="G999" s="22"/>
      <c r="H999" s="22"/>
    </row>
    <row r="1000" spans="1:8" x14ac:dyDescent="0.2">
      <c r="A1000" s="22"/>
      <c r="B1000" s="107"/>
      <c r="C1000" s="107"/>
      <c r="D1000" s="108"/>
      <c r="E1000" s="22"/>
      <c r="F1000" s="109"/>
      <c r="G1000" s="22"/>
      <c r="H1000" s="22"/>
    </row>
    <row r="1001" spans="1:8" x14ac:dyDescent="0.2">
      <c r="A1001" s="22"/>
      <c r="B1001" s="107"/>
      <c r="C1001" s="107"/>
      <c r="D1001" s="108"/>
      <c r="E1001" s="22"/>
      <c r="F1001" s="109"/>
      <c r="G1001" s="22"/>
      <c r="H1001" s="22"/>
    </row>
    <row r="1002" spans="1:8" x14ac:dyDescent="0.2">
      <c r="A1002" s="22"/>
      <c r="B1002" s="107"/>
      <c r="C1002" s="107"/>
      <c r="D1002" s="108"/>
      <c r="E1002" s="22"/>
      <c r="F1002" s="109"/>
      <c r="G1002" s="22"/>
      <c r="H1002" s="22"/>
    </row>
    <row r="1003" spans="1:8" x14ac:dyDescent="0.2">
      <c r="A1003" s="22"/>
      <c r="B1003" s="107"/>
      <c r="C1003" s="107"/>
      <c r="D1003" s="108"/>
      <c r="E1003" s="22"/>
      <c r="F1003" s="109"/>
      <c r="G1003" s="22"/>
      <c r="H1003" s="22"/>
    </row>
    <row r="1004" spans="1:8" x14ac:dyDescent="0.2">
      <c r="A1004" s="22"/>
      <c r="B1004" s="107"/>
      <c r="C1004" s="107"/>
      <c r="D1004" s="108"/>
      <c r="E1004" s="22"/>
      <c r="F1004" s="109"/>
      <c r="G1004" s="22"/>
      <c r="H1004" s="22"/>
    </row>
    <row r="1005" spans="1:8" x14ac:dyDescent="0.2">
      <c r="A1005" s="22"/>
      <c r="B1005" s="107"/>
      <c r="C1005" s="107"/>
      <c r="D1005" s="108"/>
      <c r="E1005" s="22"/>
      <c r="F1005" s="109"/>
      <c r="G1005" s="22"/>
      <c r="H1005" s="22"/>
    </row>
    <row r="1006" spans="1:8" x14ac:dyDescent="0.2">
      <c r="A1006" s="22"/>
      <c r="B1006" s="107"/>
      <c r="C1006" s="107"/>
      <c r="D1006" s="108"/>
      <c r="E1006" s="22"/>
      <c r="F1006" s="109"/>
      <c r="G1006" s="22"/>
      <c r="H1006" s="22"/>
    </row>
    <row r="1007" spans="1:8" x14ac:dyDescent="0.2">
      <c r="A1007" s="22"/>
      <c r="B1007" s="107"/>
      <c r="C1007" s="107"/>
      <c r="D1007" s="108"/>
      <c r="E1007" s="22"/>
      <c r="F1007" s="109"/>
      <c r="G1007" s="22"/>
      <c r="H1007" s="22"/>
    </row>
    <row r="1008" spans="1:8" x14ac:dyDescent="0.2">
      <c r="A1008" s="22"/>
      <c r="B1008" s="107"/>
      <c r="C1008" s="107"/>
      <c r="D1008" s="108"/>
      <c r="E1008" s="22"/>
      <c r="F1008" s="109"/>
      <c r="G1008" s="22"/>
      <c r="H1008" s="22"/>
    </row>
    <row r="1009" spans="1:8" x14ac:dyDescent="0.2">
      <c r="A1009" s="22"/>
      <c r="B1009" s="107"/>
      <c r="C1009" s="107"/>
      <c r="D1009" s="108"/>
      <c r="E1009" s="22"/>
      <c r="F1009" s="109"/>
      <c r="G1009" s="22"/>
      <c r="H1009" s="22"/>
    </row>
    <row r="1010" spans="1:8" x14ac:dyDescent="0.2">
      <c r="A1010" s="22"/>
      <c r="B1010" s="107"/>
      <c r="C1010" s="107"/>
      <c r="D1010" s="108"/>
      <c r="E1010" s="22"/>
      <c r="F1010" s="109"/>
      <c r="G1010" s="22"/>
      <c r="H1010" s="22"/>
    </row>
    <row r="1011" spans="1:8" x14ac:dyDescent="0.2">
      <c r="A1011" s="22"/>
      <c r="B1011" s="107"/>
      <c r="C1011" s="107"/>
      <c r="D1011" s="108"/>
      <c r="E1011" s="22"/>
      <c r="F1011" s="109"/>
      <c r="G1011" s="22"/>
      <c r="H1011" s="22"/>
    </row>
    <row r="1012" spans="1:8" x14ac:dyDescent="0.2">
      <c r="A1012" s="22"/>
      <c r="B1012" s="107"/>
      <c r="C1012" s="107"/>
      <c r="D1012" s="108"/>
      <c r="E1012" s="22"/>
      <c r="F1012" s="109"/>
      <c r="G1012" s="22"/>
      <c r="H1012" s="22"/>
    </row>
    <row r="1013" spans="1:8" x14ac:dyDescent="0.2">
      <c r="A1013" s="22"/>
      <c r="B1013" s="107"/>
      <c r="C1013" s="107"/>
      <c r="D1013" s="108"/>
      <c r="E1013" s="22"/>
      <c r="F1013" s="109"/>
      <c r="G1013" s="22"/>
      <c r="H1013" s="22"/>
    </row>
    <row r="1014" spans="1:8" x14ac:dyDescent="0.2">
      <c r="A1014" s="22"/>
      <c r="B1014" s="107"/>
      <c r="C1014" s="107"/>
      <c r="D1014" s="108"/>
      <c r="E1014" s="22"/>
      <c r="F1014" s="109"/>
      <c r="G1014" s="22"/>
      <c r="H1014" s="22"/>
    </row>
    <row r="1015" spans="1:8" x14ac:dyDescent="0.2">
      <c r="A1015" s="22"/>
      <c r="B1015" s="107"/>
      <c r="C1015" s="107"/>
      <c r="D1015" s="108"/>
      <c r="E1015" s="22"/>
      <c r="F1015" s="109"/>
      <c r="G1015" s="22"/>
      <c r="H1015" s="22"/>
    </row>
    <row r="1016" spans="1:8" x14ac:dyDescent="0.2">
      <c r="A1016" s="22"/>
      <c r="B1016" s="107"/>
      <c r="C1016" s="107"/>
      <c r="D1016" s="108"/>
      <c r="E1016" s="22"/>
      <c r="F1016" s="109"/>
      <c r="G1016" s="22"/>
      <c r="H1016" s="22"/>
    </row>
    <row r="1017" spans="1:8" x14ac:dyDescent="0.2">
      <c r="A1017" s="22"/>
      <c r="B1017" s="107"/>
      <c r="C1017" s="107"/>
      <c r="D1017" s="108"/>
      <c r="E1017" s="22"/>
      <c r="F1017" s="109"/>
      <c r="G1017" s="22"/>
      <c r="H1017" s="22"/>
    </row>
    <row r="1018" spans="1:8" x14ac:dyDescent="0.2">
      <c r="A1018" s="22"/>
      <c r="B1018" s="107"/>
      <c r="C1018" s="107"/>
      <c r="D1018" s="108"/>
      <c r="E1018" s="22"/>
      <c r="F1018" s="109"/>
      <c r="G1018" s="22"/>
      <c r="H1018" s="22"/>
    </row>
    <row r="1019" spans="1:8" x14ac:dyDescent="0.2">
      <c r="A1019" s="22"/>
      <c r="B1019" s="107"/>
      <c r="C1019" s="107"/>
      <c r="D1019" s="108"/>
      <c r="E1019" s="22"/>
      <c r="F1019" s="109"/>
      <c r="G1019" s="22"/>
      <c r="H1019" s="22"/>
    </row>
    <row r="1020" spans="1:8" x14ac:dyDescent="0.2">
      <c r="A1020" s="22"/>
      <c r="B1020" s="107"/>
      <c r="C1020" s="107"/>
      <c r="D1020" s="108"/>
      <c r="E1020" s="22"/>
      <c r="F1020" s="109"/>
      <c r="G1020" s="22"/>
      <c r="H1020" s="22"/>
    </row>
    <row r="1021" spans="1:8" x14ac:dyDescent="0.2">
      <c r="A1021" s="22"/>
      <c r="B1021" s="107"/>
      <c r="C1021" s="107"/>
      <c r="D1021" s="108"/>
      <c r="E1021" s="22"/>
      <c r="F1021" s="109"/>
      <c r="G1021" s="22"/>
      <c r="H1021" s="22"/>
    </row>
    <row r="1022" spans="1:8" x14ac:dyDescent="0.2">
      <c r="A1022" s="22"/>
      <c r="B1022" s="107"/>
      <c r="C1022" s="107"/>
      <c r="D1022" s="108"/>
      <c r="E1022" s="22"/>
      <c r="F1022" s="109"/>
      <c r="G1022" s="22"/>
      <c r="H1022" s="22"/>
    </row>
    <row r="1023" spans="1:8" x14ac:dyDescent="0.2">
      <c r="A1023" s="22"/>
      <c r="B1023" s="107"/>
      <c r="C1023" s="107"/>
      <c r="D1023" s="108"/>
      <c r="E1023" s="22"/>
      <c r="F1023" s="109"/>
      <c r="G1023" s="22"/>
      <c r="H1023" s="22"/>
    </row>
    <row r="1024" spans="1:8" x14ac:dyDescent="0.2">
      <c r="A1024" s="22"/>
      <c r="B1024" s="107"/>
      <c r="C1024" s="107"/>
      <c r="D1024" s="108"/>
      <c r="E1024" s="22"/>
      <c r="F1024" s="109"/>
      <c r="G1024" s="22"/>
      <c r="H1024" s="22"/>
    </row>
    <row r="1025" spans="1:8" x14ac:dyDescent="0.2">
      <c r="A1025" s="22"/>
      <c r="B1025" s="107"/>
      <c r="C1025" s="107"/>
      <c r="D1025" s="108"/>
      <c r="E1025" s="22"/>
      <c r="F1025" s="109"/>
      <c r="G1025" s="22"/>
      <c r="H1025" s="22"/>
    </row>
    <row r="1026" spans="1:8" x14ac:dyDescent="0.2">
      <c r="A1026" s="22"/>
      <c r="B1026" s="107"/>
      <c r="C1026" s="107"/>
      <c r="D1026" s="108"/>
      <c r="E1026" s="22"/>
      <c r="F1026" s="109"/>
      <c r="G1026" s="22"/>
      <c r="H1026" s="22"/>
    </row>
    <row r="1027" spans="1:8" x14ac:dyDescent="0.2">
      <c r="A1027" s="22"/>
      <c r="B1027" s="107"/>
      <c r="C1027" s="107"/>
      <c r="D1027" s="108"/>
      <c r="E1027" s="22"/>
      <c r="F1027" s="109"/>
      <c r="G1027" s="22"/>
      <c r="H1027" s="22"/>
    </row>
    <row r="1028" spans="1:8" x14ac:dyDescent="0.2">
      <c r="A1028" s="22"/>
      <c r="B1028" s="107"/>
      <c r="C1028" s="107"/>
      <c r="D1028" s="108"/>
      <c r="E1028" s="22"/>
      <c r="F1028" s="109"/>
      <c r="G1028" s="22"/>
      <c r="H1028" s="22"/>
    </row>
    <row r="1029" spans="1:8" x14ac:dyDescent="0.2">
      <c r="A1029" s="22"/>
      <c r="B1029" s="107"/>
      <c r="C1029" s="107"/>
      <c r="D1029" s="108"/>
      <c r="E1029" s="22"/>
      <c r="F1029" s="109"/>
      <c r="G1029" s="22"/>
      <c r="H1029" s="22"/>
    </row>
    <row r="1030" spans="1:8" x14ac:dyDescent="0.2">
      <c r="A1030" s="22"/>
      <c r="B1030" s="107"/>
      <c r="C1030" s="107"/>
      <c r="D1030" s="108"/>
      <c r="E1030" s="22"/>
      <c r="F1030" s="109"/>
      <c r="G1030" s="22"/>
      <c r="H1030" s="22"/>
    </row>
    <row r="1031" spans="1:8" x14ac:dyDescent="0.2">
      <c r="A1031" s="22"/>
      <c r="B1031" s="107"/>
      <c r="C1031" s="107"/>
      <c r="D1031" s="108"/>
      <c r="E1031" s="22"/>
      <c r="F1031" s="109"/>
      <c r="G1031" s="22"/>
      <c r="H1031" s="22"/>
    </row>
    <row r="1032" spans="1:8" x14ac:dyDescent="0.2">
      <c r="A1032" s="22"/>
      <c r="B1032" s="107"/>
      <c r="C1032" s="107"/>
      <c r="D1032" s="108"/>
      <c r="E1032" s="22"/>
      <c r="F1032" s="109"/>
      <c r="G1032" s="22"/>
      <c r="H1032" s="22"/>
    </row>
    <row r="1033" spans="1:8" x14ac:dyDescent="0.2">
      <c r="A1033" s="22"/>
      <c r="B1033" s="107"/>
      <c r="C1033" s="107"/>
      <c r="D1033" s="108"/>
      <c r="E1033" s="22"/>
      <c r="F1033" s="109"/>
      <c r="G1033" s="22"/>
      <c r="H1033" s="22"/>
    </row>
    <row r="1034" spans="1:8" x14ac:dyDescent="0.2">
      <c r="A1034" s="22"/>
      <c r="B1034" s="107"/>
      <c r="C1034" s="107"/>
      <c r="D1034" s="108"/>
      <c r="E1034" s="22"/>
      <c r="F1034" s="109"/>
      <c r="G1034" s="22"/>
      <c r="H1034" s="22"/>
    </row>
    <row r="1035" spans="1:8" x14ac:dyDescent="0.2">
      <c r="A1035" s="22"/>
      <c r="B1035" s="107"/>
      <c r="C1035" s="107"/>
      <c r="D1035" s="108"/>
      <c r="E1035" s="22"/>
      <c r="F1035" s="109"/>
      <c r="G1035" s="22"/>
      <c r="H1035" s="22"/>
    </row>
    <row r="1036" spans="1:8" x14ac:dyDescent="0.2">
      <c r="A1036" s="22"/>
      <c r="B1036" s="107"/>
      <c r="C1036" s="107"/>
      <c r="D1036" s="108"/>
      <c r="E1036" s="22"/>
      <c r="F1036" s="109"/>
      <c r="G1036" s="22"/>
      <c r="H1036" s="22"/>
    </row>
    <row r="1037" spans="1:8" x14ac:dyDescent="0.2">
      <c r="A1037" s="22"/>
      <c r="B1037" s="107"/>
      <c r="C1037" s="107"/>
      <c r="D1037" s="108"/>
      <c r="E1037" s="22"/>
      <c r="F1037" s="109"/>
      <c r="G1037" s="22"/>
      <c r="H1037" s="22"/>
    </row>
    <row r="1038" spans="1:8" x14ac:dyDescent="0.2">
      <c r="A1038" s="22"/>
      <c r="B1038" s="107"/>
      <c r="C1038" s="107"/>
      <c r="D1038" s="108"/>
      <c r="E1038" s="22"/>
      <c r="F1038" s="109"/>
      <c r="G1038" s="22"/>
      <c r="H1038" s="22"/>
    </row>
    <row r="1039" spans="1:8" x14ac:dyDescent="0.2">
      <c r="A1039" s="22"/>
      <c r="B1039" s="107"/>
      <c r="C1039" s="107"/>
      <c r="D1039" s="108"/>
      <c r="E1039" s="22"/>
      <c r="F1039" s="109"/>
      <c r="G1039" s="22"/>
      <c r="H1039" s="22"/>
    </row>
    <row r="1040" spans="1:8" x14ac:dyDescent="0.2">
      <c r="A1040" s="22"/>
      <c r="B1040" s="107"/>
      <c r="C1040" s="107"/>
      <c r="D1040" s="108"/>
      <c r="E1040" s="22"/>
      <c r="F1040" s="109"/>
      <c r="G1040" s="22"/>
      <c r="H1040" s="22"/>
    </row>
    <row r="1041" spans="1:8" x14ac:dyDescent="0.2">
      <c r="A1041" s="22"/>
      <c r="B1041" s="107"/>
      <c r="C1041" s="107"/>
      <c r="D1041" s="108"/>
      <c r="E1041" s="22"/>
      <c r="F1041" s="109"/>
      <c r="G1041" s="22"/>
      <c r="H1041" s="22"/>
    </row>
    <row r="1042" spans="1:8" x14ac:dyDescent="0.2">
      <c r="A1042" s="22"/>
      <c r="B1042" s="107"/>
      <c r="C1042" s="107"/>
      <c r="D1042" s="108"/>
      <c r="E1042" s="22"/>
      <c r="F1042" s="109"/>
      <c r="G1042" s="22"/>
      <c r="H1042" s="22"/>
    </row>
    <row r="1043" spans="1:8" x14ac:dyDescent="0.2">
      <c r="A1043" s="22"/>
      <c r="B1043" s="107"/>
      <c r="C1043" s="107"/>
      <c r="D1043" s="108"/>
      <c r="E1043" s="22"/>
      <c r="F1043" s="109"/>
      <c r="G1043" s="22"/>
      <c r="H1043" s="22"/>
    </row>
    <row r="1044" spans="1:8" x14ac:dyDescent="0.2">
      <c r="A1044" s="22"/>
      <c r="B1044" s="107"/>
      <c r="C1044" s="107"/>
      <c r="D1044" s="108"/>
      <c r="E1044" s="22"/>
      <c r="F1044" s="109"/>
      <c r="G1044" s="22"/>
      <c r="H1044" s="22"/>
    </row>
    <row r="1045" spans="1:8" x14ac:dyDescent="0.2">
      <c r="A1045" s="22"/>
      <c r="B1045" s="107"/>
      <c r="C1045" s="107"/>
      <c r="D1045" s="108"/>
      <c r="E1045" s="22"/>
      <c r="F1045" s="109"/>
      <c r="G1045" s="22"/>
      <c r="H1045" s="22"/>
    </row>
    <row r="1046" spans="1:8" x14ac:dyDescent="0.2">
      <c r="A1046" s="22"/>
      <c r="B1046" s="107"/>
      <c r="C1046" s="107"/>
      <c r="D1046" s="108"/>
      <c r="E1046" s="22"/>
      <c r="F1046" s="109"/>
      <c r="G1046" s="22"/>
      <c r="H1046" s="22"/>
    </row>
    <row r="1047" spans="1:8" x14ac:dyDescent="0.2">
      <c r="A1047" s="22"/>
      <c r="B1047" s="107"/>
      <c r="C1047" s="107"/>
      <c r="D1047" s="108"/>
      <c r="E1047" s="22"/>
      <c r="F1047" s="109"/>
      <c r="G1047" s="22"/>
      <c r="H1047" s="22"/>
    </row>
    <row r="1048" spans="1:8" x14ac:dyDescent="0.2">
      <c r="A1048" s="22"/>
      <c r="B1048" s="107"/>
      <c r="C1048" s="107"/>
      <c r="D1048" s="108"/>
      <c r="E1048" s="22"/>
      <c r="F1048" s="109"/>
      <c r="G1048" s="22"/>
      <c r="H1048" s="22"/>
    </row>
    <row r="1049" spans="1:8" x14ac:dyDescent="0.2">
      <c r="A1049" s="22"/>
      <c r="B1049" s="107"/>
      <c r="C1049" s="107"/>
      <c r="D1049" s="108"/>
      <c r="E1049" s="22"/>
      <c r="F1049" s="109"/>
      <c r="G1049" s="22"/>
      <c r="H1049" s="22"/>
    </row>
    <row r="1050" spans="1:8" x14ac:dyDescent="0.2">
      <c r="A1050" s="22"/>
      <c r="B1050" s="107"/>
      <c r="C1050" s="107"/>
      <c r="D1050" s="108"/>
      <c r="E1050" s="22"/>
      <c r="F1050" s="109"/>
      <c r="G1050" s="22"/>
      <c r="H1050" s="22"/>
    </row>
    <row r="1051" spans="1:8" x14ac:dyDescent="0.2">
      <c r="A1051" s="22"/>
      <c r="B1051" s="107"/>
      <c r="C1051" s="107"/>
      <c r="D1051" s="108"/>
      <c r="E1051" s="22"/>
      <c r="F1051" s="109"/>
      <c r="G1051" s="22"/>
      <c r="H1051" s="22"/>
    </row>
    <row r="1052" spans="1:8" x14ac:dyDescent="0.2">
      <c r="A1052" s="22"/>
      <c r="B1052" s="107"/>
      <c r="C1052" s="107"/>
      <c r="D1052" s="108"/>
      <c r="E1052" s="22"/>
      <c r="F1052" s="109"/>
      <c r="G1052" s="22"/>
      <c r="H1052" s="22"/>
    </row>
    <row r="1053" spans="1:8" x14ac:dyDescent="0.2">
      <c r="A1053" s="22"/>
      <c r="B1053" s="107"/>
      <c r="C1053" s="107"/>
      <c r="D1053" s="108"/>
      <c r="E1053" s="22"/>
      <c r="F1053" s="109"/>
      <c r="G1053" s="22"/>
      <c r="H1053" s="22"/>
    </row>
    <row r="1054" spans="1:8" x14ac:dyDescent="0.2">
      <c r="A1054" s="22"/>
      <c r="B1054" s="107"/>
      <c r="C1054" s="107"/>
      <c r="D1054" s="108"/>
      <c r="E1054" s="22"/>
      <c r="F1054" s="109"/>
      <c r="G1054" s="22"/>
      <c r="H1054" s="22"/>
    </row>
    <row r="1055" spans="1:8" x14ac:dyDescent="0.2">
      <c r="A1055" s="22"/>
      <c r="B1055" s="107"/>
      <c r="C1055" s="107"/>
      <c r="D1055" s="108"/>
      <c r="E1055" s="22"/>
      <c r="F1055" s="109"/>
      <c r="G1055" s="22"/>
      <c r="H1055" s="22"/>
    </row>
    <row r="1056" spans="1:8" x14ac:dyDescent="0.2">
      <c r="A1056" s="22"/>
      <c r="B1056" s="107"/>
      <c r="C1056" s="107"/>
      <c r="D1056" s="108"/>
      <c r="E1056" s="22"/>
      <c r="F1056" s="109"/>
      <c r="G1056" s="22"/>
      <c r="H1056" s="22"/>
    </row>
    <row r="1057" spans="1:8" x14ac:dyDescent="0.2">
      <c r="A1057" s="22"/>
      <c r="B1057" s="107"/>
      <c r="C1057" s="107"/>
      <c r="D1057" s="108"/>
      <c r="E1057" s="22"/>
      <c r="F1057" s="109"/>
      <c r="G1057" s="22"/>
      <c r="H1057" s="22"/>
    </row>
    <row r="1058" spans="1:8" x14ac:dyDescent="0.2">
      <c r="A1058" s="22"/>
      <c r="B1058" s="107"/>
      <c r="C1058" s="107"/>
      <c r="D1058" s="108"/>
      <c r="E1058" s="22"/>
      <c r="F1058" s="109"/>
      <c r="G1058" s="22"/>
      <c r="H1058" s="22"/>
    </row>
    <row r="1059" spans="1:8" x14ac:dyDescent="0.2">
      <c r="A1059" s="22"/>
      <c r="B1059" s="107"/>
      <c r="C1059" s="107"/>
      <c r="D1059" s="108"/>
      <c r="E1059" s="22"/>
      <c r="F1059" s="109"/>
      <c r="G1059" s="22"/>
      <c r="H1059" s="22"/>
    </row>
    <row r="1060" spans="1:8" x14ac:dyDescent="0.2">
      <c r="A1060" s="22"/>
      <c r="B1060" s="107"/>
      <c r="C1060" s="107"/>
      <c r="D1060" s="108"/>
      <c r="E1060" s="22"/>
      <c r="F1060" s="109"/>
      <c r="G1060" s="22"/>
      <c r="H1060" s="22"/>
    </row>
    <row r="1061" spans="1:8" x14ac:dyDescent="0.2">
      <c r="A1061" s="22"/>
      <c r="B1061" s="107"/>
      <c r="C1061" s="107"/>
      <c r="D1061" s="108"/>
      <c r="E1061" s="22"/>
      <c r="F1061" s="109"/>
      <c r="G1061" s="22"/>
      <c r="H1061" s="22"/>
    </row>
    <row r="1062" spans="1:8" x14ac:dyDescent="0.2">
      <c r="A1062" s="22"/>
      <c r="B1062" s="107"/>
      <c r="C1062" s="107"/>
      <c r="D1062" s="108"/>
      <c r="E1062" s="22"/>
      <c r="F1062" s="109"/>
      <c r="G1062" s="22"/>
      <c r="H1062" s="22"/>
    </row>
    <row r="1063" spans="1:8" x14ac:dyDescent="0.2">
      <c r="A1063" s="22"/>
      <c r="B1063" s="107"/>
      <c r="C1063" s="107"/>
      <c r="D1063" s="108"/>
      <c r="E1063" s="22"/>
      <c r="F1063" s="109"/>
      <c r="G1063" s="22"/>
      <c r="H1063" s="22"/>
    </row>
    <row r="1064" spans="1:8" x14ac:dyDescent="0.2">
      <c r="A1064" s="22"/>
      <c r="B1064" s="107"/>
      <c r="C1064" s="107"/>
      <c r="D1064" s="108"/>
      <c r="E1064" s="22"/>
      <c r="F1064" s="109"/>
      <c r="G1064" s="22"/>
      <c r="H1064" s="22"/>
    </row>
    <row r="1065" spans="1:8" x14ac:dyDescent="0.2">
      <c r="A1065" s="22"/>
      <c r="B1065" s="107"/>
      <c r="C1065" s="107"/>
      <c r="D1065" s="108"/>
      <c r="E1065" s="22"/>
      <c r="F1065" s="109"/>
      <c r="G1065" s="22"/>
      <c r="H1065" s="22"/>
    </row>
    <row r="1066" spans="1:8" x14ac:dyDescent="0.2">
      <c r="A1066" s="22"/>
      <c r="B1066" s="107"/>
      <c r="C1066" s="107"/>
      <c r="D1066" s="108"/>
      <c r="E1066" s="22"/>
      <c r="F1066" s="109"/>
      <c r="G1066" s="22"/>
      <c r="H1066" s="22"/>
    </row>
    <row r="1067" spans="1:8" x14ac:dyDescent="0.2">
      <c r="A1067" s="22"/>
      <c r="B1067" s="107"/>
      <c r="C1067" s="107"/>
      <c r="D1067" s="108"/>
      <c r="E1067" s="22"/>
      <c r="F1067" s="109"/>
      <c r="G1067" s="22"/>
      <c r="H1067" s="22"/>
    </row>
    <row r="1068" spans="1:8" x14ac:dyDescent="0.2">
      <c r="A1068" s="22"/>
      <c r="B1068" s="107"/>
      <c r="C1068" s="107"/>
      <c r="D1068" s="108"/>
      <c r="E1068" s="22"/>
      <c r="F1068" s="109"/>
      <c r="G1068" s="22"/>
      <c r="H1068" s="22"/>
    </row>
    <row r="1069" spans="1:8" x14ac:dyDescent="0.2">
      <c r="A1069" s="22"/>
      <c r="B1069" s="107"/>
      <c r="C1069" s="107"/>
      <c r="D1069" s="108"/>
      <c r="E1069" s="22"/>
      <c r="F1069" s="109"/>
      <c r="G1069" s="22"/>
      <c r="H1069" s="22"/>
    </row>
    <row r="1070" spans="1:8" x14ac:dyDescent="0.2">
      <c r="A1070" s="22"/>
      <c r="B1070" s="107"/>
      <c r="C1070" s="107"/>
      <c r="D1070" s="108"/>
      <c r="E1070" s="22"/>
      <c r="F1070" s="109"/>
      <c r="G1070" s="22"/>
      <c r="H1070" s="22"/>
    </row>
    <row r="1071" spans="1:8" x14ac:dyDescent="0.2">
      <c r="A1071" s="22"/>
      <c r="B1071" s="107"/>
      <c r="C1071" s="107"/>
      <c r="D1071" s="108"/>
      <c r="E1071" s="22"/>
      <c r="F1071" s="109"/>
      <c r="G1071" s="22"/>
      <c r="H1071" s="22"/>
    </row>
    <row r="1072" spans="1:8" x14ac:dyDescent="0.2">
      <c r="A1072" s="22"/>
      <c r="B1072" s="107"/>
      <c r="C1072" s="107"/>
      <c r="D1072" s="108"/>
      <c r="E1072" s="22"/>
      <c r="F1072" s="109"/>
      <c r="G1072" s="22"/>
      <c r="H1072" s="22"/>
    </row>
    <row r="1073" spans="1:8" x14ac:dyDescent="0.2">
      <c r="A1073" s="22"/>
      <c r="B1073" s="107"/>
      <c r="C1073" s="107"/>
      <c r="D1073" s="108"/>
      <c r="E1073" s="22"/>
      <c r="F1073" s="109"/>
      <c r="G1073" s="22"/>
      <c r="H1073" s="22"/>
    </row>
    <row r="1074" spans="1:8" x14ac:dyDescent="0.2">
      <c r="A1074" s="22"/>
      <c r="B1074" s="107"/>
      <c r="C1074" s="107"/>
      <c r="D1074" s="108"/>
      <c r="E1074" s="22"/>
      <c r="F1074" s="109"/>
      <c r="G1074" s="22"/>
      <c r="H1074" s="22"/>
    </row>
    <row r="1075" spans="1:8" x14ac:dyDescent="0.2">
      <c r="A1075" s="22"/>
      <c r="B1075" s="107"/>
      <c r="C1075" s="107"/>
      <c r="D1075" s="108"/>
      <c r="E1075" s="22"/>
      <c r="F1075" s="109"/>
      <c r="G1075" s="22"/>
      <c r="H1075" s="22"/>
    </row>
    <row r="1076" spans="1:8" x14ac:dyDescent="0.2">
      <c r="A1076" s="22"/>
      <c r="B1076" s="107"/>
      <c r="C1076" s="107"/>
      <c r="D1076" s="108"/>
      <c r="E1076" s="22"/>
      <c r="F1076" s="109"/>
      <c r="G1076" s="22"/>
      <c r="H1076" s="22"/>
    </row>
    <row r="1077" spans="1:8" x14ac:dyDescent="0.2">
      <c r="A1077" s="22"/>
      <c r="B1077" s="107"/>
      <c r="C1077" s="107"/>
      <c r="D1077" s="108"/>
      <c r="E1077" s="22"/>
      <c r="F1077" s="109"/>
      <c r="G1077" s="22"/>
      <c r="H1077" s="22"/>
    </row>
    <row r="1078" spans="1:8" x14ac:dyDescent="0.2">
      <c r="A1078" s="22"/>
      <c r="B1078" s="107"/>
      <c r="C1078" s="107"/>
      <c r="D1078" s="108"/>
      <c r="E1078" s="22"/>
      <c r="F1078" s="109"/>
      <c r="G1078" s="22"/>
      <c r="H1078" s="22"/>
    </row>
    <row r="1079" spans="1:8" x14ac:dyDescent="0.2">
      <c r="A1079" s="22"/>
      <c r="B1079" s="107"/>
      <c r="C1079" s="107"/>
      <c r="D1079" s="108"/>
      <c r="E1079" s="22"/>
      <c r="F1079" s="109"/>
      <c r="G1079" s="22"/>
      <c r="H1079" s="22"/>
    </row>
    <row r="1080" spans="1:8" x14ac:dyDescent="0.2">
      <c r="A1080" s="22"/>
      <c r="B1080" s="107"/>
      <c r="C1080" s="107"/>
      <c r="D1080" s="108"/>
      <c r="E1080" s="22"/>
      <c r="F1080" s="109"/>
      <c r="G1080" s="22"/>
      <c r="H1080" s="22"/>
    </row>
    <row r="1081" spans="1:8" x14ac:dyDescent="0.2">
      <c r="A1081" s="22"/>
      <c r="B1081" s="107"/>
      <c r="C1081" s="107"/>
      <c r="D1081" s="108"/>
      <c r="E1081" s="22"/>
      <c r="F1081" s="109"/>
      <c r="G1081" s="22"/>
      <c r="H1081" s="22"/>
    </row>
    <row r="1082" spans="1:8" x14ac:dyDescent="0.2">
      <c r="A1082" s="22"/>
      <c r="B1082" s="107"/>
      <c r="C1082" s="107"/>
      <c r="D1082" s="108"/>
      <c r="E1082" s="22"/>
      <c r="F1082" s="109"/>
      <c r="G1082" s="22"/>
      <c r="H1082" s="22"/>
    </row>
    <row r="1083" spans="1:8" x14ac:dyDescent="0.2">
      <c r="A1083" s="22"/>
      <c r="B1083" s="107"/>
      <c r="C1083" s="107"/>
      <c r="D1083" s="108"/>
      <c r="E1083" s="22"/>
      <c r="F1083" s="109"/>
      <c r="G1083" s="22"/>
      <c r="H1083" s="22"/>
    </row>
    <row r="1084" spans="1:8" x14ac:dyDescent="0.2">
      <c r="A1084" s="22"/>
      <c r="B1084" s="107"/>
      <c r="C1084" s="107"/>
      <c r="D1084" s="108"/>
      <c r="E1084" s="22"/>
      <c r="F1084" s="109"/>
      <c r="G1084" s="22"/>
      <c r="H1084" s="22"/>
    </row>
    <row r="1085" spans="1:8" x14ac:dyDescent="0.2">
      <c r="A1085" s="22"/>
      <c r="B1085" s="107"/>
      <c r="C1085" s="107"/>
      <c r="D1085" s="108"/>
      <c r="E1085" s="22"/>
      <c r="F1085" s="109"/>
      <c r="G1085" s="22"/>
      <c r="H1085" s="22"/>
    </row>
    <row r="1086" spans="1:8" x14ac:dyDescent="0.2">
      <c r="A1086" s="22"/>
      <c r="B1086" s="107"/>
      <c r="C1086" s="107"/>
      <c r="D1086" s="108"/>
      <c r="E1086" s="22"/>
      <c r="F1086" s="109"/>
      <c r="G1086" s="22"/>
      <c r="H1086" s="22"/>
    </row>
    <row r="1087" spans="1:8" x14ac:dyDescent="0.2">
      <c r="A1087" s="22"/>
      <c r="B1087" s="107"/>
      <c r="C1087" s="107"/>
      <c r="D1087" s="108"/>
      <c r="E1087" s="22"/>
      <c r="F1087" s="109"/>
      <c r="G1087" s="22"/>
      <c r="H1087" s="22"/>
    </row>
    <row r="1088" spans="1:8" x14ac:dyDescent="0.2">
      <c r="A1088" s="22"/>
      <c r="B1088" s="107"/>
      <c r="C1088" s="107"/>
      <c r="D1088" s="108"/>
      <c r="E1088" s="22"/>
      <c r="F1088" s="109"/>
      <c r="G1088" s="22"/>
      <c r="H1088" s="22"/>
    </row>
    <row r="1089" spans="1:8" x14ac:dyDescent="0.2">
      <c r="A1089" s="22"/>
      <c r="B1089" s="107"/>
      <c r="C1089" s="107"/>
      <c r="D1089" s="108"/>
      <c r="E1089" s="22"/>
      <c r="F1089" s="109"/>
      <c r="G1089" s="22"/>
      <c r="H1089" s="22"/>
    </row>
    <row r="1090" spans="1:8" x14ac:dyDescent="0.2">
      <c r="A1090" s="22"/>
      <c r="B1090" s="107"/>
      <c r="C1090" s="107"/>
      <c r="D1090" s="108"/>
      <c r="E1090" s="22"/>
      <c r="F1090" s="109"/>
      <c r="G1090" s="22"/>
      <c r="H1090" s="22"/>
    </row>
    <row r="1091" spans="1:8" x14ac:dyDescent="0.2">
      <c r="A1091" s="22"/>
      <c r="B1091" s="107"/>
      <c r="C1091" s="107"/>
      <c r="D1091" s="108"/>
      <c r="E1091" s="22"/>
      <c r="F1091" s="109"/>
      <c r="G1091" s="22"/>
      <c r="H1091" s="22"/>
    </row>
    <row r="1092" spans="1:8" x14ac:dyDescent="0.2">
      <c r="A1092" s="22"/>
      <c r="B1092" s="107"/>
      <c r="C1092" s="107"/>
      <c r="D1092" s="108"/>
      <c r="E1092" s="22"/>
      <c r="F1092" s="109"/>
      <c r="G1092" s="22"/>
      <c r="H1092" s="22"/>
    </row>
    <row r="1093" spans="1:8" x14ac:dyDescent="0.2">
      <c r="A1093" s="22"/>
      <c r="B1093" s="107"/>
      <c r="C1093" s="107"/>
      <c r="D1093" s="108"/>
      <c r="E1093" s="22"/>
      <c r="F1093" s="109"/>
      <c r="G1093" s="22"/>
      <c r="H1093" s="22"/>
    </row>
    <row r="1094" spans="1:8" x14ac:dyDescent="0.2">
      <c r="A1094" s="22"/>
      <c r="B1094" s="107"/>
      <c r="C1094" s="107"/>
      <c r="D1094" s="108"/>
      <c r="E1094" s="22"/>
      <c r="F1094" s="109"/>
      <c r="G1094" s="22"/>
      <c r="H1094" s="22"/>
    </row>
    <row r="1095" spans="1:8" x14ac:dyDescent="0.2">
      <c r="A1095" s="22"/>
      <c r="B1095" s="107"/>
      <c r="C1095" s="107"/>
      <c r="D1095" s="108"/>
      <c r="E1095" s="22"/>
      <c r="F1095" s="109"/>
      <c r="G1095" s="22"/>
      <c r="H1095" s="22"/>
    </row>
    <row r="1096" spans="1:8" x14ac:dyDescent="0.2">
      <c r="A1096" s="22"/>
      <c r="B1096" s="107"/>
      <c r="C1096" s="107"/>
      <c r="D1096" s="108"/>
      <c r="E1096" s="22"/>
      <c r="F1096" s="109"/>
      <c r="G1096" s="22"/>
      <c r="H1096" s="22"/>
    </row>
    <row r="1097" spans="1:8" x14ac:dyDescent="0.2">
      <c r="A1097" s="22"/>
      <c r="B1097" s="107"/>
      <c r="C1097" s="107"/>
      <c r="D1097" s="108"/>
      <c r="E1097" s="22"/>
      <c r="F1097" s="109"/>
      <c r="G1097" s="22"/>
      <c r="H1097" s="22"/>
    </row>
    <row r="1098" spans="1:8" x14ac:dyDescent="0.2">
      <c r="A1098" s="22"/>
      <c r="B1098" s="107"/>
      <c r="C1098" s="107"/>
      <c r="D1098" s="108"/>
      <c r="E1098" s="22"/>
      <c r="F1098" s="109"/>
      <c r="G1098" s="22"/>
      <c r="H1098" s="22"/>
    </row>
    <row r="1099" spans="1:8" x14ac:dyDescent="0.2">
      <c r="A1099" s="22"/>
      <c r="B1099" s="107"/>
      <c r="C1099" s="107"/>
      <c r="D1099" s="108"/>
      <c r="E1099" s="22"/>
      <c r="F1099" s="109"/>
      <c r="G1099" s="22"/>
      <c r="H1099" s="22"/>
    </row>
    <row r="1100" spans="1:8" x14ac:dyDescent="0.2">
      <c r="A1100" s="22"/>
      <c r="B1100" s="107"/>
      <c r="C1100" s="107"/>
      <c r="D1100" s="108"/>
      <c r="E1100" s="22"/>
      <c r="F1100" s="109"/>
      <c r="G1100" s="22"/>
      <c r="H1100" s="22"/>
    </row>
    <row r="1101" spans="1:8" x14ac:dyDescent="0.2">
      <c r="A1101" s="22"/>
      <c r="B1101" s="107"/>
      <c r="C1101" s="107"/>
      <c r="D1101" s="108"/>
      <c r="E1101" s="22"/>
      <c r="F1101" s="109"/>
      <c r="G1101" s="22"/>
      <c r="H1101" s="22"/>
    </row>
    <row r="1102" spans="1:8" x14ac:dyDescent="0.2">
      <c r="A1102" s="22"/>
      <c r="B1102" s="107"/>
      <c r="C1102" s="107"/>
      <c r="D1102" s="108"/>
      <c r="E1102" s="22"/>
      <c r="F1102" s="109"/>
      <c r="G1102" s="22"/>
      <c r="H1102" s="22"/>
    </row>
    <row r="1103" spans="1:8" x14ac:dyDescent="0.2">
      <c r="A1103" s="22"/>
      <c r="B1103" s="107"/>
      <c r="C1103" s="107"/>
      <c r="D1103" s="108"/>
      <c r="E1103" s="22"/>
      <c r="F1103" s="109"/>
      <c r="G1103" s="22"/>
      <c r="H1103" s="22"/>
    </row>
    <row r="1104" spans="1:8" x14ac:dyDescent="0.2">
      <c r="A1104" s="22"/>
      <c r="B1104" s="107"/>
      <c r="C1104" s="107"/>
      <c r="D1104" s="108"/>
      <c r="E1104" s="22"/>
      <c r="F1104" s="109"/>
      <c r="G1104" s="22"/>
      <c r="H1104" s="22"/>
    </row>
    <row r="1105" spans="1:8" x14ac:dyDescent="0.2">
      <c r="A1105" s="22"/>
      <c r="B1105" s="107"/>
      <c r="C1105" s="107"/>
      <c r="D1105" s="108"/>
      <c r="E1105" s="22"/>
      <c r="F1105" s="109"/>
      <c r="G1105" s="22"/>
      <c r="H1105" s="22"/>
    </row>
    <row r="1106" spans="1:8" x14ac:dyDescent="0.2">
      <c r="A1106" s="22"/>
      <c r="B1106" s="107"/>
      <c r="C1106" s="107"/>
      <c r="D1106" s="108"/>
      <c r="E1106" s="22"/>
      <c r="F1106" s="109"/>
      <c r="G1106" s="22"/>
      <c r="H1106" s="22"/>
    </row>
    <row r="1107" spans="1:8" x14ac:dyDescent="0.2">
      <c r="A1107" s="22"/>
      <c r="B1107" s="107"/>
      <c r="C1107" s="107"/>
      <c r="D1107" s="108"/>
      <c r="E1107" s="22"/>
      <c r="F1107" s="109"/>
      <c r="G1107" s="22"/>
      <c r="H1107" s="22"/>
    </row>
    <row r="1108" spans="1:8" x14ac:dyDescent="0.2">
      <c r="A1108" s="22"/>
      <c r="B1108" s="107"/>
      <c r="C1108" s="107"/>
      <c r="D1108" s="108"/>
      <c r="E1108" s="22"/>
      <c r="F1108" s="109"/>
      <c r="G1108" s="22"/>
      <c r="H1108" s="22"/>
    </row>
    <row r="1109" spans="1:8" x14ac:dyDescent="0.2">
      <c r="A1109" s="22"/>
      <c r="B1109" s="107"/>
      <c r="C1109" s="107"/>
      <c r="D1109" s="108"/>
      <c r="E1109" s="22"/>
      <c r="F1109" s="109"/>
      <c r="G1109" s="22"/>
      <c r="H1109" s="22"/>
    </row>
    <row r="1110" spans="1:8" x14ac:dyDescent="0.2">
      <c r="A1110" s="22"/>
      <c r="B1110" s="107"/>
      <c r="C1110" s="107"/>
      <c r="D1110" s="108"/>
      <c r="E1110" s="22"/>
      <c r="F1110" s="109"/>
      <c r="G1110" s="22"/>
      <c r="H1110" s="22"/>
    </row>
    <row r="1111" spans="1:8" x14ac:dyDescent="0.2">
      <c r="A1111" s="22"/>
      <c r="B1111" s="107"/>
      <c r="C1111" s="107"/>
      <c r="D1111" s="108"/>
      <c r="E1111" s="22"/>
      <c r="F1111" s="109"/>
      <c r="G1111" s="22"/>
      <c r="H1111" s="22"/>
    </row>
    <row r="1112" spans="1:8" x14ac:dyDescent="0.2">
      <c r="A1112" s="22"/>
      <c r="B1112" s="107"/>
      <c r="C1112" s="107"/>
      <c r="D1112" s="108"/>
      <c r="E1112" s="22"/>
      <c r="F1112" s="109"/>
      <c r="G1112" s="22"/>
      <c r="H1112" s="22"/>
    </row>
    <row r="1113" spans="1:8" x14ac:dyDescent="0.2">
      <c r="A1113" s="22"/>
      <c r="B1113" s="107"/>
      <c r="C1113" s="107"/>
      <c r="D1113" s="108"/>
      <c r="E1113" s="22"/>
      <c r="F1113" s="109"/>
      <c r="G1113" s="22"/>
      <c r="H1113" s="22"/>
    </row>
    <row r="1114" spans="1:8" x14ac:dyDescent="0.2">
      <c r="A1114" s="22"/>
      <c r="B1114" s="107"/>
      <c r="C1114" s="107"/>
      <c r="D1114" s="108"/>
      <c r="E1114" s="22"/>
      <c r="F1114" s="109"/>
      <c r="G1114" s="22"/>
      <c r="H1114" s="22"/>
    </row>
    <row r="1115" spans="1:8" x14ac:dyDescent="0.2">
      <c r="A1115" s="22"/>
      <c r="B1115" s="107"/>
      <c r="C1115" s="107"/>
      <c r="D1115" s="108"/>
      <c r="E1115" s="22"/>
      <c r="F1115" s="109"/>
      <c r="G1115" s="22"/>
      <c r="H1115" s="22"/>
    </row>
    <row r="1116" spans="1:8" x14ac:dyDescent="0.2">
      <c r="A1116" s="22"/>
      <c r="B1116" s="107"/>
      <c r="C1116" s="107"/>
      <c r="D1116" s="108"/>
      <c r="E1116" s="22"/>
      <c r="F1116" s="109"/>
      <c r="G1116" s="22"/>
      <c r="H1116" s="22"/>
    </row>
    <row r="1117" spans="1:8" x14ac:dyDescent="0.2">
      <c r="A1117" s="22"/>
      <c r="B1117" s="107"/>
      <c r="C1117" s="107"/>
      <c r="D1117" s="108"/>
      <c r="E1117" s="22"/>
      <c r="F1117" s="109"/>
      <c r="G1117" s="22"/>
      <c r="H1117" s="22"/>
    </row>
    <row r="1118" spans="1:8" x14ac:dyDescent="0.2">
      <c r="A1118" s="22"/>
      <c r="B1118" s="107"/>
      <c r="C1118" s="107"/>
      <c r="D1118" s="108"/>
      <c r="E1118" s="22"/>
      <c r="F1118" s="109"/>
      <c r="G1118" s="22"/>
      <c r="H1118" s="22"/>
    </row>
    <row r="1119" spans="1:8" x14ac:dyDescent="0.2">
      <c r="A1119" s="22"/>
      <c r="B1119" s="107"/>
      <c r="C1119" s="107"/>
      <c r="D1119" s="108"/>
      <c r="E1119" s="22"/>
      <c r="F1119" s="109"/>
      <c r="G1119" s="22"/>
      <c r="H1119" s="22"/>
    </row>
    <row r="1120" spans="1:8" x14ac:dyDescent="0.2">
      <c r="A1120" s="22"/>
      <c r="B1120" s="107"/>
      <c r="C1120" s="107"/>
      <c r="D1120" s="108"/>
      <c r="E1120" s="22"/>
      <c r="F1120" s="109"/>
      <c r="G1120" s="22"/>
      <c r="H1120" s="22"/>
    </row>
    <row r="1121" spans="1:8" x14ac:dyDescent="0.2">
      <c r="A1121" s="22"/>
      <c r="B1121" s="107"/>
      <c r="C1121" s="107"/>
      <c r="D1121" s="108"/>
      <c r="E1121" s="22"/>
      <c r="F1121" s="109"/>
      <c r="G1121" s="22"/>
      <c r="H1121" s="22"/>
    </row>
    <row r="1122" spans="1:8" x14ac:dyDescent="0.2">
      <c r="A1122" s="22"/>
      <c r="B1122" s="107"/>
      <c r="C1122" s="107"/>
      <c r="D1122" s="108"/>
      <c r="E1122" s="22"/>
      <c r="F1122" s="109"/>
      <c r="G1122" s="22"/>
      <c r="H1122" s="22"/>
    </row>
    <row r="1123" spans="1:8" x14ac:dyDescent="0.2">
      <c r="A1123" s="22"/>
      <c r="B1123" s="107"/>
      <c r="C1123" s="107"/>
      <c r="D1123" s="108"/>
      <c r="E1123" s="22"/>
      <c r="F1123" s="109"/>
      <c r="G1123" s="22"/>
      <c r="H1123" s="22"/>
    </row>
    <row r="1124" spans="1:8" x14ac:dyDescent="0.2">
      <c r="A1124" s="22"/>
      <c r="B1124" s="107"/>
      <c r="C1124" s="107"/>
      <c r="D1124" s="108"/>
      <c r="E1124" s="22"/>
      <c r="F1124" s="109"/>
      <c r="G1124" s="22"/>
      <c r="H1124" s="22"/>
    </row>
    <row r="1125" spans="1:8" x14ac:dyDescent="0.2">
      <c r="A1125" s="22"/>
      <c r="B1125" s="107"/>
      <c r="C1125" s="107"/>
      <c r="D1125" s="108"/>
      <c r="E1125" s="22"/>
      <c r="F1125" s="109"/>
      <c r="G1125" s="22"/>
      <c r="H1125" s="22"/>
    </row>
    <row r="1126" spans="1:8" x14ac:dyDescent="0.2">
      <c r="A1126" s="22"/>
      <c r="B1126" s="107"/>
      <c r="C1126" s="107"/>
      <c r="D1126" s="108"/>
      <c r="E1126" s="22"/>
      <c r="F1126" s="109"/>
      <c r="G1126" s="22"/>
      <c r="H1126" s="22"/>
    </row>
    <row r="1127" spans="1:8" x14ac:dyDescent="0.2">
      <c r="A1127" s="22"/>
      <c r="B1127" s="107"/>
      <c r="C1127" s="107"/>
      <c r="D1127" s="108"/>
      <c r="E1127" s="22"/>
      <c r="F1127" s="109"/>
      <c r="G1127" s="22"/>
      <c r="H1127" s="22"/>
    </row>
    <row r="1128" spans="1:8" x14ac:dyDescent="0.2">
      <c r="A1128" s="22"/>
      <c r="B1128" s="107"/>
      <c r="C1128" s="107"/>
      <c r="D1128" s="108"/>
      <c r="E1128" s="22"/>
      <c r="F1128" s="109"/>
      <c r="G1128" s="22"/>
      <c r="H1128" s="22"/>
    </row>
    <row r="1129" spans="1:8" x14ac:dyDescent="0.2">
      <c r="A1129" s="22"/>
      <c r="B1129" s="107"/>
      <c r="C1129" s="107"/>
      <c r="D1129" s="108"/>
      <c r="E1129" s="22"/>
      <c r="F1129" s="109"/>
      <c r="G1129" s="22"/>
      <c r="H1129" s="22"/>
    </row>
    <row r="1130" spans="1:8" x14ac:dyDescent="0.2">
      <c r="A1130" s="22"/>
      <c r="B1130" s="107"/>
      <c r="C1130" s="107"/>
      <c r="D1130" s="108"/>
      <c r="E1130" s="22"/>
      <c r="F1130" s="109"/>
      <c r="G1130" s="22"/>
      <c r="H1130" s="22"/>
    </row>
    <row r="1131" spans="1:8" x14ac:dyDescent="0.2">
      <c r="A1131" s="22"/>
      <c r="B1131" s="107"/>
      <c r="C1131" s="107"/>
      <c r="D1131" s="108"/>
      <c r="E1131" s="22"/>
      <c r="F1131" s="109"/>
      <c r="G1131" s="22"/>
      <c r="H1131" s="22"/>
    </row>
    <row r="1132" spans="1:8" x14ac:dyDescent="0.2">
      <c r="A1132" s="22"/>
      <c r="B1132" s="107"/>
      <c r="C1132" s="107"/>
      <c r="D1132" s="108"/>
      <c r="E1132" s="22"/>
      <c r="F1132" s="109"/>
      <c r="G1132" s="22"/>
      <c r="H1132" s="22"/>
    </row>
    <row r="1133" spans="1:8" x14ac:dyDescent="0.2">
      <c r="A1133" s="22"/>
      <c r="B1133" s="107"/>
      <c r="C1133" s="107"/>
      <c r="D1133" s="108"/>
      <c r="E1133" s="22"/>
      <c r="F1133" s="109"/>
      <c r="G1133" s="22"/>
      <c r="H1133" s="22"/>
    </row>
    <row r="1134" spans="1:8" x14ac:dyDescent="0.2">
      <c r="A1134" s="22"/>
      <c r="B1134" s="107"/>
      <c r="C1134" s="107"/>
      <c r="D1134" s="108"/>
      <c r="E1134" s="22"/>
      <c r="F1134" s="109"/>
      <c r="G1134" s="22"/>
      <c r="H1134" s="22"/>
    </row>
    <row r="1135" spans="1:8" x14ac:dyDescent="0.2">
      <c r="A1135" s="22"/>
      <c r="B1135" s="107"/>
      <c r="C1135" s="107"/>
      <c r="D1135" s="108"/>
      <c r="E1135" s="22"/>
      <c r="F1135" s="109"/>
      <c r="G1135" s="22"/>
      <c r="H1135" s="22"/>
    </row>
    <row r="1136" spans="1:8" x14ac:dyDescent="0.2">
      <c r="A1136" s="22"/>
      <c r="B1136" s="107"/>
      <c r="C1136" s="107"/>
      <c r="D1136" s="108"/>
      <c r="E1136" s="22"/>
      <c r="F1136" s="109"/>
      <c r="G1136" s="22"/>
      <c r="H1136" s="22"/>
    </row>
    <row r="1137" spans="1:8" x14ac:dyDescent="0.2">
      <c r="A1137" s="22"/>
      <c r="B1137" s="107"/>
      <c r="C1137" s="107"/>
      <c r="D1137" s="108"/>
      <c r="E1137" s="22"/>
      <c r="F1137" s="109"/>
      <c r="G1137" s="22"/>
      <c r="H1137" s="22"/>
    </row>
    <row r="1138" spans="1:8" x14ac:dyDescent="0.2">
      <c r="A1138" s="22"/>
      <c r="B1138" s="107"/>
      <c r="C1138" s="107"/>
      <c r="D1138" s="108"/>
      <c r="E1138" s="22"/>
      <c r="F1138" s="109"/>
      <c r="G1138" s="22"/>
      <c r="H1138" s="22"/>
    </row>
    <row r="1139" spans="1:8" x14ac:dyDescent="0.2">
      <c r="A1139" s="22"/>
      <c r="B1139" s="107"/>
      <c r="C1139" s="107"/>
      <c r="D1139" s="108"/>
      <c r="E1139" s="22"/>
      <c r="F1139" s="109"/>
      <c r="G1139" s="22"/>
      <c r="H1139" s="22"/>
    </row>
    <row r="1140" spans="1:8" x14ac:dyDescent="0.2">
      <c r="A1140" s="22"/>
      <c r="B1140" s="107"/>
      <c r="C1140" s="107"/>
      <c r="D1140" s="108"/>
      <c r="E1140" s="22"/>
      <c r="F1140" s="109"/>
      <c r="G1140" s="22"/>
      <c r="H1140" s="22"/>
    </row>
    <row r="1141" spans="1:8" x14ac:dyDescent="0.2">
      <c r="A1141" s="22"/>
      <c r="B1141" s="107"/>
      <c r="C1141" s="107"/>
      <c r="D1141" s="108"/>
      <c r="E1141" s="22"/>
      <c r="F1141" s="109"/>
      <c r="G1141" s="22"/>
      <c r="H1141" s="22"/>
    </row>
    <row r="1142" spans="1:8" x14ac:dyDescent="0.2">
      <c r="A1142" s="22"/>
      <c r="B1142" s="107"/>
      <c r="C1142" s="107"/>
      <c r="D1142" s="108"/>
      <c r="E1142" s="22"/>
      <c r="F1142" s="109"/>
      <c r="G1142" s="22"/>
      <c r="H1142" s="22"/>
    </row>
    <row r="1143" spans="1:8" x14ac:dyDescent="0.2">
      <c r="A1143" s="22"/>
      <c r="B1143" s="107"/>
      <c r="C1143" s="107"/>
      <c r="D1143" s="108"/>
      <c r="E1143" s="22"/>
      <c r="F1143" s="109"/>
      <c r="G1143" s="22"/>
      <c r="H1143" s="22"/>
    </row>
    <row r="1144" spans="1:8" x14ac:dyDescent="0.2">
      <c r="A1144" s="22"/>
      <c r="B1144" s="107"/>
      <c r="C1144" s="107"/>
      <c r="D1144" s="108"/>
      <c r="E1144" s="22"/>
      <c r="F1144" s="109"/>
      <c r="G1144" s="22"/>
      <c r="H1144" s="22"/>
    </row>
    <row r="1145" spans="1:8" x14ac:dyDescent="0.2">
      <c r="A1145" s="22"/>
      <c r="B1145" s="107"/>
      <c r="C1145" s="107"/>
      <c r="D1145" s="108"/>
      <c r="E1145" s="22"/>
      <c r="F1145" s="109"/>
      <c r="G1145" s="22"/>
      <c r="H1145" s="22"/>
    </row>
    <row r="1146" spans="1:8" x14ac:dyDescent="0.2">
      <c r="A1146" s="22"/>
      <c r="B1146" s="107"/>
      <c r="C1146" s="107"/>
      <c r="D1146" s="108"/>
      <c r="E1146" s="22"/>
      <c r="F1146" s="109"/>
      <c r="G1146" s="22"/>
      <c r="H1146" s="22"/>
    </row>
    <row r="1147" spans="1:8" x14ac:dyDescent="0.2">
      <c r="A1147" s="22"/>
      <c r="B1147" s="107"/>
      <c r="C1147" s="107"/>
      <c r="D1147" s="108"/>
      <c r="E1147" s="22"/>
      <c r="F1147" s="109"/>
      <c r="G1147" s="22"/>
      <c r="H1147" s="22"/>
    </row>
    <row r="1148" spans="1:8" x14ac:dyDescent="0.2">
      <c r="A1148" s="22"/>
      <c r="B1148" s="107"/>
      <c r="C1148" s="107"/>
      <c r="D1148" s="108"/>
      <c r="E1148" s="22"/>
      <c r="F1148" s="109"/>
      <c r="G1148" s="22"/>
      <c r="H1148" s="22"/>
    </row>
    <row r="1149" spans="1:8" x14ac:dyDescent="0.2">
      <c r="A1149" s="22"/>
      <c r="B1149" s="107"/>
      <c r="C1149" s="107"/>
      <c r="D1149" s="108"/>
      <c r="E1149" s="22"/>
      <c r="F1149" s="109"/>
      <c r="G1149" s="22"/>
      <c r="H1149" s="22"/>
    </row>
    <row r="1150" spans="1:8" x14ac:dyDescent="0.2">
      <c r="A1150" s="22"/>
      <c r="B1150" s="107"/>
      <c r="C1150" s="107"/>
      <c r="D1150" s="108"/>
      <c r="E1150" s="22"/>
      <c r="F1150" s="109"/>
      <c r="G1150" s="22"/>
      <c r="H1150" s="22"/>
    </row>
    <row r="1151" spans="1:8" x14ac:dyDescent="0.2">
      <c r="A1151" s="22"/>
      <c r="B1151" s="107"/>
      <c r="C1151" s="107"/>
      <c r="D1151" s="108"/>
      <c r="E1151" s="22"/>
      <c r="F1151" s="109"/>
      <c r="G1151" s="22"/>
      <c r="H1151" s="22"/>
    </row>
    <row r="1152" spans="1:8" x14ac:dyDescent="0.2">
      <c r="A1152" s="22"/>
      <c r="B1152" s="107"/>
      <c r="C1152" s="107"/>
      <c r="D1152" s="108"/>
      <c r="E1152" s="22"/>
      <c r="F1152" s="109"/>
      <c r="G1152" s="22"/>
      <c r="H1152" s="22"/>
    </row>
    <row r="1153" spans="1:8" x14ac:dyDescent="0.2">
      <c r="A1153" s="22"/>
      <c r="B1153" s="107"/>
      <c r="C1153" s="107"/>
      <c r="D1153" s="108"/>
      <c r="E1153" s="22"/>
      <c r="F1153" s="109"/>
      <c r="G1153" s="22"/>
      <c r="H1153" s="22"/>
    </row>
    <row r="1154" spans="1:8" x14ac:dyDescent="0.2">
      <c r="A1154" s="22"/>
      <c r="B1154" s="107"/>
      <c r="C1154" s="107"/>
      <c r="D1154" s="108"/>
      <c r="E1154" s="22"/>
      <c r="F1154" s="109"/>
      <c r="G1154" s="22"/>
      <c r="H1154" s="22"/>
    </row>
    <row r="1155" spans="1:8" x14ac:dyDescent="0.2">
      <c r="A1155" s="22"/>
      <c r="B1155" s="107"/>
      <c r="C1155" s="107"/>
      <c r="D1155" s="108"/>
      <c r="E1155" s="22"/>
      <c r="F1155" s="109"/>
      <c r="G1155" s="22"/>
      <c r="H1155" s="22"/>
    </row>
    <row r="1156" spans="1:8" x14ac:dyDescent="0.2">
      <c r="A1156" s="22"/>
      <c r="B1156" s="107"/>
      <c r="C1156" s="107"/>
      <c r="D1156" s="108"/>
      <c r="E1156" s="22"/>
      <c r="F1156" s="109"/>
      <c r="G1156" s="22"/>
      <c r="H1156" s="22"/>
    </row>
    <row r="1157" spans="1:8" x14ac:dyDescent="0.2">
      <c r="A1157" s="22"/>
      <c r="B1157" s="107"/>
      <c r="C1157" s="107"/>
      <c r="D1157" s="108"/>
      <c r="E1157" s="22"/>
      <c r="F1157" s="109"/>
      <c r="G1157" s="22"/>
      <c r="H1157" s="22"/>
    </row>
    <row r="1158" spans="1:8" x14ac:dyDescent="0.2">
      <c r="A1158" s="22"/>
      <c r="B1158" s="107"/>
      <c r="C1158" s="107"/>
      <c r="D1158" s="108"/>
      <c r="E1158" s="22"/>
      <c r="F1158" s="109"/>
      <c r="G1158" s="22"/>
      <c r="H1158" s="22"/>
    </row>
    <row r="1159" spans="1:8" x14ac:dyDescent="0.2">
      <c r="A1159" s="22"/>
      <c r="B1159" s="107"/>
      <c r="C1159" s="107"/>
      <c r="D1159" s="108"/>
      <c r="E1159" s="22"/>
      <c r="F1159" s="109"/>
      <c r="G1159" s="22"/>
      <c r="H1159" s="22"/>
    </row>
    <row r="1160" spans="1:8" x14ac:dyDescent="0.2">
      <c r="A1160" s="22"/>
      <c r="B1160" s="107"/>
      <c r="C1160" s="107"/>
      <c r="D1160" s="108"/>
      <c r="E1160" s="22"/>
      <c r="F1160" s="109"/>
      <c r="G1160" s="22"/>
      <c r="H1160" s="22"/>
    </row>
    <row r="1161" spans="1:8" x14ac:dyDescent="0.2">
      <c r="A1161" s="22"/>
      <c r="B1161" s="107"/>
      <c r="C1161" s="107"/>
      <c r="D1161" s="108"/>
      <c r="E1161" s="22"/>
      <c r="F1161" s="109"/>
      <c r="G1161" s="22"/>
      <c r="H1161" s="22"/>
    </row>
    <row r="1162" spans="1:8" x14ac:dyDescent="0.2">
      <c r="A1162" s="22"/>
      <c r="B1162" s="107"/>
      <c r="C1162" s="107"/>
      <c r="D1162" s="108"/>
      <c r="E1162" s="22"/>
      <c r="F1162" s="109"/>
      <c r="G1162" s="22"/>
      <c r="H1162" s="22"/>
    </row>
    <row r="1163" spans="1:8" x14ac:dyDescent="0.2">
      <c r="A1163" s="22"/>
      <c r="B1163" s="107"/>
      <c r="C1163" s="107"/>
      <c r="D1163" s="108"/>
      <c r="E1163" s="22"/>
      <c r="F1163" s="109"/>
      <c r="G1163" s="22"/>
      <c r="H1163" s="22"/>
    </row>
    <row r="1164" spans="1:8" x14ac:dyDescent="0.2">
      <c r="A1164" s="22"/>
      <c r="B1164" s="107"/>
      <c r="C1164" s="107"/>
      <c r="D1164" s="108"/>
      <c r="E1164" s="22"/>
      <c r="F1164" s="109"/>
      <c r="G1164" s="22"/>
      <c r="H1164" s="22"/>
    </row>
    <row r="1165" spans="1:8" x14ac:dyDescent="0.2">
      <c r="A1165" s="22"/>
      <c r="B1165" s="107"/>
      <c r="C1165" s="107"/>
      <c r="D1165" s="108"/>
      <c r="E1165" s="22"/>
      <c r="F1165" s="109"/>
      <c r="G1165" s="22"/>
      <c r="H1165" s="22"/>
    </row>
    <row r="1166" spans="1:8" x14ac:dyDescent="0.2">
      <c r="A1166" s="22"/>
      <c r="B1166" s="107"/>
      <c r="C1166" s="107"/>
      <c r="D1166" s="108"/>
      <c r="E1166" s="22"/>
      <c r="F1166" s="109"/>
      <c r="G1166" s="22"/>
      <c r="H1166" s="22"/>
    </row>
    <row r="1167" spans="1:8" x14ac:dyDescent="0.2">
      <c r="A1167" s="22"/>
      <c r="B1167" s="107"/>
      <c r="C1167" s="107"/>
      <c r="D1167" s="108"/>
      <c r="E1167" s="22"/>
      <c r="F1167" s="109"/>
      <c r="G1167" s="22"/>
      <c r="H1167" s="22"/>
    </row>
    <row r="1168" spans="1:8" x14ac:dyDescent="0.2">
      <c r="A1168" s="22"/>
      <c r="B1168" s="107"/>
      <c r="C1168" s="107"/>
      <c r="D1168" s="108"/>
      <c r="E1168" s="22"/>
      <c r="F1168" s="109"/>
      <c r="G1168" s="22"/>
      <c r="H1168" s="22"/>
    </row>
    <row r="1169" spans="1:8" x14ac:dyDescent="0.2">
      <c r="A1169" s="22"/>
      <c r="B1169" s="107"/>
      <c r="C1169" s="107"/>
      <c r="D1169" s="108"/>
      <c r="E1169" s="22"/>
      <c r="F1169" s="109"/>
      <c r="G1169" s="22"/>
      <c r="H1169" s="22"/>
    </row>
    <row r="1170" spans="1:8" x14ac:dyDescent="0.2">
      <c r="A1170" s="22"/>
      <c r="B1170" s="107"/>
      <c r="C1170" s="107"/>
      <c r="D1170" s="108"/>
      <c r="E1170" s="22"/>
      <c r="F1170" s="109"/>
      <c r="G1170" s="22"/>
      <c r="H1170" s="22"/>
    </row>
    <row r="1171" spans="1:8" x14ac:dyDescent="0.2">
      <c r="A1171" s="22"/>
      <c r="B1171" s="107"/>
      <c r="C1171" s="107"/>
      <c r="D1171" s="108"/>
      <c r="E1171" s="22"/>
      <c r="F1171" s="109"/>
      <c r="G1171" s="22"/>
      <c r="H1171" s="22"/>
    </row>
    <row r="1172" spans="1:8" x14ac:dyDescent="0.2">
      <c r="A1172" s="22"/>
      <c r="B1172" s="107"/>
      <c r="C1172" s="107"/>
      <c r="D1172" s="108"/>
      <c r="E1172" s="22"/>
      <c r="F1172" s="109"/>
      <c r="G1172" s="22"/>
      <c r="H1172" s="22"/>
    </row>
    <row r="1173" spans="1:8" x14ac:dyDescent="0.2">
      <c r="A1173" s="22"/>
      <c r="B1173" s="107"/>
      <c r="C1173" s="107"/>
      <c r="D1173" s="108"/>
      <c r="E1173" s="22"/>
      <c r="F1173" s="109"/>
      <c r="G1173" s="22"/>
      <c r="H1173" s="22"/>
    </row>
    <row r="1174" spans="1:8" x14ac:dyDescent="0.2">
      <c r="A1174" s="22"/>
      <c r="B1174" s="107"/>
      <c r="C1174" s="107"/>
      <c r="D1174" s="108"/>
      <c r="E1174" s="22"/>
      <c r="F1174" s="109"/>
      <c r="G1174" s="22"/>
      <c r="H1174" s="22"/>
    </row>
    <row r="1175" spans="1:8" x14ac:dyDescent="0.2">
      <c r="A1175" s="22"/>
      <c r="B1175" s="107"/>
      <c r="C1175" s="107"/>
      <c r="D1175" s="108"/>
      <c r="E1175" s="22"/>
      <c r="F1175" s="109"/>
      <c r="G1175" s="22"/>
      <c r="H1175" s="22"/>
    </row>
    <row r="1176" spans="1:8" x14ac:dyDescent="0.2">
      <c r="A1176" s="22"/>
      <c r="B1176" s="107"/>
      <c r="C1176" s="107"/>
      <c r="D1176" s="108"/>
      <c r="E1176" s="22"/>
      <c r="F1176" s="109"/>
      <c r="G1176" s="22"/>
      <c r="H1176" s="22"/>
    </row>
    <row r="1177" spans="1:8" x14ac:dyDescent="0.2">
      <c r="A1177" s="22"/>
      <c r="B1177" s="107"/>
      <c r="C1177" s="107"/>
      <c r="D1177" s="108"/>
      <c r="E1177" s="22"/>
      <c r="F1177" s="109"/>
      <c r="G1177" s="22"/>
      <c r="H1177" s="22"/>
    </row>
    <row r="1178" spans="1:8" x14ac:dyDescent="0.2">
      <c r="A1178" s="22"/>
      <c r="B1178" s="107"/>
      <c r="C1178" s="107"/>
      <c r="D1178" s="108"/>
      <c r="E1178" s="22"/>
      <c r="F1178" s="109"/>
      <c r="G1178" s="22"/>
      <c r="H1178" s="22"/>
    </row>
    <row r="1179" spans="1:8" x14ac:dyDescent="0.2">
      <c r="A1179" s="22"/>
      <c r="B1179" s="107"/>
      <c r="C1179" s="107"/>
      <c r="D1179" s="108"/>
      <c r="E1179" s="22"/>
      <c r="F1179" s="109"/>
      <c r="G1179" s="22"/>
      <c r="H1179" s="22"/>
    </row>
    <row r="1180" spans="1:8" x14ac:dyDescent="0.2">
      <c r="A1180" s="22"/>
      <c r="B1180" s="107"/>
      <c r="C1180" s="107"/>
      <c r="D1180" s="108"/>
      <c r="E1180" s="22"/>
      <c r="F1180" s="109"/>
      <c r="G1180" s="22"/>
      <c r="H1180" s="22"/>
    </row>
    <row r="1181" spans="1:8" x14ac:dyDescent="0.2">
      <c r="A1181" s="22"/>
      <c r="B1181" s="107"/>
      <c r="C1181" s="107"/>
      <c r="D1181" s="108"/>
      <c r="E1181" s="22"/>
      <c r="F1181" s="109"/>
      <c r="G1181" s="22"/>
      <c r="H1181" s="22"/>
    </row>
    <row r="1182" spans="1:8" x14ac:dyDescent="0.2">
      <c r="A1182" s="22"/>
      <c r="B1182" s="107"/>
      <c r="C1182" s="107"/>
      <c r="D1182" s="108"/>
      <c r="E1182" s="22"/>
      <c r="F1182" s="109"/>
      <c r="G1182" s="22"/>
      <c r="H1182" s="22"/>
    </row>
    <row r="1183" spans="1:8" x14ac:dyDescent="0.2">
      <c r="A1183" s="22"/>
      <c r="B1183" s="107"/>
      <c r="C1183" s="107"/>
      <c r="D1183" s="108"/>
      <c r="E1183" s="22"/>
      <c r="F1183" s="109"/>
      <c r="G1183" s="22"/>
      <c r="H1183" s="22"/>
    </row>
    <row r="1184" spans="1:8" x14ac:dyDescent="0.2">
      <c r="A1184" s="22"/>
      <c r="B1184" s="107"/>
      <c r="C1184" s="107"/>
      <c r="D1184" s="108"/>
      <c r="E1184" s="22"/>
      <c r="F1184" s="109"/>
      <c r="G1184" s="22"/>
      <c r="H1184" s="22"/>
    </row>
    <row r="1185" spans="1:8" x14ac:dyDescent="0.2">
      <c r="A1185" s="22"/>
      <c r="B1185" s="107"/>
      <c r="C1185" s="107"/>
      <c r="D1185" s="108"/>
      <c r="E1185" s="22"/>
      <c r="F1185" s="109"/>
      <c r="G1185" s="22"/>
      <c r="H1185" s="22"/>
    </row>
    <row r="1186" spans="1:8" x14ac:dyDescent="0.2">
      <c r="A1186" s="22"/>
      <c r="B1186" s="107"/>
      <c r="C1186" s="107"/>
      <c r="D1186" s="108"/>
      <c r="E1186" s="22"/>
      <c r="F1186" s="109"/>
      <c r="G1186" s="22"/>
      <c r="H1186" s="22"/>
    </row>
    <row r="1187" spans="1:8" x14ac:dyDescent="0.2">
      <c r="A1187" s="22"/>
      <c r="B1187" s="107"/>
      <c r="C1187" s="107"/>
      <c r="D1187" s="108"/>
      <c r="E1187" s="22"/>
      <c r="F1187" s="109"/>
      <c r="G1187" s="22"/>
      <c r="H1187" s="22"/>
    </row>
    <row r="1188" spans="1:8" x14ac:dyDescent="0.2">
      <c r="A1188" s="22"/>
      <c r="B1188" s="107"/>
      <c r="C1188" s="107"/>
      <c r="D1188" s="108"/>
      <c r="E1188" s="22"/>
      <c r="F1188" s="109"/>
      <c r="G1188" s="22"/>
      <c r="H1188" s="22"/>
    </row>
    <row r="1189" spans="1:8" x14ac:dyDescent="0.2">
      <c r="A1189" s="22"/>
      <c r="B1189" s="107"/>
      <c r="C1189" s="107"/>
      <c r="D1189" s="108"/>
      <c r="E1189" s="22"/>
      <c r="F1189" s="109"/>
      <c r="G1189" s="22"/>
      <c r="H1189" s="22"/>
    </row>
    <row r="1190" spans="1:8" x14ac:dyDescent="0.2">
      <c r="A1190" s="22"/>
      <c r="B1190" s="107"/>
      <c r="C1190" s="107"/>
      <c r="D1190" s="108"/>
      <c r="E1190" s="22"/>
      <c r="F1190" s="109"/>
      <c r="G1190" s="22"/>
      <c r="H1190" s="22"/>
    </row>
    <row r="1191" spans="1:8" x14ac:dyDescent="0.2">
      <c r="A1191" s="22"/>
      <c r="B1191" s="107"/>
      <c r="C1191" s="107"/>
      <c r="D1191" s="108"/>
      <c r="E1191" s="22"/>
      <c r="F1191" s="109"/>
      <c r="G1191" s="22"/>
      <c r="H1191" s="22"/>
    </row>
    <row r="1192" spans="1:8" x14ac:dyDescent="0.2">
      <c r="A1192" s="22"/>
      <c r="B1192" s="107"/>
      <c r="C1192" s="107"/>
      <c r="D1192" s="108"/>
      <c r="E1192" s="22"/>
      <c r="F1192" s="109"/>
      <c r="G1192" s="22"/>
      <c r="H1192" s="22"/>
    </row>
    <row r="1193" spans="1:8" x14ac:dyDescent="0.2">
      <c r="A1193" s="22"/>
      <c r="B1193" s="107"/>
      <c r="C1193" s="107"/>
      <c r="D1193" s="108"/>
      <c r="E1193" s="22"/>
      <c r="F1193" s="109"/>
      <c r="G1193" s="22"/>
      <c r="H1193" s="22"/>
    </row>
    <row r="1194" spans="1:8" x14ac:dyDescent="0.2">
      <c r="A1194" s="22"/>
      <c r="B1194" s="107"/>
      <c r="C1194" s="107"/>
      <c r="D1194" s="108"/>
      <c r="E1194" s="22"/>
      <c r="F1194" s="109"/>
      <c r="G1194" s="22"/>
      <c r="H1194" s="22"/>
    </row>
    <row r="1195" spans="1:8" x14ac:dyDescent="0.2">
      <c r="A1195" s="22"/>
      <c r="B1195" s="107"/>
      <c r="C1195" s="107"/>
      <c r="D1195" s="108"/>
      <c r="E1195" s="22"/>
      <c r="F1195" s="109"/>
      <c r="G1195" s="22"/>
      <c r="H1195" s="22"/>
    </row>
    <row r="1196" spans="1:8" x14ac:dyDescent="0.2">
      <c r="A1196" s="22"/>
      <c r="B1196" s="107"/>
      <c r="C1196" s="107"/>
      <c r="D1196" s="108"/>
      <c r="E1196" s="22"/>
      <c r="F1196" s="109"/>
      <c r="G1196" s="22"/>
      <c r="H1196" s="22"/>
    </row>
    <row r="1197" spans="1:8" x14ac:dyDescent="0.2">
      <c r="A1197" s="22"/>
      <c r="B1197" s="107"/>
      <c r="C1197" s="107"/>
      <c r="D1197" s="108"/>
      <c r="E1197" s="22"/>
      <c r="F1197" s="109"/>
      <c r="G1197" s="22"/>
      <c r="H1197" s="22"/>
    </row>
    <row r="1198" spans="1:8" x14ac:dyDescent="0.2">
      <c r="A1198" s="22"/>
      <c r="B1198" s="107"/>
      <c r="C1198" s="107"/>
      <c r="D1198" s="108"/>
      <c r="E1198" s="22"/>
      <c r="F1198" s="109"/>
      <c r="G1198" s="22"/>
      <c r="H1198" s="22"/>
    </row>
    <row r="1199" spans="1:8" x14ac:dyDescent="0.2">
      <c r="A1199" s="22"/>
      <c r="B1199" s="107"/>
      <c r="C1199" s="107"/>
      <c r="D1199" s="108"/>
      <c r="E1199" s="22"/>
      <c r="F1199" s="109"/>
      <c r="G1199" s="22"/>
      <c r="H1199" s="22"/>
    </row>
    <row r="1200" spans="1:8" x14ac:dyDescent="0.2">
      <c r="A1200" s="22"/>
      <c r="B1200" s="107"/>
      <c r="C1200" s="107"/>
      <c r="D1200" s="108"/>
      <c r="E1200" s="22"/>
      <c r="F1200" s="109"/>
      <c r="G1200" s="22"/>
      <c r="H1200" s="22"/>
    </row>
    <row r="1201" spans="1:8" x14ac:dyDescent="0.2">
      <c r="A1201" s="22"/>
      <c r="B1201" s="107"/>
      <c r="C1201" s="107"/>
      <c r="D1201" s="108"/>
      <c r="E1201" s="22"/>
      <c r="F1201" s="109"/>
      <c r="G1201" s="22"/>
      <c r="H1201" s="22"/>
    </row>
    <row r="1202" spans="1:8" x14ac:dyDescent="0.2">
      <c r="A1202" s="22"/>
      <c r="B1202" s="107"/>
      <c r="C1202" s="107"/>
      <c r="D1202" s="108"/>
      <c r="E1202" s="22"/>
      <c r="F1202" s="109"/>
      <c r="G1202" s="22"/>
      <c r="H1202" s="22"/>
    </row>
    <row r="1203" spans="1:8" x14ac:dyDescent="0.2">
      <c r="A1203" s="22"/>
      <c r="B1203" s="107"/>
      <c r="C1203" s="107"/>
      <c r="D1203" s="108"/>
      <c r="E1203" s="22"/>
      <c r="F1203" s="109"/>
      <c r="G1203" s="22"/>
      <c r="H1203" s="22"/>
    </row>
    <row r="1204" spans="1:8" x14ac:dyDescent="0.2">
      <c r="A1204" s="22"/>
      <c r="B1204" s="107"/>
      <c r="C1204" s="107"/>
      <c r="D1204" s="108"/>
      <c r="E1204" s="22"/>
      <c r="F1204" s="109"/>
      <c r="G1204" s="22"/>
      <c r="H1204" s="22"/>
    </row>
    <row r="1205" spans="1:8" x14ac:dyDescent="0.2">
      <c r="A1205" s="22"/>
      <c r="B1205" s="107"/>
      <c r="C1205" s="107"/>
      <c r="D1205" s="108"/>
      <c r="E1205" s="22"/>
      <c r="F1205" s="109"/>
      <c r="G1205" s="22"/>
      <c r="H1205" s="22"/>
    </row>
    <row r="1206" spans="1:8" x14ac:dyDescent="0.2">
      <c r="A1206" s="22"/>
      <c r="B1206" s="107"/>
      <c r="C1206" s="107"/>
      <c r="D1206" s="108"/>
      <c r="E1206" s="22"/>
      <c r="F1206" s="109"/>
      <c r="G1206" s="22"/>
      <c r="H1206" s="22"/>
    </row>
    <row r="1207" spans="1:8" x14ac:dyDescent="0.2">
      <c r="A1207" s="22"/>
      <c r="B1207" s="107"/>
      <c r="C1207" s="107"/>
      <c r="D1207" s="108"/>
      <c r="E1207" s="22"/>
      <c r="F1207" s="109"/>
      <c r="G1207" s="22"/>
      <c r="H1207" s="22"/>
    </row>
    <row r="1208" spans="1:8" x14ac:dyDescent="0.2">
      <c r="A1208" s="22"/>
      <c r="B1208" s="107"/>
      <c r="C1208" s="107"/>
      <c r="D1208" s="108"/>
      <c r="E1208" s="22"/>
      <c r="F1208" s="109"/>
      <c r="G1208" s="22"/>
      <c r="H1208" s="22"/>
    </row>
    <row r="1209" spans="1:8" x14ac:dyDescent="0.2">
      <c r="A1209" s="22"/>
      <c r="B1209" s="107"/>
      <c r="C1209" s="107"/>
      <c r="D1209" s="108"/>
      <c r="E1209" s="22"/>
      <c r="F1209" s="109"/>
      <c r="G1209" s="22"/>
      <c r="H1209" s="22"/>
    </row>
    <row r="1210" spans="1:8" x14ac:dyDescent="0.2">
      <c r="A1210" s="22"/>
      <c r="B1210" s="107"/>
      <c r="C1210" s="107"/>
      <c r="D1210" s="108"/>
      <c r="E1210" s="22"/>
      <c r="F1210" s="109"/>
      <c r="G1210" s="22"/>
      <c r="H1210" s="22"/>
    </row>
    <row r="1211" spans="1:8" x14ac:dyDescent="0.2">
      <c r="A1211" s="22"/>
      <c r="B1211" s="107"/>
      <c r="C1211" s="107"/>
      <c r="D1211" s="108"/>
      <c r="E1211" s="22"/>
      <c r="F1211" s="109"/>
      <c r="G1211" s="22"/>
      <c r="H1211" s="22"/>
    </row>
    <row r="1212" spans="1:8" x14ac:dyDescent="0.2">
      <c r="A1212" s="22"/>
      <c r="B1212" s="107"/>
      <c r="C1212" s="107"/>
      <c r="D1212" s="108"/>
      <c r="E1212" s="22"/>
      <c r="F1212" s="109"/>
      <c r="G1212" s="22"/>
      <c r="H1212" s="22"/>
    </row>
    <row r="1213" spans="1:8" x14ac:dyDescent="0.2">
      <c r="A1213" s="22"/>
      <c r="B1213" s="107"/>
      <c r="C1213" s="107"/>
      <c r="D1213" s="108"/>
      <c r="E1213" s="22"/>
      <c r="F1213" s="109"/>
      <c r="G1213" s="22"/>
      <c r="H1213" s="22"/>
    </row>
    <row r="1214" spans="1:8" x14ac:dyDescent="0.2">
      <c r="A1214" s="22"/>
      <c r="B1214" s="107"/>
      <c r="C1214" s="107"/>
      <c r="D1214" s="108"/>
      <c r="E1214" s="22"/>
      <c r="F1214" s="109"/>
      <c r="G1214" s="22"/>
      <c r="H1214" s="22"/>
    </row>
    <row r="1215" spans="1:8" x14ac:dyDescent="0.2">
      <c r="A1215" s="22"/>
      <c r="B1215" s="107"/>
      <c r="C1215" s="107"/>
      <c r="D1215" s="108"/>
      <c r="E1215" s="22"/>
      <c r="F1215" s="109"/>
      <c r="G1215" s="22"/>
      <c r="H1215" s="22"/>
    </row>
    <row r="1216" spans="1:8" x14ac:dyDescent="0.2">
      <c r="A1216" s="22"/>
      <c r="B1216" s="107"/>
      <c r="C1216" s="107"/>
      <c r="D1216" s="108"/>
      <c r="E1216" s="22"/>
      <c r="F1216" s="109"/>
      <c r="G1216" s="22"/>
      <c r="H1216" s="22"/>
    </row>
    <row r="1217" spans="1:8" x14ac:dyDescent="0.2">
      <c r="A1217" s="22"/>
      <c r="B1217" s="107"/>
      <c r="C1217" s="107"/>
      <c r="D1217" s="108"/>
      <c r="E1217" s="22"/>
      <c r="F1217" s="109"/>
      <c r="G1217" s="22"/>
      <c r="H1217" s="22"/>
    </row>
    <row r="1218" spans="1:8" x14ac:dyDescent="0.2">
      <c r="A1218" s="22"/>
      <c r="B1218" s="107"/>
      <c r="C1218" s="107"/>
      <c r="D1218" s="108"/>
      <c r="E1218" s="22"/>
      <c r="F1218" s="109"/>
      <c r="G1218" s="22"/>
      <c r="H1218" s="22"/>
    </row>
    <row r="1219" spans="1:8" x14ac:dyDescent="0.2">
      <c r="A1219" s="22"/>
      <c r="B1219" s="107"/>
      <c r="C1219" s="107"/>
      <c r="D1219" s="108"/>
      <c r="E1219" s="22"/>
      <c r="F1219" s="109"/>
      <c r="G1219" s="22"/>
      <c r="H1219" s="22"/>
    </row>
    <row r="1220" spans="1:8" x14ac:dyDescent="0.2">
      <c r="A1220" s="22"/>
      <c r="B1220" s="107"/>
      <c r="C1220" s="107"/>
      <c r="D1220" s="108"/>
      <c r="E1220" s="22"/>
      <c r="F1220" s="109"/>
      <c r="G1220" s="22"/>
      <c r="H1220" s="22"/>
    </row>
    <row r="1221" spans="1:8" x14ac:dyDescent="0.2">
      <c r="A1221" s="22"/>
      <c r="B1221" s="107"/>
      <c r="C1221" s="107"/>
      <c r="D1221" s="108"/>
      <c r="E1221" s="22"/>
      <c r="F1221" s="109"/>
      <c r="G1221" s="22"/>
      <c r="H1221" s="22"/>
    </row>
    <row r="1222" spans="1:8" x14ac:dyDescent="0.2">
      <c r="A1222" s="22"/>
      <c r="B1222" s="107"/>
      <c r="C1222" s="107"/>
      <c r="D1222" s="108"/>
      <c r="E1222" s="22"/>
      <c r="F1222" s="109"/>
      <c r="G1222" s="22"/>
      <c r="H1222" s="22"/>
    </row>
    <row r="1223" spans="1:8" x14ac:dyDescent="0.2">
      <c r="A1223" s="22"/>
      <c r="B1223" s="107"/>
      <c r="C1223" s="107"/>
      <c r="D1223" s="108"/>
      <c r="E1223" s="22"/>
      <c r="F1223" s="109"/>
      <c r="G1223" s="22"/>
      <c r="H1223" s="22"/>
    </row>
    <row r="1224" spans="1:8" x14ac:dyDescent="0.2">
      <c r="A1224" s="22"/>
      <c r="B1224" s="107"/>
      <c r="C1224" s="107"/>
      <c r="D1224" s="108"/>
      <c r="E1224" s="22"/>
      <c r="F1224" s="109"/>
      <c r="G1224" s="22"/>
      <c r="H1224" s="22"/>
    </row>
    <row r="1225" spans="1:8" x14ac:dyDescent="0.2">
      <c r="A1225" s="22"/>
      <c r="B1225" s="107"/>
      <c r="C1225" s="107"/>
      <c r="D1225" s="108"/>
      <c r="E1225" s="22"/>
      <c r="F1225" s="109"/>
      <c r="G1225" s="22"/>
      <c r="H1225" s="22"/>
    </row>
    <row r="1226" spans="1:8" x14ac:dyDescent="0.2">
      <c r="A1226" s="22"/>
      <c r="B1226" s="107"/>
      <c r="C1226" s="107"/>
      <c r="D1226" s="108"/>
      <c r="E1226" s="22"/>
      <c r="F1226" s="109"/>
      <c r="G1226" s="22"/>
      <c r="H1226" s="22"/>
    </row>
    <row r="1227" spans="1:8" x14ac:dyDescent="0.2">
      <c r="A1227" s="22"/>
      <c r="B1227" s="107"/>
      <c r="C1227" s="107"/>
      <c r="D1227" s="108"/>
      <c r="E1227" s="22"/>
      <c r="F1227" s="109"/>
      <c r="G1227" s="22"/>
      <c r="H1227" s="22"/>
    </row>
    <row r="1228" spans="1:8" x14ac:dyDescent="0.2">
      <c r="A1228" s="22"/>
      <c r="B1228" s="107"/>
      <c r="C1228" s="107"/>
      <c r="D1228" s="108"/>
      <c r="E1228" s="22"/>
      <c r="F1228" s="109"/>
      <c r="G1228" s="22"/>
      <c r="H1228" s="22"/>
    </row>
    <row r="1229" spans="1:8" x14ac:dyDescent="0.2">
      <c r="A1229" s="22"/>
      <c r="B1229" s="107"/>
      <c r="C1229" s="107"/>
      <c r="D1229" s="108"/>
      <c r="E1229" s="22"/>
      <c r="F1229" s="109"/>
      <c r="G1229" s="22"/>
      <c r="H1229" s="22"/>
    </row>
    <row r="1230" spans="1:8" x14ac:dyDescent="0.2">
      <c r="A1230" s="22"/>
      <c r="B1230" s="107"/>
      <c r="C1230" s="107"/>
      <c r="D1230" s="108"/>
      <c r="E1230" s="22"/>
      <c r="F1230" s="109"/>
      <c r="G1230" s="22"/>
      <c r="H1230" s="22"/>
    </row>
    <row r="1231" spans="1:8" x14ac:dyDescent="0.2">
      <c r="A1231" s="22"/>
      <c r="B1231" s="107"/>
      <c r="C1231" s="107"/>
      <c r="D1231" s="108"/>
      <c r="E1231" s="22"/>
      <c r="F1231" s="109"/>
      <c r="G1231" s="22"/>
      <c r="H1231" s="22"/>
    </row>
    <row r="1232" spans="1:8" x14ac:dyDescent="0.2">
      <c r="A1232" s="22"/>
      <c r="B1232" s="107"/>
      <c r="C1232" s="107"/>
      <c r="D1232" s="108"/>
      <c r="E1232" s="22"/>
      <c r="F1232" s="109"/>
      <c r="G1232" s="22"/>
      <c r="H1232" s="22"/>
    </row>
    <row r="1233" spans="1:8" x14ac:dyDescent="0.2">
      <c r="A1233" s="22"/>
      <c r="B1233" s="107"/>
      <c r="C1233" s="107"/>
      <c r="D1233" s="108"/>
      <c r="E1233" s="22"/>
      <c r="F1233" s="109"/>
      <c r="G1233" s="22"/>
      <c r="H1233" s="22"/>
    </row>
    <row r="1234" spans="1:8" x14ac:dyDescent="0.2">
      <c r="A1234" s="22"/>
      <c r="B1234" s="107"/>
      <c r="C1234" s="107"/>
      <c r="D1234" s="108"/>
      <c r="E1234" s="22"/>
      <c r="F1234" s="109"/>
      <c r="G1234" s="22"/>
      <c r="H1234" s="22"/>
    </row>
    <row r="1235" spans="1:8" x14ac:dyDescent="0.2">
      <c r="A1235" s="22"/>
      <c r="B1235" s="107"/>
      <c r="C1235" s="107"/>
      <c r="D1235" s="108"/>
      <c r="E1235" s="22"/>
      <c r="F1235" s="109"/>
      <c r="G1235" s="22"/>
      <c r="H1235" s="22"/>
    </row>
    <row r="1236" spans="1:8" x14ac:dyDescent="0.2">
      <c r="A1236" s="22"/>
      <c r="B1236" s="107"/>
      <c r="C1236" s="107"/>
      <c r="D1236" s="108"/>
      <c r="E1236" s="22"/>
      <c r="F1236" s="109"/>
      <c r="G1236" s="22"/>
      <c r="H1236" s="22"/>
    </row>
    <row r="1237" spans="1:8" x14ac:dyDescent="0.2">
      <c r="A1237" s="22"/>
      <c r="B1237" s="107"/>
      <c r="C1237" s="107"/>
      <c r="D1237" s="108"/>
      <c r="E1237" s="22"/>
      <c r="F1237" s="109"/>
      <c r="G1237" s="22"/>
      <c r="H1237" s="22"/>
    </row>
    <row r="1238" spans="1:8" x14ac:dyDescent="0.2">
      <c r="A1238" s="22"/>
      <c r="B1238" s="107"/>
      <c r="C1238" s="107"/>
      <c r="D1238" s="108"/>
      <c r="E1238" s="22"/>
      <c r="F1238" s="109"/>
      <c r="G1238" s="22"/>
      <c r="H1238" s="22"/>
    </row>
    <row r="1239" spans="1:8" x14ac:dyDescent="0.2">
      <c r="A1239" s="22"/>
      <c r="B1239" s="107"/>
      <c r="C1239" s="107"/>
      <c r="D1239" s="108"/>
      <c r="E1239" s="22"/>
      <c r="F1239" s="109"/>
      <c r="G1239" s="22"/>
      <c r="H1239" s="22"/>
    </row>
    <row r="1240" spans="1:8" x14ac:dyDescent="0.2">
      <c r="A1240" s="22"/>
      <c r="B1240" s="107"/>
      <c r="C1240" s="107"/>
      <c r="D1240" s="108"/>
      <c r="E1240" s="22"/>
      <c r="F1240" s="109"/>
      <c r="G1240" s="22"/>
      <c r="H1240" s="22"/>
    </row>
    <row r="1241" spans="1:8" x14ac:dyDescent="0.2">
      <c r="A1241" s="22"/>
      <c r="B1241" s="107"/>
      <c r="C1241" s="107"/>
      <c r="D1241" s="108"/>
      <c r="E1241" s="22"/>
      <c r="F1241" s="109"/>
      <c r="G1241" s="22"/>
      <c r="H1241" s="22"/>
    </row>
    <row r="1242" spans="1:8" x14ac:dyDescent="0.2">
      <c r="A1242" s="22"/>
      <c r="B1242" s="107"/>
      <c r="C1242" s="107"/>
      <c r="D1242" s="108"/>
      <c r="E1242" s="22"/>
      <c r="F1242" s="109"/>
      <c r="G1242" s="22"/>
      <c r="H1242" s="22"/>
    </row>
    <row r="1243" spans="1:8" x14ac:dyDescent="0.2">
      <c r="A1243" s="22"/>
      <c r="B1243" s="107"/>
      <c r="C1243" s="107"/>
      <c r="D1243" s="108"/>
      <c r="E1243" s="22"/>
      <c r="F1243" s="109"/>
      <c r="G1243" s="22"/>
      <c r="H1243" s="22"/>
    </row>
    <row r="1244" spans="1:8" x14ac:dyDescent="0.2">
      <c r="A1244" s="22"/>
      <c r="B1244" s="107"/>
      <c r="C1244" s="107"/>
      <c r="D1244" s="108"/>
      <c r="E1244" s="22"/>
      <c r="F1244" s="109"/>
      <c r="G1244" s="22"/>
      <c r="H1244" s="22"/>
    </row>
    <row r="1245" spans="1:8" x14ac:dyDescent="0.2">
      <c r="A1245" s="22"/>
      <c r="B1245" s="107"/>
      <c r="C1245" s="107"/>
      <c r="D1245" s="108"/>
      <c r="E1245" s="22"/>
      <c r="F1245" s="109"/>
      <c r="G1245" s="22"/>
      <c r="H1245" s="22"/>
    </row>
    <row r="1246" spans="1:8" x14ac:dyDescent="0.2">
      <c r="A1246" s="22"/>
      <c r="B1246" s="107"/>
      <c r="C1246" s="107"/>
      <c r="D1246" s="108"/>
      <c r="E1246" s="22"/>
      <c r="F1246" s="109"/>
      <c r="G1246" s="22"/>
      <c r="H1246" s="22"/>
    </row>
    <row r="1247" spans="1:8" x14ac:dyDescent="0.2">
      <c r="A1247" s="22"/>
      <c r="B1247" s="107"/>
      <c r="C1247" s="107"/>
      <c r="D1247" s="108"/>
      <c r="E1247" s="22"/>
      <c r="F1247" s="109"/>
      <c r="G1247" s="22"/>
      <c r="H1247" s="22"/>
    </row>
    <row r="1248" spans="1:8" x14ac:dyDescent="0.2">
      <c r="A1248" s="22"/>
      <c r="B1248" s="107"/>
      <c r="C1248" s="107"/>
      <c r="D1248" s="108"/>
      <c r="E1248" s="22"/>
      <c r="F1248" s="109"/>
      <c r="G1248" s="22"/>
      <c r="H1248" s="22"/>
    </row>
    <row r="1249" spans="1:8" x14ac:dyDescent="0.2">
      <c r="A1249" s="22"/>
      <c r="B1249" s="107"/>
      <c r="C1249" s="107"/>
      <c r="D1249" s="108"/>
      <c r="E1249" s="22"/>
      <c r="F1249" s="109"/>
      <c r="G1249" s="22"/>
      <c r="H1249" s="22"/>
    </row>
    <row r="1250" spans="1:8" x14ac:dyDescent="0.2">
      <c r="A1250" s="22"/>
      <c r="B1250" s="107"/>
      <c r="C1250" s="107"/>
      <c r="D1250" s="108"/>
      <c r="E1250" s="22"/>
      <c r="F1250" s="109"/>
      <c r="G1250" s="22"/>
      <c r="H1250" s="22"/>
    </row>
    <row r="1251" spans="1:8" x14ac:dyDescent="0.2">
      <c r="A1251" s="22"/>
      <c r="B1251" s="107"/>
      <c r="C1251" s="107"/>
      <c r="D1251" s="108"/>
      <c r="E1251" s="22"/>
      <c r="F1251" s="109"/>
      <c r="G1251" s="22"/>
      <c r="H1251" s="22"/>
    </row>
    <row r="1252" spans="1:8" x14ac:dyDescent="0.2">
      <c r="A1252" s="22"/>
      <c r="B1252" s="107"/>
      <c r="C1252" s="107"/>
      <c r="D1252" s="108"/>
      <c r="E1252" s="22"/>
      <c r="F1252" s="109"/>
      <c r="G1252" s="22"/>
      <c r="H1252" s="22"/>
    </row>
    <row r="1253" spans="1:8" x14ac:dyDescent="0.2">
      <c r="A1253" s="22"/>
      <c r="B1253" s="107"/>
      <c r="C1253" s="107"/>
      <c r="D1253" s="108"/>
      <c r="E1253" s="22"/>
      <c r="F1253" s="109"/>
      <c r="G1253" s="22"/>
      <c r="H1253" s="22"/>
    </row>
    <row r="1254" spans="1:8" x14ac:dyDescent="0.2">
      <c r="A1254" s="22"/>
      <c r="B1254" s="107"/>
      <c r="C1254" s="107"/>
      <c r="D1254" s="108"/>
      <c r="E1254" s="22"/>
      <c r="F1254" s="109"/>
      <c r="G1254" s="22"/>
      <c r="H1254" s="22"/>
    </row>
    <row r="1255" spans="1:8" x14ac:dyDescent="0.2">
      <c r="A1255" s="22"/>
      <c r="B1255" s="107"/>
      <c r="C1255" s="107"/>
      <c r="D1255" s="108"/>
      <c r="E1255" s="22"/>
      <c r="F1255" s="109"/>
      <c r="G1255" s="22"/>
      <c r="H1255" s="22"/>
    </row>
    <row r="1256" spans="1:8" x14ac:dyDescent="0.2">
      <c r="A1256" s="22"/>
      <c r="B1256" s="107"/>
      <c r="C1256" s="107"/>
      <c r="D1256" s="108"/>
      <c r="E1256" s="22"/>
      <c r="F1256" s="109"/>
      <c r="G1256" s="22"/>
      <c r="H1256" s="22"/>
    </row>
    <row r="1257" spans="1:8" x14ac:dyDescent="0.2">
      <c r="A1257" s="22"/>
      <c r="B1257" s="107"/>
      <c r="C1257" s="107"/>
      <c r="D1257" s="108"/>
      <c r="E1257" s="22"/>
      <c r="F1257" s="109"/>
      <c r="G1257" s="22"/>
      <c r="H1257" s="22"/>
    </row>
    <row r="1258" spans="1:8" x14ac:dyDescent="0.2">
      <c r="A1258" s="22"/>
      <c r="B1258" s="107"/>
      <c r="C1258" s="107"/>
      <c r="D1258" s="108"/>
      <c r="E1258" s="22"/>
      <c r="F1258" s="109"/>
      <c r="G1258" s="22"/>
      <c r="H1258" s="22"/>
    </row>
    <row r="1259" spans="1:8" x14ac:dyDescent="0.2">
      <c r="A1259" s="22"/>
      <c r="B1259" s="107"/>
      <c r="C1259" s="107"/>
      <c r="D1259" s="108"/>
      <c r="E1259" s="22"/>
      <c r="F1259" s="109"/>
      <c r="G1259" s="22"/>
      <c r="H1259" s="22"/>
    </row>
    <row r="1260" spans="1:8" x14ac:dyDescent="0.2">
      <c r="A1260" s="22"/>
      <c r="B1260" s="107"/>
      <c r="C1260" s="107"/>
      <c r="D1260" s="108"/>
      <c r="E1260" s="22"/>
      <c r="F1260" s="109"/>
      <c r="G1260" s="22"/>
      <c r="H1260" s="22"/>
    </row>
    <row r="1261" spans="1:8" x14ac:dyDescent="0.2">
      <c r="A1261" s="22"/>
      <c r="B1261" s="107"/>
      <c r="C1261" s="107"/>
      <c r="D1261" s="108"/>
      <c r="E1261" s="22"/>
      <c r="F1261" s="109"/>
      <c r="G1261" s="22"/>
      <c r="H1261" s="22"/>
    </row>
    <row r="1262" spans="1:8" x14ac:dyDescent="0.2">
      <c r="A1262" s="22"/>
      <c r="B1262" s="107"/>
      <c r="C1262" s="107"/>
      <c r="D1262" s="108"/>
      <c r="E1262" s="22"/>
      <c r="F1262" s="109"/>
      <c r="G1262" s="22"/>
      <c r="H1262" s="22"/>
    </row>
    <row r="1263" spans="1:8" x14ac:dyDescent="0.2">
      <c r="A1263" s="22"/>
      <c r="B1263" s="107"/>
      <c r="C1263" s="107"/>
      <c r="D1263" s="108"/>
      <c r="E1263" s="22"/>
      <c r="F1263" s="109"/>
      <c r="G1263" s="22"/>
      <c r="H1263" s="22"/>
    </row>
    <row r="1264" spans="1:8" x14ac:dyDescent="0.2">
      <c r="A1264" s="22"/>
      <c r="B1264" s="107"/>
      <c r="C1264" s="107"/>
      <c r="D1264" s="108"/>
      <c r="E1264" s="22"/>
      <c r="F1264" s="109"/>
      <c r="G1264" s="22"/>
      <c r="H1264" s="22"/>
    </row>
    <row r="1265" spans="1:8" x14ac:dyDescent="0.2">
      <c r="A1265" s="22"/>
      <c r="B1265" s="107"/>
      <c r="C1265" s="107"/>
      <c r="D1265" s="108"/>
      <c r="E1265" s="22"/>
      <c r="F1265" s="109"/>
      <c r="G1265" s="22"/>
      <c r="H1265" s="22"/>
    </row>
    <row r="1266" spans="1:8" x14ac:dyDescent="0.2">
      <c r="A1266" s="22"/>
      <c r="B1266" s="107"/>
      <c r="C1266" s="107"/>
      <c r="D1266" s="108"/>
      <c r="E1266" s="22"/>
      <c r="F1266" s="109"/>
      <c r="G1266" s="22"/>
      <c r="H1266" s="22"/>
    </row>
    <row r="1267" spans="1:8" x14ac:dyDescent="0.2">
      <c r="A1267" s="22"/>
      <c r="B1267" s="107"/>
      <c r="C1267" s="107"/>
      <c r="D1267" s="108"/>
      <c r="E1267" s="22"/>
      <c r="F1267" s="109"/>
      <c r="G1267" s="22"/>
      <c r="H1267" s="22"/>
    </row>
    <row r="1268" spans="1:8" x14ac:dyDescent="0.2">
      <c r="A1268" s="22"/>
      <c r="B1268" s="107"/>
      <c r="C1268" s="107"/>
      <c r="D1268" s="108"/>
      <c r="E1268" s="22"/>
      <c r="F1268" s="109"/>
      <c r="G1268" s="22"/>
      <c r="H1268" s="22"/>
    </row>
    <row r="1269" spans="1:8" x14ac:dyDescent="0.2">
      <c r="A1269" s="22"/>
      <c r="B1269" s="107"/>
      <c r="C1269" s="107"/>
      <c r="D1269" s="108"/>
      <c r="E1269" s="22"/>
      <c r="F1269" s="109"/>
      <c r="G1269" s="22"/>
      <c r="H1269" s="22"/>
    </row>
    <row r="1270" spans="1:8" x14ac:dyDescent="0.2">
      <c r="A1270" s="22"/>
      <c r="B1270" s="107"/>
      <c r="C1270" s="107"/>
      <c r="D1270" s="108"/>
      <c r="E1270" s="22"/>
      <c r="F1270" s="109"/>
      <c r="G1270" s="22"/>
      <c r="H1270" s="22"/>
    </row>
    <row r="1271" spans="1:8" x14ac:dyDescent="0.2">
      <c r="A1271" s="22"/>
      <c r="B1271" s="107"/>
      <c r="C1271" s="107"/>
      <c r="D1271" s="108"/>
      <c r="E1271" s="22"/>
      <c r="F1271" s="109"/>
      <c r="G1271" s="22"/>
      <c r="H1271" s="22"/>
    </row>
    <row r="1272" spans="1:8" x14ac:dyDescent="0.2">
      <c r="A1272" s="22"/>
      <c r="B1272" s="107"/>
      <c r="C1272" s="107"/>
      <c r="D1272" s="108"/>
      <c r="E1272" s="22"/>
      <c r="F1272" s="109"/>
      <c r="G1272" s="22"/>
      <c r="H1272" s="22"/>
    </row>
    <row r="1273" spans="1:8" x14ac:dyDescent="0.2">
      <c r="A1273" s="22"/>
      <c r="B1273" s="107"/>
      <c r="C1273" s="107"/>
      <c r="D1273" s="108"/>
      <c r="E1273" s="22"/>
      <c r="F1273" s="109"/>
      <c r="G1273" s="22"/>
      <c r="H1273" s="22"/>
    </row>
    <row r="1274" spans="1:8" x14ac:dyDescent="0.2">
      <c r="A1274" s="22"/>
      <c r="B1274" s="107"/>
      <c r="C1274" s="107"/>
      <c r="D1274" s="108"/>
      <c r="E1274" s="22"/>
      <c r="F1274" s="109"/>
      <c r="G1274" s="22"/>
      <c r="H1274" s="22"/>
    </row>
    <row r="1275" spans="1:8" x14ac:dyDescent="0.2">
      <c r="A1275" s="22"/>
      <c r="B1275" s="107"/>
      <c r="C1275" s="107"/>
      <c r="D1275" s="108"/>
      <c r="E1275" s="22"/>
      <c r="F1275" s="109"/>
      <c r="G1275" s="22"/>
      <c r="H1275" s="22"/>
    </row>
    <row r="1276" spans="1:8" x14ac:dyDescent="0.2">
      <c r="A1276" s="22"/>
      <c r="B1276" s="107"/>
      <c r="C1276" s="107"/>
      <c r="D1276" s="108"/>
      <c r="E1276" s="22"/>
      <c r="F1276" s="109"/>
      <c r="G1276" s="22"/>
      <c r="H1276" s="22"/>
    </row>
    <row r="1277" spans="1:8" x14ac:dyDescent="0.2">
      <c r="A1277" s="22"/>
      <c r="B1277" s="107"/>
      <c r="C1277" s="107"/>
      <c r="D1277" s="108"/>
      <c r="E1277" s="22"/>
      <c r="F1277" s="109"/>
      <c r="G1277" s="22"/>
      <c r="H1277" s="22"/>
    </row>
    <row r="1278" spans="1:8" x14ac:dyDescent="0.2">
      <c r="A1278" s="22"/>
      <c r="B1278" s="107"/>
      <c r="C1278" s="107"/>
      <c r="D1278" s="108"/>
      <c r="E1278" s="22"/>
      <c r="F1278" s="109"/>
      <c r="G1278" s="22"/>
      <c r="H1278" s="22"/>
    </row>
    <row r="1279" spans="1:8" x14ac:dyDescent="0.2">
      <c r="A1279" s="22"/>
      <c r="B1279" s="107"/>
      <c r="C1279" s="107"/>
      <c r="D1279" s="108"/>
      <c r="E1279" s="22"/>
      <c r="F1279" s="109"/>
      <c r="G1279" s="22"/>
      <c r="H1279" s="22"/>
    </row>
    <row r="1280" spans="1:8" x14ac:dyDescent="0.2">
      <c r="A1280" s="22"/>
      <c r="B1280" s="107"/>
      <c r="C1280" s="107"/>
      <c r="D1280" s="108"/>
      <c r="E1280" s="22"/>
      <c r="F1280" s="109"/>
      <c r="G1280" s="22"/>
      <c r="H1280" s="22"/>
    </row>
    <row r="1281" spans="1:8" x14ac:dyDescent="0.2">
      <c r="A1281" s="22"/>
      <c r="B1281" s="107"/>
      <c r="C1281" s="107"/>
      <c r="D1281" s="108"/>
      <c r="E1281" s="22"/>
      <c r="F1281" s="109"/>
      <c r="G1281" s="22"/>
      <c r="H1281" s="22"/>
    </row>
    <row r="1282" spans="1:8" x14ac:dyDescent="0.2">
      <c r="A1282" s="22"/>
      <c r="B1282" s="107"/>
      <c r="C1282" s="107"/>
      <c r="D1282" s="108"/>
      <c r="E1282" s="22"/>
      <c r="F1282" s="109"/>
      <c r="G1282" s="22"/>
      <c r="H1282" s="22"/>
    </row>
    <row r="1283" spans="1:8" x14ac:dyDescent="0.2">
      <c r="A1283" s="22"/>
      <c r="B1283" s="107"/>
      <c r="C1283" s="107"/>
      <c r="D1283" s="108"/>
      <c r="E1283" s="22"/>
      <c r="F1283" s="109"/>
      <c r="G1283" s="22"/>
      <c r="H1283" s="22"/>
    </row>
    <row r="1284" spans="1:8" x14ac:dyDescent="0.2">
      <c r="A1284" s="22"/>
      <c r="B1284" s="107"/>
      <c r="C1284" s="107"/>
      <c r="D1284" s="108"/>
      <c r="E1284" s="22"/>
      <c r="F1284" s="109"/>
      <c r="G1284" s="22"/>
      <c r="H1284" s="22"/>
    </row>
    <row r="1285" spans="1:8" x14ac:dyDescent="0.2">
      <c r="A1285" s="22"/>
      <c r="B1285" s="107"/>
      <c r="C1285" s="107"/>
      <c r="D1285" s="108"/>
      <c r="E1285" s="22"/>
      <c r="F1285" s="109"/>
      <c r="G1285" s="22"/>
      <c r="H1285" s="22"/>
    </row>
    <row r="1286" spans="1:8" x14ac:dyDescent="0.2">
      <c r="A1286" s="22"/>
      <c r="B1286" s="107"/>
      <c r="C1286" s="107"/>
      <c r="D1286" s="108"/>
      <c r="E1286" s="22"/>
      <c r="F1286" s="109"/>
      <c r="G1286" s="22"/>
      <c r="H1286" s="22"/>
    </row>
    <row r="1287" spans="1:8" x14ac:dyDescent="0.2">
      <c r="A1287" s="22"/>
      <c r="B1287" s="107"/>
      <c r="C1287" s="107"/>
      <c r="D1287" s="108"/>
      <c r="E1287" s="22"/>
      <c r="F1287" s="109"/>
      <c r="G1287" s="22"/>
      <c r="H1287" s="22"/>
    </row>
    <row r="1288" spans="1:8" x14ac:dyDescent="0.2">
      <c r="A1288" s="22"/>
      <c r="B1288" s="107"/>
      <c r="C1288" s="107"/>
      <c r="D1288" s="108"/>
      <c r="E1288" s="22"/>
      <c r="F1288" s="109"/>
      <c r="G1288" s="22"/>
      <c r="H1288" s="22"/>
    </row>
    <row r="1289" spans="1:8" x14ac:dyDescent="0.2">
      <c r="A1289" s="22"/>
      <c r="B1289" s="107"/>
      <c r="C1289" s="107"/>
      <c r="D1289" s="108"/>
      <c r="E1289" s="22"/>
      <c r="F1289" s="109"/>
      <c r="G1289" s="22"/>
      <c r="H1289" s="22"/>
    </row>
    <row r="1290" spans="1:8" x14ac:dyDescent="0.2">
      <c r="A1290" s="22"/>
      <c r="B1290" s="107"/>
      <c r="C1290" s="107"/>
      <c r="D1290" s="108"/>
      <c r="E1290" s="22"/>
      <c r="F1290" s="109"/>
      <c r="G1290" s="22"/>
      <c r="H1290" s="22"/>
    </row>
    <row r="1291" spans="1:8" x14ac:dyDescent="0.2">
      <c r="A1291" s="22"/>
      <c r="B1291" s="107"/>
      <c r="C1291" s="107"/>
      <c r="D1291" s="108"/>
      <c r="E1291" s="22"/>
      <c r="F1291" s="109"/>
      <c r="G1291" s="22"/>
      <c r="H1291" s="22"/>
    </row>
    <row r="1292" spans="1:8" x14ac:dyDescent="0.2">
      <c r="A1292" s="22"/>
      <c r="B1292" s="107"/>
      <c r="C1292" s="107"/>
      <c r="D1292" s="108"/>
      <c r="E1292" s="22"/>
      <c r="F1292" s="109"/>
      <c r="G1292" s="22"/>
      <c r="H1292" s="22"/>
    </row>
    <row r="1293" spans="1:8" x14ac:dyDescent="0.2">
      <c r="A1293" s="22"/>
      <c r="B1293" s="107"/>
      <c r="C1293" s="107"/>
      <c r="D1293" s="108"/>
      <c r="E1293" s="22"/>
      <c r="F1293" s="109"/>
      <c r="G1293" s="22"/>
      <c r="H1293" s="22"/>
    </row>
    <row r="1294" spans="1:8" x14ac:dyDescent="0.2">
      <c r="A1294" s="22"/>
      <c r="B1294" s="107"/>
      <c r="C1294" s="107"/>
      <c r="D1294" s="108"/>
      <c r="E1294" s="22"/>
      <c r="F1294" s="109"/>
      <c r="G1294" s="22"/>
      <c r="H1294" s="22"/>
    </row>
    <row r="1295" spans="1:8" x14ac:dyDescent="0.2">
      <c r="A1295" s="22"/>
      <c r="B1295" s="107"/>
      <c r="C1295" s="107"/>
      <c r="D1295" s="108"/>
      <c r="E1295" s="22"/>
      <c r="F1295" s="109"/>
      <c r="G1295" s="22"/>
      <c r="H1295" s="22"/>
    </row>
    <row r="1296" spans="1:8" x14ac:dyDescent="0.2">
      <c r="A1296" s="22"/>
      <c r="B1296" s="107"/>
      <c r="C1296" s="107"/>
      <c r="D1296" s="108"/>
      <c r="E1296" s="22"/>
      <c r="F1296" s="109"/>
      <c r="G1296" s="22"/>
      <c r="H1296" s="22"/>
    </row>
    <row r="1297" spans="1:8" x14ac:dyDescent="0.2">
      <c r="A1297" s="22"/>
      <c r="B1297" s="107"/>
      <c r="C1297" s="107"/>
      <c r="D1297" s="108"/>
      <c r="E1297" s="22"/>
      <c r="F1297" s="109"/>
      <c r="G1297" s="22"/>
      <c r="H1297" s="22"/>
    </row>
    <row r="1298" spans="1:8" x14ac:dyDescent="0.2">
      <c r="A1298" s="22"/>
      <c r="B1298" s="107"/>
      <c r="C1298" s="107"/>
      <c r="D1298" s="108"/>
      <c r="E1298" s="22"/>
      <c r="F1298" s="109"/>
      <c r="G1298" s="22"/>
      <c r="H1298" s="22"/>
    </row>
    <row r="1299" spans="1:8" x14ac:dyDescent="0.2">
      <c r="A1299" s="22"/>
      <c r="B1299" s="107"/>
      <c r="C1299" s="107"/>
      <c r="D1299" s="108"/>
      <c r="E1299" s="22"/>
      <c r="F1299" s="109"/>
      <c r="G1299" s="22"/>
      <c r="H1299" s="22"/>
    </row>
    <row r="1300" spans="1:8" x14ac:dyDescent="0.2">
      <c r="A1300" s="22"/>
      <c r="B1300" s="107"/>
      <c r="C1300" s="107"/>
      <c r="D1300" s="108"/>
      <c r="E1300" s="22"/>
      <c r="F1300" s="109"/>
      <c r="G1300" s="22"/>
      <c r="H1300" s="22"/>
    </row>
    <row r="1301" spans="1:8" x14ac:dyDescent="0.2">
      <c r="A1301" s="22"/>
      <c r="B1301" s="107"/>
      <c r="C1301" s="107"/>
      <c r="D1301" s="108"/>
      <c r="E1301" s="22"/>
      <c r="F1301" s="109"/>
      <c r="G1301" s="22"/>
      <c r="H1301" s="22"/>
    </row>
    <row r="1302" spans="1:8" x14ac:dyDescent="0.2">
      <c r="A1302" s="22"/>
      <c r="B1302" s="107"/>
      <c r="C1302" s="107"/>
      <c r="D1302" s="108"/>
      <c r="E1302" s="22"/>
      <c r="F1302" s="109"/>
      <c r="G1302" s="22"/>
      <c r="H1302" s="22"/>
    </row>
    <row r="1303" spans="1:8" x14ac:dyDescent="0.2">
      <c r="A1303" s="22"/>
      <c r="B1303" s="107"/>
      <c r="C1303" s="107"/>
      <c r="D1303" s="108"/>
      <c r="E1303" s="22"/>
      <c r="F1303" s="109"/>
      <c r="G1303" s="22"/>
      <c r="H1303" s="22"/>
    </row>
    <row r="1304" spans="1:8" x14ac:dyDescent="0.2">
      <c r="A1304" s="22"/>
      <c r="B1304" s="107"/>
      <c r="C1304" s="107"/>
      <c r="D1304" s="108"/>
      <c r="E1304" s="22"/>
      <c r="F1304" s="109"/>
      <c r="G1304" s="22"/>
      <c r="H1304" s="22"/>
    </row>
    <row r="1305" spans="1:8" x14ac:dyDescent="0.2">
      <c r="A1305" s="22"/>
      <c r="B1305" s="107"/>
      <c r="C1305" s="107"/>
      <c r="D1305" s="108"/>
      <c r="E1305" s="22"/>
      <c r="F1305" s="109"/>
      <c r="G1305" s="22"/>
      <c r="H1305" s="22"/>
    </row>
    <row r="1306" spans="1:8" x14ac:dyDescent="0.2">
      <c r="A1306" s="22"/>
      <c r="B1306" s="107"/>
      <c r="C1306" s="107"/>
      <c r="D1306" s="108"/>
      <c r="E1306" s="22"/>
      <c r="F1306" s="109"/>
      <c r="G1306" s="22"/>
      <c r="H1306" s="22"/>
    </row>
    <row r="1307" spans="1:8" x14ac:dyDescent="0.2">
      <c r="A1307" s="22"/>
      <c r="B1307" s="107"/>
      <c r="C1307" s="107"/>
      <c r="D1307" s="108"/>
      <c r="E1307" s="22"/>
      <c r="F1307" s="109"/>
      <c r="G1307" s="22"/>
      <c r="H1307" s="22"/>
    </row>
    <row r="1308" spans="1:8" x14ac:dyDescent="0.2">
      <c r="A1308" s="22"/>
      <c r="B1308" s="107"/>
      <c r="C1308" s="107"/>
      <c r="D1308" s="108"/>
      <c r="E1308" s="22"/>
      <c r="F1308" s="109"/>
      <c r="G1308" s="22"/>
      <c r="H1308" s="22"/>
    </row>
    <row r="1309" spans="1:8" x14ac:dyDescent="0.2">
      <c r="A1309" s="22"/>
      <c r="B1309" s="107"/>
      <c r="C1309" s="107"/>
      <c r="D1309" s="108"/>
      <c r="E1309" s="22"/>
      <c r="F1309" s="109"/>
      <c r="G1309" s="22"/>
      <c r="H1309" s="22"/>
    </row>
    <row r="1310" spans="1:8" x14ac:dyDescent="0.2">
      <c r="A1310" s="22"/>
      <c r="B1310" s="107"/>
      <c r="C1310" s="107"/>
      <c r="D1310" s="108"/>
      <c r="E1310" s="22"/>
      <c r="F1310" s="109"/>
      <c r="G1310" s="22"/>
      <c r="H1310" s="22"/>
    </row>
    <row r="1311" spans="1:8" x14ac:dyDescent="0.2">
      <c r="A1311" s="22"/>
      <c r="B1311" s="107"/>
      <c r="C1311" s="107"/>
      <c r="D1311" s="108"/>
      <c r="E1311" s="22"/>
      <c r="F1311" s="109"/>
      <c r="G1311" s="22"/>
      <c r="H1311" s="22"/>
    </row>
    <row r="1312" spans="1:8" x14ac:dyDescent="0.2">
      <c r="A1312" s="22"/>
      <c r="B1312" s="107"/>
      <c r="C1312" s="107"/>
      <c r="D1312" s="108"/>
      <c r="E1312" s="22"/>
      <c r="F1312" s="109"/>
      <c r="G1312" s="22"/>
      <c r="H1312" s="22"/>
    </row>
    <row r="1313" spans="1:8" x14ac:dyDescent="0.2">
      <c r="A1313" s="22"/>
      <c r="B1313" s="107"/>
      <c r="C1313" s="107"/>
      <c r="D1313" s="108"/>
      <c r="E1313" s="22"/>
      <c r="F1313" s="109"/>
      <c r="G1313" s="22"/>
      <c r="H1313" s="22"/>
    </row>
    <row r="1314" spans="1:8" x14ac:dyDescent="0.2">
      <c r="A1314" s="22"/>
      <c r="B1314" s="107"/>
      <c r="C1314" s="107"/>
      <c r="D1314" s="108"/>
      <c r="E1314" s="22"/>
      <c r="F1314" s="109"/>
      <c r="G1314" s="22"/>
      <c r="H1314" s="22"/>
    </row>
    <row r="1315" spans="1:8" x14ac:dyDescent="0.2">
      <c r="A1315" s="22"/>
      <c r="B1315" s="107"/>
      <c r="C1315" s="107"/>
      <c r="D1315" s="108"/>
      <c r="E1315" s="22"/>
      <c r="F1315" s="109"/>
      <c r="G1315" s="22"/>
      <c r="H1315" s="22"/>
    </row>
    <row r="1316" spans="1:8" x14ac:dyDescent="0.2">
      <c r="A1316" s="22"/>
      <c r="B1316" s="107"/>
      <c r="C1316" s="107"/>
      <c r="D1316" s="108"/>
      <c r="E1316" s="22"/>
      <c r="F1316" s="109"/>
      <c r="G1316" s="22"/>
      <c r="H1316" s="22"/>
    </row>
    <row r="1317" spans="1:8" x14ac:dyDescent="0.2">
      <c r="A1317" s="22"/>
      <c r="B1317" s="107"/>
      <c r="C1317" s="107"/>
      <c r="D1317" s="108"/>
      <c r="E1317" s="22"/>
      <c r="F1317" s="109"/>
      <c r="G1317" s="22"/>
      <c r="H1317" s="22"/>
    </row>
    <row r="1318" spans="1:8" x14ac:dyDescent="0.2">
      <c r="A1318" s="22"/>
      <c r="B1318" s="107"/>
      <c r="C1318" s="107"/>
      <c r="D1318" s="108"/>
      <c r="E1318" s="22"/>
      <c r="F1318" s="109"/>
      <c r="G1318" s="22"/>
      <c r="H1318" s="22"/>
    </row>
    <row r="1319" spans="1:8" x14ac:dyDescent="0.2">
      <c r="A1319" s="22"/>
      <c r="B1319" s="107"/>
      <c r="C1319" s="107"/>
      <c r="D1319" s="108"/>
      <c r="E1319" s="22"/>
      <c r="F1319" s="109"/>
      <c r="G1319" s="22"/>
      <c r="H1319" s="22"/>
    </row>
    <row r="1320" spans="1:8" x14ac:dyDescent="0.2">
      <c r="A1320" s="22"/>
      <c r="B1320" s="107"/>
      <c r="C1320" s="107"/>
      <c r="D1320" s="108"/>
      <c r="E1320" s="22"/>
      <c r="F1320" s="109"/>
      <c r="G1320" s="22"/>
      <c r="H1320" s="22"/>
    </row>
    <row r="1321" spans="1:8" x14ac:dyDescent="0.2">
      <c r="A1321" s="22"/>
      <c r="B1321" s="107"/>
      <c r="C1321" s="107"/>
      <c r="D1321" s="108"/>
      <c r="E1321" s="22"/>
      <c r="F1321" s="109"/>
      <c r="G1321" s="22"/>
      <c r="H1321" s="22"/>
    </row>
    <row r="1322" spans="1:8" x14ac:dyDescent="0.2">
      <c r="A1322" s="22"/>
      <c r="B1322" s="107"/>
      <c r="C1322" s="107"/>
      <c r="D1322" s="108"/>
      <c r="E1322" s="22"/>
      <c r="F1322" s="109"/>
      <c r="G1322" s="22"/>
      <c r="H1322" s="22"/>
    </row>
    <row r="1323" spans="1:8" x14ac:dyDescent="0.2">
      <c r="A1323" s="22"/>
      <c r="B1323" s="107"/>
      <c r="C1323" s="107"/>
      <c r="D1323" s="108"/>
      <c r="E1323" s="22"/>
      <c r="F1323" s="109"/>
      <c r="G1323" s="22"/>
      <c r="H1323" s="22"/>
    </row>
    <row r="1324" spans="1:8" x14ac:dyDescent="0.2">
      <c r="A1324" s="22"/>
      <c r="B1324" s="107"/>
      <c r="C1324" s="107"/>
      <c r="D1324" s="108"/>
      <c r="E1324" s="22"/>
      <c r="F1324" s="109"/>
      <c r="G1324" s="22"/>
      <c r="H1324" s="22"/>
    </row>
    <row r="1325" spans="1:8" x14ac:dyDescent="0.2">
      <c r="A1325" s="22"/>
      <c r="B1325" s="107"/>
      <c r="C1325" s="107"/>
      <c r="D1325" s="108"/>
      <c r="E1325" s="22"/>
      <c r="F1325" s="109"/>
      <c r="G1325" s="22"/>
      <c r="H1325" s="22"/>
    </row>
    <row r="1326" spans="1:8" x14ac:dyDescent="0.2">
      <c r="A1326" s="22"/>
      <c r="B1326" s="107"/>
      <c r="C1326" s="107"/>
      <c r="D1326" s="108"/>
      <c r="E1326" s="22"/>
      <c r="F1326" s="109"/>
      <c r="G1326" s="22"/>
      <c r="H1326" s="22"/>
    </row>
    <row r="1327" spans="1:8" x14ac:dyDescent="0.2">
      <c r="A1327" s="22"/>
      <c r="B1327" s="107"/>
      <c r="C1327" s="107"/>
      <c r="D1327" s="108"/>
      <c r="E1327" s="22"/>
      <c r="F1327" s="109"/>
      <c r="G1327" s="22"/>
      <c r="H1327" s="22"/>
    </row>
    <row r="1328" spans="1:8" x14ac:dyDescent="0.2">
      <c r="A1328" s="22"/>
      <c r="B1328" s="107"/>
      <c r="C1328" s="107"/>
      <c r="D1328" s="108"/>
      <c r="E1328" s="22"/>
      <c r="F1328" s="109"/>
      <c r="G1328" s="22"/>
      <c r="H1328" s="22"/>
    </row>
    <row r="1329" spans="1:8" x14ac:dyDescent="0.2">
      <c r="A1329" s="22"/>
      <c r="B1329" s="107"/>
      <c r="C1329" s="107"/>
      <c r="D1329" s="108"/>
      <c r="E1329" s="22"/>
      <c r="F1329" s="109"/>
      <c r="G1329" s="22"/>
      <c r="H1329" s="22"/>
    </row>
    <row r="1330" spans="1:8" x14ac:dyDescent="0.2">
      <c r="A1330" s="22"/>
      <c r="B1330" s="107"/>
      <c r="C1330" s="107"/>
      <c r="D1330" s="108"/>
      <c r="E1330" s="22"/>
      <c r="F1330" s="109"/>
      <c r="G1330" s="22"/>
      <c r="H1330" s="22"/>
    </row>
    <row r="1331" spans="1:8" x14ac:dyDescent="0.2">
      <c r="A1331" s="22"/>
      <c r="B1331" s="107"/>
      <c r="C1331" s="107"/>
      <c r="D1331" s="108"/>
      <c r="E1331" s="22"/>
      <c r="F1331" s="109"/>
      <c r="G1331" s="22"/>
      <c r="H1331" s="22"/>
    </row>
    <row r="1332" spans="1:8" x14ac:dyDescent="0.2">
      <c r="A1332" s="22"/>
      <c r="B1332" s="107"/>
      <c r="C1332" s="107"/>
      <c r="D1332" s="108"/>
      <c r="E1332" s="22"/>
      <c r="F1332" s="109"/>
      <c r="G1332" s="22"/>
      <c r="H1332" s="22"/>
    </row>
    <row r="1333" spans="1:8" x14ac:dyDescent="0.2">
      <c r="A1333" s="22"/>
      <c r="B1333" s="107"/>
      <c r="C1333" s="107"/>
      <c r="D1333" s="108"/>
      <c r="E1333" s="22"/>
      <c r="F1333" s="109"/>
      <c r="G1333" s="22"/>
      <c r="H1333" s="22"/>
    </row>
    <row r="1334" spans="1:8" x14ac:dyDescent="0.2">
      <c r="A1334" s="22"/>
      <c r="B1334" s="107"/>
      <c r="C1334" s="107"/>
      <c r="D1334" s="108"/>
      <c r="E1334" s="22"/>
      <c r="F1334" s="109"/>
      <c r="G1334" s="22"/>
      <c r="H1334" s="22"/>
    </row>
    <row r="1335" spans="1:8" x14ac:dyDescent="0.2">
      <c r="A1335" s="22"/>
      <c r="B1335" s="107"/>
      <c r="C1335" s="107"/>
      <c r="D1335" s="108"/>
      <c r="E1335" s="22"/>
      <c r="F1335" s="109"/>
      <c r="G1335" s="22"/>
      <c r="H1335" s="22"/>
    </row>
    <row r="1336" spans="1:8" x14ac:dyDescent="0.2">
      <c r="A1336" s="22"/>
      <c r="B1336" s="107"/>
      <c r="C1336" s="107"/>
      <c r="D1336" s="108"/>
      <c r="E1336" s="22"/>
      <c r="F1336" s="109"/>
      <c r="G1336" s="22"/>
      <c r="H1336" s="22"/>
    </row>
    <row r="1337" spans="1:8" x14ac:dyDescent="0.2">
      <c r="A1337" s="22"/>
      <c r="B1337" s="107"/>
      <c r="C1337" s="107"/>
      <c r="D1337" s="108"/>
      <c r="E1337" s="22"/>
      <c r="F1337" s="109"/>
      <c r="G1337" s="22"/>
      <c r="H1337" s="22"/>
    </row>
    <row r="1338" spans="1:8" x14ac:dyDescent="0.2">
      <c r="A1338" s="22"/>
      <c r="B1338" s="107"/>
      <c r="C1338" s="107"/>
      <c r="D1338" s="108"/>
      <c r="E1338" s="22"/>
      <c r="F1338" s="109"/>
      <c r="G1338" s="22"/>
      <c r="H1338" s="22"/>
    </row>
    <row r="1339" spans="1:8" x14ac:dyDescent="0.2">
      <c r="A1339" s="22"/>
      <c r="B1339" s="107"/>
      <c r="C1339" s="107"/>
      <c r="D1339" s="108"/>
      <c r="E1339" s="22"/>
      <c r="F1339" s="109"/>
      <c r="G1339" s="22"/>
      <c r="H1339" s="22"/>
    </row>
    <row r="1340" spans="1:8" x14ac:dyDescent="0.2">
      <c r="A1340" s="22"/>
      <c r="B1340" s="107"/>
      <c r="C1340" s="107"/>
      <c r="D1340" s="108"/>
      <c r="E1340" s="22"/>
      <c r="F1340" s="109"/>
      <c r="G1340" s="22"/>
      <c r="H1340" s="22"/>
    </row>
    <row r="1341" spans="1:8" x14ac:dyDescent="0.2">
      <c r="A1341" s="22"/>
      <c r="B1341" s="107"/>
      <c r="C1341" s="107"/>
      <c r="D1341" s="108"/>
      <c r="E1341" s="22"/>
      <c r="F1341" s="109"/>
      <c r="G1341" s="22"/>
      <c r="H1341" s="22"/>
    </row>
    <row r="1342" spans="1:8" x14ac:dyDescent="0.2">
      <c r="A1342" s="22"/>
      <c r="B1342" s="107"/>
      <c r="C1342" s="107"/>
      <c r="D1342" s="108"/>
      <c r="E1342" s="22"/>
      <c r="F1342" s="109"/>
      <c r="G1342" s="22"/>
      <c r="H1342" s="22"/>
    </row>
    <row r="1343" spans="1:8" x14ac:dyDescent="0.2">
      <c r="A1343" s="22"/>
      <c r="B1343" s="107"/>
      <c r="C1343" s="107"/>
      <c r="D1343" s="108"/>
      <c r="E1343" s="22"/>
      <c r="F1343" s="109"/>
      <c r="G1343" s="22"/>
      <c r="H1343" s="22"/>
    </row>
    <row r="1344" spans="1:8" x14ac:dyDescent="0.2">
      <c r="A1344" s="22"/>
      <c r="B1344" s="107"/>
      <c r="C1344" s="107"/>
      <c r="D1344" s="108"/>
      <c r="E1344" s="22"/>
      <c r="F1344" s="109"/>
      <c r="G1344" s="22"/>
      <c r="H1344" s="22"/>
    </row>
    <row r="1345" spans="1:8" x14ac:dyDescent="0.2">
      <c r="A1345" s="22"/>
      <c r="B1345" s="107"/>
      <c r="C1345" s="107"/>
      <c r="D1345" s="108"/>
      <c r="E1345" s="22"/>
      <c r="F1345" s="109"/>
      <c r="G1345" s="22"/>
      <c r="H1345" s="22"/>
    </row>
    <row r="1346" spans="1:8" x14ac:dyDescent="0.2">
      <c r="A1346" s="22"/>
      <c r="B1346" s="107"/>
      <c r="C1346" s="107"/>
      <c r="D1346" s="108"/>
      <c r="E1346" s="22"/>
      <c r="F1346" s="109"/>
      <c r="G1346" s="22"/>
      <c r="H1346" s="22"/>
    </row>
    <row r="1347" spans="1:8" x14ac:dyDescent="0.2">
      <c r="A1347" s="22"/>
      <c r="B1347" s="107"/>
      <c r="C1347" s="107"/>
      <c r="D1347" s="108"/>
      <c r="E1347" s="22"/>
      <c r="F1347" s="109"/>
      <c r="G1347" s="22"/>
      <c r="H1347" s="22"/>
    </row>
    <row r="1348" spans="1:8" x14ac:dyDescent="0.2">
      <c r="A1348" s="22"/>
      <c r="B1348" s="107"/>
      <c r="C1348" s="107"/>
      <c r="D1348" s="108"/>
      <c r="E1348" s="22"/>
      <c r="F1348" s="109"/>
      <c r="G1348" s="22"/>
      <c r="H1348" s="22"/>
    </row>
    <row r="1349" spans="1:8" x14ac:dyDescent="0.2">
      <c r="A1349" s="22"/>
      <c r="B1349" s="107"/>
      <c r="C1349" s="107"/>
      <c r="D1349" s="108"/>
      <c r="E1349" s="22"/>
      <c r="F1349" s="109"/>
      <c r="G1349" s="22"/>
      <c r="H1349" s="22"/>
    </row>
    <row r="1350" spans="1:8" x14ac:dyDescent="0.2">
      <c r="A1350" s="22"/>
      <c r="B1350" s="107"/>
      <c r="C1350" s="107"/>
      <c r="D1350" s="108"/>
      <c r="E1350" s="22"/>
      <c r="F1350" s="109"/>
      <c r="G1350" s="22"/>
      <c r="H1350" s="22"/>
    </row>
    <row r="1351" spans="1:8" x14ac:dyDescent="0.2">
      <c r="A1351" s="22"/>
      <c r="B1351" s="107"/>
      <c r="C1351" s="107"/>
      <c r="D1351" s="108"/>
      <c r="E1351" s="22"/>
      <c r="F1351" s="109"/>
      <c r="G1351" s="22"/>
      <c r="H1351" s="22"/>
    </row>
    <row r="1352" spans="1:8" x14ac:dyDescent="0.2">
      <c r="A1352" s="22"/>
      <c r="B1352" s="107"/>
      <c r="C1352" s="107"/>
      <c r="D1352" s="108"/>
      <c r="E1352" s="22"/>
      <c r="F1352" s="109"/>
      <c r="G1352" s="22"/>
      <c r="H1352" s="22"/>
    </row>
    <row r="1353" spans="1:8" x14ac:dyDescent="0.2">
      <c r="A1353" s="22"/>
      <c r="B1353" s="107"/>
      <c r="C1353" s="107"/>
      <c r="D1353" s="108"/>
      <c r="E1353" s="22"/>
      <c r="F1353" s="109"/>
      <c r="G1353" s="22"/>
      <c r="H1353" s="22"/>
    </row>
    <row r="1354" spans="1:8" x14ac:dyDescent="0.2">
      <c r="A1354" s="22"/>
      <c r="B1354" s="107"/>
      <c r="C1354" s="107"/>
      <c r="D1354" s="108"/>
      <c r="E1354" s="22"/>
      <c r="F1354" s="109"/>
      <c r="G1354" s="22"/>
      <c r="H1354" s="22"/>
    </row>
    <row r="1355" spans="1:8" x14ac:dyDescent="0.2">
      <c r="A1355" s="22"/>
      <c r="B1355" s="107"/>
      <c r="C1355" s="107"/>
      <c r="D1355" s="108"/>
      <c r="E1355" s="22"/>
      <c r="F1355" s="109"/>
      <c r="G1355" s="22"/>
      <c r="H1355" s="22"/>
    </row>
    <row r="1356" spans="1:8" x14ac:dyDescent="0.2">
      <c r="A1356" s="22"/>
      <c r="B1356" s="107"/>
      <c r="C1356" s="107"/>
      <c r="D1356" s="108"/>
      <c r="E1356" s="22"/>
      <c r="F1356" s="109"/>
      <c r="G1356" s="22"/>
      <c r="H1356" s="22"/>
    </row>
    <row r="1357" spans="1:8" x14ac:dyDescent="0.2">
      <c r="A1357" s="22"/>
      <c r="B1357" s="107"/>
      <c r="C1357" s="107"/>
      <c r="D1357" s="108"/>
      <c r="E1357" s="22"/>
      <c r="F1357" s="109"/>
      <c r="G1357" s="22"/>
      <c r="H1357" s="22"/>
    </row>
    <row r="1358" spans="1:8" x14ac:dyDescent="0.2">
      <c r="A1358" s="22"/>
      <c r="B1358" s="107"/>
      <c r="C1358" s="107"/>
      <c r="D1358" s="108"/>
      <c r="E1358" s="22"/>
      <c r="F1358" s="109"/>
      <c r="G1358" s="22"/>
      <c r="H1358" s="22"/>
    </row>
    <row r="1359" spans="1:8" x14ac:dyDescent="0.2">
      <c r="A1359" s="22"/>
      <c r="B1359" s="107"/>
      <c r="C1359" s="107"/>
      <c r="D1359" s="108"/>
      <c r="E1359" s="22"/>
      <c r="F1359" s="109"/>
      <c r="G1359" s="22"/>
      <c r="H1359" s="22"/>
    </row>
    <row r="1360" spans="1:8" x14ac:dyDescent="0.2">
      <c r="A1360" s="22"/>
      <c r="B1360" s="107"/>
      <c r="C1360" s="107"/>
      <c r="D1360" s="108"/>
      <c r="E1360" s="22"/>
      <c r="F1360" s="109"/>
      <c r="G1360" s="22"/>
      <c r="H1360" s="22"/>
    </row>
    <row r="1361" spans="1:8" x14ac:dyDescent="0.2">
      <c r="A1361" s="22"/>
      <c r="B1361" s="107"/>
      <c r="C1361" s="107"/>
      <c r="D1361" s="108"/>
      <c r="E1361" s="22"/>
      <c r="F1361" s="109"/>
      <c r="G1361" s="22"/>
      <c r="H1361" s="22"/>
    </row>
    <row r="1362" spans="1:8" x14ac:dyDescent="0.2">
      <c r="A1362" s="22"/>
      <c r="B1362" s="107"/>
      <c r="C1362" s="107"/>
      <c r="D1362" s="108"/>
      <c r="E1362" s="22"/>
      <c r="F1362" s="109"/>
      <c r="G1362" s="22"/>
      <c r="H1362" s="22"/>
    </row>
    <row r="1363" spans="1:8" x14ac:dyDescent="0.2">
      <c r="A1363" s="22"/>
      <c r="B1363" s="107"/>
      <c r="C1363" s="107"/>
      <c r="D1363" s="108"/>
      <c r="E1363" s="22"/>
      <c r="F1363" s="109"/>
      <c r="G1363" s="22"/>
      <c r="H1363" s="22"/>
    </row>
    <row r="1364" spans="1:8" x14ac:dyDescent="0.2">
      <c r="A1364" s="22"/>
      <c r="B1364" s="107"/>
      <c r="C1364" s="107"/>
      <c r="D1364" s="108"/>
      <c r="E1364" s="22"/>
      <c r="F1364" s="109"/>
      <c r="G1364" s="22"/>
      <c r="H1364" s="22"/>
    </row>
    <row r="1365" spans="1:8" x14ac:dyDescent="0.2">
      <c r="A1365" s="22"/>
      <c r="B1365" s="107"/>
      <c r="C1365" s="107"/>
      <c r="D1365" s="108"/>
      <c r="E1365" s="22"/>
      <c r="F1365" s="109"/>
      <c r="G1365" s="22"/>
      <c r="H1365" s="22"/>
    </row>
    <row r="1366" spans="1:8" x14ac:dyDescent="0.2">
      <c r="A1366" s="22"/>
      <c r="B1366" s="107"/>
      <c r="C1366" s="107"/>
      <c r="D1366" s="108"/>
      <c r="E1366" s="22"/>
      <c r="F1366" s="109"/>
      <c r="G1366" s="22"/>
      <c r="H1366" s="22"/>
    </row>
    <row r="1367" spans="1:8" x14ac:dyDescent="0.2">
      <c r="A1367" s="22"/>
      <c r="B1367" s="107"/>
      <c r="C1367" s="107"/>
      <c r="D1367" s="108"/>
      <c r="E1367" s="22"/>
      <c r="F1367" s="109"/>
      <c r="G1367" s="22"/>
      <c r="H1367" s="22"/>
    </row>
    <row r="1368" spans="1:8" x14ac:dyDescent="0.2">
      <c r="A1368" s="22"/>
      <c r="B1368" s="107"/>
      <c r="C1368" s="107"/>
      <c r="D1368" s="108"/>
      <c r="E1368" s="22"/>
      <c r="F1368" s="109"/>
      <c r="G1368" s="22"/>
      <c r="H1368" s="22"/>
    </row>
    <row r="1369" spans="1:8" x14ac:dyDescent="0.2">
      <c r="A1369" s="22"/>
      <c r="B1369" s="107"/>
      <c r="C1369" s="107"/>
      <c r="D1369" s="108"/>
      <c r="E1369" s="22"/>
      <c r="F1369" s="109"/>
      <c r="G1369" s="22"/>
      <c r="H1369" s="22"/>
    </row>
    <row r="1370" spans="1:8" x14ac:dyDescent="0.2">
      <c r="A1370" s="22"/>
      <c r="B1370" s="107"/>
      <c r="C1370" s="107"/>
      <c r="D1370" s="108"/>
      <c r="E1370" s="22"/>
      <c r="F1370" s="109"/>
      <c r="G1370" s="22"/>
      <c r="H1370" s="22"/>
    </row>
    <row r="1371" spans="1:8" x14ac:dyDescent="0.2">
      <c r="A1371" s="22"/>
      <c r="B1371" s="107"/>
      <c r="C1371" s="107"/>
      <c r="D1371" s="108"/>
      <c r="E1371" s="22"/>
      <c r="F1371" s="109"/>
      <c r="G1371" s="22"/>
      <c r="H1371" s="22"/>
    </row>
    <row r="1372" spans="1:8" x14ac:dyDescent="0.2">
      <c r="A1372" s="22"/>
      <c r="B1372" s="107"/>
      <c r="C1372" s="107"/>
      <c r="D1372" s="108"/>
      <c r="E1372" s="22"/>
      <c r="F1372" s="109"/>
      <c r="G1372" s="22"/>
      <c r="H1372" s="22"/>
    </row>
    <row r="1373" spans="1:8" x14ac:dyDescent="0.2">
      <c r="A1373" s="22"/>
      <c r="B1373" s="107"/>
      <c r="C1373" s="107"/>
      <c r="D1373" s="108"/>
      <c r="E1373" s="22"/>
      <c r="F1373" s="109"/>
      <c r="G1373" s="22"/>
      <c r="H1373" s="22"/>
    </row>
    <row r="1374" spans="1:8" x14ac:dyDescent="0.2">
      <c r="A1374" s="22"/>
      <c r="B1374" s="107"/>
      <c r="C1374" s="107"/>
      <c r="D1374" s="108"/>
      <c r="E1374" s="22"/>
      <c r="F1374" s="109"/>
      <c r="G1374" s="22"/>
      <c r="H1374" s="22"/>
    </row>
    <row r="1375" spans="1:8" x14ac:dyDescent="0.2">
      <c r="A1375" s="22"/>
      <c r="B1375" s="107"/>
      <c r="C1375" s="107"/>
      <c r="D1375" s="108"/>
      <c r="E1375" s="22"/>
      <c r="F1375" s="109"/>
      <c r="G1375" s="22"/>
      <c r="H1375" s="22"/>
    </row>
    <row r="1376" spans="1:8" x14ac:dyDescent="0.2">
      <c r="A1376" s="22"/>
      <c r="B1376" s="107"/>
      <c r="C1376" s="107"/>
      <c r="D1376" s="108"/>
      <c r="E1376" s="22"/>
      <c r="F1376" s="109"/>
      <c r="G1376" s="22"/>
      <c r="H1376" s="22"/>
    </row>
    <row r="1377" spans="1:8" x14ac:dyDescent="0.2">
      <c r="A1377" s="22"/>
      <c r="B1377" s="107"/>
      <c r="C1377" s="107"/>
      <c r="D1377" s="108"/>
      <c r="E1377" s="22"/>
      <c r="F1377" s="109"/>
      <c r="G1377" s="22"/>
      <c r="H1377" s="22"/>
    </row>
    <row r="1378" spans="1:8" x14ac:dyDescent="0.2">
      <c r="A1378" s="22"/>
      <c r="B1378" s="107"/>
      <c r="C1378" s="107"/>
      <c r="D1378" s="108"/>
      <c r="E1378" s="22"/>
      <c r="F1378" s="109"/>
      <c r="G1378" s="22"/>
      <c r="H1378" s="22"/>
    </row>
    <row r="1379" spans="1:8" x14ac:dyDescent="0.2">
      <c r="A1379" s="22"/>
      <c r="B1379" s="107"/>
      <c r="C1379" s="107"/>
      <c r="D1379" s="108"/>
      <c r="E1379" s="22"/>
      <c r="F1379" s="109"/>
      <c r="G1379" s="22"/>
      <c r="H1379" s="22"/>
    </row>
    <row r="1380" spans="1:8" x14ac:dyDescent="0.2">
      <c r="A1380" s="22"/>
      <c r="B1380" s="107"/>
      <c r="C1380" s="107"/>
      <c r="D1380" s="108"/>
      <c r="E1380" s="22"/>
      <c r="F1380" s="109"/>
      <c r="G1380" s="22"/>
      <c r="H1380" s="22"/>
    </row>
    <row r="1381" spans="1:8" x14ac:dyDescent="0.2">
      <c r="A1381" s="22"/>
      <c r="B1381" s="107"/>
      <c r="C1381" s="107"/>
      <c r="D1381" s="108"/>
      <c r="E1381" s="22"/>
      <c r="F1381" s="109"/>
      <c r="G1381" s="22"/>
      <c r="H1381" s="22"/>
    </row>
    <row r="1382" spans="1:8" x14ac:dyDescent="0.2">
      <c r="A1382" s="22"/>
      <c r="B1382" s="107"/>
      <c r="C1382" s="107"/>
      <c r="D1382" s="108"/>
      <c r="E1382" s="22"/>
      <c r="F1382" s="109"/>
      <c r="G1382" s="22"/>
      <c r="H1382" s="22"/>
    </row>
    <row r="1383" spans="1:8" x14ac:dyDescent="0.2">
      <c r="A1383" s="22"/>
      <c r="B1383" s="107"/>
      <c r="C1383" s="107"/>
      <c r="D1383" s="108"/>
      <c r="E1383" s="22"/>
      <c r="F1383" s="109"/>
      <c r="G1383" s="22"/>
      <c r="H1383" s="22"/>
    </row>
    <row r="1384" spans="1:8" x14ac:dyDescent="0.2">
      <c r="A1384" s="22"/>
      <c r="B1384" s="107"/>
      <c r="C1384" s="107"/>
      <c r="D1384" s="108"/>
      <c r="E1384" s="22"/>
      <c r="F1384" s="109"/>
      <c r="G1384" s="22"/>
      <c r="H1384" s="22"/>
    </row>
    <row r="1385" spans="1:8" x14ac:dyDescent="0.2">
      <c r="A1385" s="22"/>
      <c r="B1385" s="107"/>
      <c r="C1385" s="107"/>
      <c r="D1385" s="108"/>
      <c r="E1385" s="22"/>
      <c r="F1385" s="109"/>
      <c r="G1385" s="22"/>
      <c r="H1385" s="22"/>
    </row>
    <row r="1386" spans="1:8" x14ac:dyDescent="0.2">
      <c r="A1386" s="22"/>
      <c r="B1386" s="107"/>
      <c r="C1386" s="107"/>
      <c r="D1386" s="108"/>
      <c r="E1386" s="22"/>
      <c r="F1386" s="109"/>
      <c r="G1386" s="22"/>
      <c r="H1386" s="22"/>
    </row>
    <row r="1387" spans="1:8" x14ac:dyDescent="0.2">
      <c r="A1387" s="22"/>
      <c r="B1387" s="107"/>
      <c r="C1387" s="107"/>
      <c r="D1387" s="108"/>
      <c r="E1387" s="22"/>
      <c r="F1387" s="109"/>
      <c r="G1387" s="22"/>
      <c r="H1387" s="22"/>
    </row>
    <row r="1388" spans="1:8" x14ac:dyDescent="0.2">
      <c r="A1388" s="22"/>
      <c r="B1388" s="107"/>
      <c r="C1388" s="107"/>
      <c r="D1388" s="108"/>
      <c r="E1388" s="22"/>
      <c r="F1388" s="109"/>
      <c r="G1388" s="22"/>
      <c r="H1388" s="22"/>
    </row>
    <row r="1389" spans="1:8" x14ac:dyDescent="0.2">
      <c r="A1389" s="22"/>
      <c r="B1389" s="107"/>
      <c r="C1389" s="107"/>
      <c r="D1389" s="108"/>
      <c r="E1389" s="22"/>
      <c r="F1389" s="109"/>
      <c r="G1389" s="22"/>
      <c r="H1389" s="22"/>
    </row>
    <row r="1390" spans="1:8" x14ac:dyDescent="0.2">
      <c r="A1390" s="22"/>
      <c r="B1390" s="107"/>
      <c r="C1390" s="107"/>
      <c r="D1390" s="108"/>
      <c r="E1390" s="22"/>
      <c r="F1390" s="109"/>
      <c r="G1390" s="22"/>
      <c r="H1390" s="22"/>
    </row>
    <row r="1391" spans="1:8" x14ac:dyDescent="0.2">
      <c r="A1391" s="22"/>
      <c r="B1391" s="107"/>
      <c r="C1391" s="107"/>
      <c r="D1391" s="108"/>
      <c r="E1391" s="22"/>
      <c r="F1391" s="109"/>
      <c r="G1391" s="22"/>
      <c r="H1391" s="22"/>
    </row>
    <row r="1392" spans="1:8" x14ac:dyDescent="0.2">
      <c r="A1392" s="22"/>
      <c r="B1392" s="107"/>
      <c r="C1392" s="107"/>
      <c r="D1392" s="108"/>
      <c r="E1392" s="22"/>
      <c r="F1392" s="109"/>
      <c r="G1392" s="22"/>
      <c r="H1392" s="22"/>
    </row>
    <row r="1393" spans="1:8" x14ac:dyDescent="0.2">
      <c r="A1393" s="22"/>
      <c r="B1393" s="107"/>
      <c r="C1393" s="107"/>
      <c r="D1393" s="108"/>
      <c r="E1393" s="22"/>
      <c r="F1393" s="109"/>
      <c r="G1393" s="22"/>
      <c r="H1393" s="22"/>
    </row>
    <row r="1394" spans="1:8" x14ac:dyDescent="0.2">
      <c r="A1394" s="22"/>
      <c r="B1394" s="107"/>
      <c r="C1394" s="107"/>
      <c r="D1394" s="108"/>
      <c r="E1394" s="22"/>
      <c r="F1394" s="109"/>
      <c r="G1394" s="22"/>
      <c r="H1394" s="22"/>
    </row>
    <row r="1395" spans="1:8" x14ac:dyDescent="0.2">
      <c r="A1395" s="22"/>
      <c r="B1395" s="107"/>
      <c r="C1395" s="107"/>
      <c r="D1395" s="108"/>
      <c r="E1395" s="22"/>
      <c r="F1395" s="109"/>
      <c r="G1395" s="22"/>
      <c r="H1395" s="22"/>
    </row>
    <row r="1396" spans="1:8" x14ac:dyDescent="0.2">
      <c r="A1396" s="22"/>
      <c r="B1396" s="107"/>
      <c r="C1396" s="107"/>
      <c r="D1396" s="108"/>
      <c r="E1396" s="22"/>
      <c r="F1396" s="109"/>
      <c r="G1396" s="22"/>
      <c r="H1396" s="22"/>
    </row>
    <row r="1397" spans="1:8" x14ac:dyDescent="0.2">
      <c r="A1397" s="22"/>
      <c r="B1397" s="107"/>
      <c r="C1397" s="107"/>
      <c r="D1397" s="108"/>
      <c r="E1397" s="22"/>
      <c r="F1397" s="109"/>
      <c r="G1397" s="22"/>
      <c r="H1397" s="22"/>
    </row>
    <row r="1398" spans="1:8" x14ac:dyDescent="0.2">
      <c r="A1398" s="22"/>
      <c r="B1398" s="107"/>
      <c r="C1398" s="107"/>
      <c r="D1398" s="108"/>
      <c r="E1398" s="22"/>
      <c r="F1398" s="109"/>
      <c r="G1398" s="22"/>
      <c r="H1398" s="22"/>
    </row>
    <row r="1399" spans="1:8" x14ac:dyDescent="0.2">
      <c r="A1399" s="22"/>
      <c r="B1399" s="107"/>
      <c r="C1399" s="107"/>
      <c r="D1399" s="108"/>
      <c r="E1399" s="22"/>
      <c r="F1399" s="109"/>
      <c r="G1399" s="22"/>
      <c r="H1399" s="22"/>
    </row>
    <row r="1400" spans="1:8" x14ac:dyDescent="0.2">
      <c r="A1400" s="22"/>
      <c r="B1400" s="107"/>
      <c r="C1400" s="107"/>
      <c r="D1400" s="108"/>
      <c r="E1400" s="22"/>
      <c r="F1400" s="109"/>
      <c r="G1400" s="22"/>
      <c r="H1400" s="22"/>
    </row>
    <row r="1401" spans="1:8" x14ac:dyDescent="0.2">
      <c r="A1401" s="22"/>
      <c r="B1401" s="107"/>
      <c r="C1401" s="107"/>
      <c r="D1401" s="108"/>
      <c r="E1401" s="22"/>
      <c r="F1401" s="109"/>
      <c r="G1401" s="22"/>
      <c r="H1401" s="22"/>
    </row>
    <row r="1402" spans="1:8" x14ac:dyDescent="0.2">
      <c r="A1402" s="22"/>
      <c r="B1402" s="107"/>
      <c r="C1402" s="107"/>
      <c r="D1402" s="108"/>
      <c r="E1402" s="22"/>
      <c r="F1402" s="109"/>
      <c r="G1402" s="22"/>
      <c r="H1402" s="22"/>
    </row>
    <row r="1403" spans="1:8" x14ac:dyDescent="0.2">
      <c r="A1403" s="22"/>
      <c r="B1403" s="107"/>
      <c r="C1403" s="107"/>
      <c r="D1403" s="108"/>
      <c r="E1403" s="22"/>
      <c r="F1403" s="109"/>
      <c r="G1403" s="22"/>
      <c r="H1403" s="22"/>
    </row>
    <row r="1404" spans="1:8" x14ac:dyDescent="0.2">
      <c r="A1404" s="22"/>
      <c r="B1404" s="107"/>
      <c r="C1404" s="107"/>
      <c r="D1404" s="108"/>
      <c r="E1404" s="22"/>
      <c r="F1404" s="109"/>
      <c r="G1404" s="22"/>
      <c r="H1404" s="22"/>
    </row>
    <row r="1405" spans="1:8" x14ac:dyDescent="0.2">
      <c r="A1405" s="22"/>
      <c r="B1405" s="107"/>
      <c r="C1405" s="107"/>
      <c r="D1405" s="108"/>
      <c r="E1405" s="22"/>
      <c r="F1405" s="109"/>
      <c r="G1405" s="22"/>
      <c r="H1405" s="22"/>
    </row>
    <row r="1406" spans="1:8" x14ac:dyDescent="0.2">
      <c r="A1406" s="22"/>
      <c r="B1406" s="107"/>
      <c r="C1406" s="107"/>
      <c r="D1406" s="108"/>
      <c r="E1406" s="22"/>
      <c r="F1406" s="109"/>
      <c r="G1406" s="22"/>
      <c r="H1406" s="22"/>
    </row>
    <row r="1407" spans="1:8" x14ac:dyDescent="0.2">
      <c r="A1407" s="22"/>
      <c r="B1407" s="107"/>
      <c r="C1407" s="107"/>
      <c r="D1407" s="108"/>
      <c r="E1407" s="22"/>
      <c r="F1407" s="109"/>
      <c r="G1407" s="22"/>
      <c r="H1407" s="22"/>
    </row>
    <row r="1408" spans="1:8" x14ac:dyDescent="0.2">
      <c r="A1408" s="22"/>
      <c r="B1408" s="107"/>
      <c r="C1408" s="107"/>
      <c r="D1408" s="108"/>
      <c r="E1408" s="22"/>
      <c r="F1408" s="109"/>
      <c r="G1408" s="22"/>
      <c r="H1408" s="22"/>
    </row>
    <row r="1409" spans="1:8" x14ac:dyDescent="0.2">
      <c r="A1409" s="22"/>
      <c r="B1409" s="107"/>
      <c r="C1409" s="107"/>
      <c r="D1409" s="108"/>
      <c r="E1409" s="22"/>
      <c r="F1409" s="109"/>
      <c r="G1409" s="22"/>
      <c r="H1409" s="22"/>
    </row>
    <row r="1410" spans="1:8" x14ac:dyDescent="0.2">
      <c r="A1410" s="22"/>
      <c r="B1410" s="107"/>
      <c r="C1410" s="107"/>
      <c r="D1410" s="108"/>
      <c r="E1410" s="22"/>
      <c r="F1410" s="109"/>
      <c r="G1410" s="22"/>
      <c r="H1410" s="22"/>
    </row>
    <row r="1411" spans="1:8" x14ac:dyDescent="0.2">
      <c r="A1411" s="22"/>
      <c r="B1411" s="107"/>
      <c r="C1411" s="107"/>
      <c r="D1411" s="108"/>
      <c r="E1411" s="22"/>
      <c r="F1411" s="109"/>
      <c r="G1411" s="22"/>
      <c r="H1411" s="22"/>
    </row>
    <row r="1412" spans="1:8" x14ac:dyDescent="0.2">
      <c r="A1412" s="22"/>
      <c r="B1412" s="107"/>
      <c r="C1412" s="107"/>
      <c r="D1412" s="108"/>
      <c r="E1412" s="22"/>
      <c r="F1412" s="109"/>
      <c r="G1412" s="22"/>
      <c r="H1412" s="22"/>
    </row>
    <row r="1413" spans="1:8" x14ac:dyDescent="0.2">
      <c r="A1413" s="22"/>
      <c r="B1413" s="107"/>
      <c r="C1413" s="107"/>
      <c r="D1413" s="108"/>
      <c r="E1413" s="22"/>
      <c r="F1413" s="109"/>
      <c r="G1413" s="22"/>
      <c r="H1413" s="22"/>
    </row>
    <row r="1414" spans="1:8" x14ac:dyDescent="0.2">
      <c r="A1414" s="22"/>
      <c r="B1414" s="107"/>
      <c r="C1414" s="107"/>
      <c r="D1414" s="108"/>
      <c r="E1414" s="22"/>
      <c r="F1414" s="109"/>
      <c r="G1414" s="22"/>
      <c r="H1414" s="22"/>
    </row>
    <row r="1415" spans="1:8" x14ac:dyDescent="0.2">
      <c r="A1415" s="22"/>
      <c r="B1415" s="107"/>
      <c r="C1415" s="107"/>
      <c r="D1415" s="108"/>
      <c r="E1415" s="22"/>
      <c r="F1415" s="109"/>
      <c r="G1415" s="22"/>
      <c r="H1415" s="22"/>
    </row>
    <row r="1416" spans="1:8" x14ac:dyDescent="0.2">
      <c r="A1416" s="22"/>
      <c r="B1416" s="107"/>
      <c r="C1416" s="107"/>
      <c r="D1416" s="108"/>
      <c r="E1416" s="22"/>
      <c r="F1416" s="109"/>
      <c r="G1416" s="22"/>
      <c r="H1416" s="22"/>
    </row>
    <row r="1417" spans="1:8" x14ac:dyDescent="0.2">
      <c r="A1417" s="22"/>
      <c r="B1417" s="107"/>
      <c r="C1417" s="107"/>
      <c r="D1417" s="108"/>
      <c r="E1417" s="22"/>
      <c r="F1417" s="109"/>
      <c r="G1417" s="22"/>
      <c r="H1417" s="22"/>
    </row>
    <row r="1418" spans="1:8" x14ac:dyDescent="0.2">
      <c r="A1418" s="22"/>
      <c r="B1418" s="107"/>
      <c r="C1418" s="107"/>
      <c r="D1418" s="108"/>
      <c r="E1418" s="22"/>
      <c r="F1418" s="109"/>
      <c r="G1418" s="22"/>
      <c r="H1418" s="22"/>
    </row>
    <row r="1419" spans="1:8" x14ac:dyDescent="0.2">
      <c r="A1419" s="22"/>
      <c r="B1419" s="107"/>
      <c r="C1419" s="107"/>
      <c r="D1419" s="108"/>
      <c r="E1419" s="22"/>
      <c r="F1419" s="109"/>
      <c r="G1419" s="22"/>
      <c r="H1419" s="22"/>
    </row>
    <row r="1420" spans="1:8" x14ac:dyDescent="0.2">
      <c r="A1420" s="22"/>
      <c r="B1420" s="107"/>
      <c r="C1420" s="107"/>
      <c r="D1420" s="108"/>
      <c r="E1420" s="22"/>
      <c r="F1420" s="109"/>
      <c r="G1420" s="22"/>
      <c r="H1420" s="22"/>
    </row>
    <row r="1421" spans="1:8" x14ac:dyDescent="0.2">
      <c r="A1421" s="22"/>
      <c r="B1421" s="107"/>
      <c r="C1421" s="107"/>
      <c r="D1421" s="108"/>
      <c r="E1421" s="22"/>
      <c r="F1421" s="109"/>
      <c r="G1421" s="22"/>
      <c r="H1421" s="22"/>
    </row>
    <row r="1422" spans="1:8" x14ac:dyDescent="0.2">
      <c r="A1422" s="22"/>
      <c r="B1422" s="107"/>
      <c r="C1422" s="107"/>
      <c r="D1422" s="108"/>
      <c r="E1422" s="22"/>
      <c r="F1422" s="109"/>
      <c r="G1422" s="22"/>
      <c r="H1422" s="22"/>
    </row>
    <row r="1423" spans="1:8" x14ac:dyDescent="0.2">
      <c r="A1423" s="22"/>
      <c r="B1423" s="107"/>
      <c r="C1423" s="107"/>
      <c r="D1423" s="108"/>
      <c r="E1423" s="22"/>
      <c r="F1423" s="109"/>
      <c r="G1423" s="22"/>
      <c r="H1423" s="22"/>
    </row>
    <row r="1424" spans="1:8" x14ac:dyDescent="0.2">
      <c r="A1424" s="22"/>
      <c r="B1424" s="107"/>
      <c r="C1424" s="107"/>
      <c r="D1424" s="108"/>
      <c r="E1424" s="22"/>
      <c r="F1424" s="109"/>
      <c r="G1424" s="22"/>
      <c r="H1424" s="22"/>
    </row>
    <row r="1425" spans="1:8" x14ac:dyDescent="0.2">
      <c r="A1425" s="22"/>
      <c r="B1425" s="107"/>
      <c r="C1425" s="107"/>
      <c r="D1425" s="108"/>
      <c r="E1425" s="22"/>
      <c r="F1425" s="109"/>
      <c r="G1425" s="22"/>
      <c r="H1425" s="22"/>
    </row>
    <row r="1426" spans="1:8" x14ac:dyDescent="0.2">
      <c r="A1426" s="22"/>
      <c r="B1426" s="107"/>
      <c r="C1426" s="107"/>
      <c r="D1426" s="108"/>
      <c r="E1426" s="22"/>
      <c r="F1426" s="109"/>
      <c r="G1426" s="22"/>
      <c r="H1426" s="22"/>
    </row>
    <row r="1427" spans="1:8" x14ac:dyDescent="0.2">
      <c r="A1427" s="22"/>
      <c r="B1427" s="107"/>
      <c r="C1427" s="107"/>
      <c r="D1427" s="108"/>
      <c r="E1427" s="22"/>
      <c r="F1427" s="109"/>
      <c r="G1427" s="22"/>
      <c r="H1427" s="22"/>
    </row>
    <row r="1428" spans="1:8" x14ac:dyDescent="0.2">
      <c r="A1428" s="22"/>
      <c r="B1428" s="107"/>
      <c r="C1428" s="107"/>
      <c r="D1428" s="108"/>
      <c r="E1428" s="22"/>
      <c r="F1428" s="109"/>
      <c r="G1428" s="22"/>
      <c r="H1428" s="22"/>
    </row>
    <row r="1429" spans="1:8" x14ac:dyDescent="0.2">
      <c r="A1429" s="22"/>
      <c r="B1429" s="107"/>
      <c r="C1429" s="107"/>
      <c r="D1429" s="108"/>
      <c r="E1429" s="22"/>
      <c r="F1429" s="109"/>
      <c r="G1429" s="22"/>
      <c r="H1429" s="22"/>
    </row>
    <row r="1430" spans="1:8" x14ac:dyDescent="0.2">
      <c r="A1430" s="22"/>
      <c r="B1430" s="107"/>
      <c r="C1430" s="107"/>
      <c r="D1430" s="108"/>
      <c r="E1430" s="22"/>
      <c r="F1430" s="109"/>
      <c r="G1430" s="22"/>
      <c r="H1430" s="22"/>
    </row>
    <row r="1431" spans="1:8" x14ac:dyDescent="0.2">
      <c r="A1431" s="22"/>
      <c r="B1431" s="107"/>
      <c r="C1431" s="107"/>
      <c r="D1431" s="108"/>
      <c r="E1431" s="22"/>
      <c r="F1431" s="109"/>
      <c r="G1431" s="22"/>
      <c r="H1431" s="22"/>
    </row>
    <row r="1432" spans="1:8" x14ac:dyDescent="0.2">
      <c r="A1432" s="22"/>
      <c r="B1432" s="107"/>
      <c r="C1432" s="107"/>
      <c r="D1432" s="108"/>
      <c r="E1432" s="22"/>
      <c r="F1432" s="109"/>
      <c r="G1432" s="22"/>
      <c r="H1432" s="22"/>
    </row>
    <row r="1433" spans="1:8" x14ac:dyDescent="0.2">
      <c r="A1433" s="22"/>
      <c r="B1433" s="107"/>
      <c r="C1433" s="107"/>
      <c r="D1433" s="108"/>
      <c r="E1433" s="22"/>
      <c r="F1433" s="109"/>
      <c r="G1433" s="22"/>
      <c r="H1433" s="22"/>
    </row>
    <row r="1434" spans="1:8" x14ac:dyDescent="0.2">
      <c r="A1434" s="22"/>
      <c r="B1434" s="107"/>
      <c r="C1434" s="107"/>
      <c r="D1434" s="108"/>
      <c r="E1434" s="22"/>
      <c r="F1434" s="109"/>
      <c r="G1434" s="22"/>
      <c r="H1434" s="22"/>
    </row>
    <row r="1435" spans="1:8" x14ac:dyDescent="0.2">
      <c r="A1435" s="22"/>
      <c r="B1435" s="107"/>
      <c r="C1435" s="107"/>
      <c r="D1435" s="108"/>
      <c r="E1435" s="22"/>
      <c r="F1435" s="109"/>
      <c r="G1435" s="22"/>
      <c r="H1435" s="22"/>
    </row>
    <row r="1436" spans="1:8" x14ac:dyDescent="0.2">
      <c r="A1436" s="22"/>
      <c r="B1436" s="107"/>
      <c r="C1436" s="107"/>
      <c r="D1436" s="108"/>
      <c r="E1436" s="22"/>
      <c r="F1436" s="109"/>
      <c r="G1436" s="22"/>
      <c r="H1436" s="22"/>
    </row>
    <row r="1437" spans="1:8" x14ac:dyDescent="0.2">
      <c r="A1437" s="22"/>
      <c r="B1437" s="107"/>
      <c r="C1437" s="107"/>
      <c r="D1437" s="108"/>
      <c r="E1437" s="22"/>
      <c r="F1437" s="109"/>
      <c r="G1437" s="22"/>
      <c r="H1437" s="22"/>
    </row>
    <row r="1438" spans="1:8" x14ac:dyDescent="0.2">
      <c r="A1438" s="22"/>
      <c r="B1438" s="107"/>
      <c r="C1438" s="107"/>
      <c r="D1438" s="108"/>
      <c r="E1438" s="22"/>
      <c r="F1438" s="109"/>
      <c r="G1438" s="22"/>
      <c r="H1438" s="22"/>
    </row>
    <row r="1439" spans="1:8" x14ac:dyDescent="0.2">
      <c r="A1439" s="22"/>
      <c r="B1439" s="107"/>
      <c r="C1439" s="107"/>
      <c r="D1439" s="108"/>
      <c r="E1439" s="22"/>
      <c r="F1439" s="109"/>
      <c r="G1439" s="22"/>
      <c r="H1439" s="22"/>
    </row>
    <row r="1440" spans="1:8" x14ac:dyDescent="0.2">
      <c r="A1440" s="22"/>
      <c r="B1440" s="107"/>
      <c r="C1440" s="107"/>
      <c r="D1440" s="108"/>
      <c r="E1440" s="22"/>
      <c r="F1440" s="109"/>
      <c r="G1440" s="22"/>
      <c r="H1440" s="22"/>
    </row>
    <row r="1441" spans="1:8" x14ac:dyDescent="0.2">
      <c r="A1441" s="22"/>
      <c r="B1441" s="107"/>
      <c r="C1441" s="107"/>
      <c r="D1441" s="108"/>
      <c r="E1441" s="22"/>
      <c r="F1441" s="109"/>
      <c r="G1441" s="22"/>
      <c r="H1441" s="22"/>
    </row>
    <row r="1442" spans="1:8" x14ac:dyDescent="0.2">
      <c r="A1442" s="22"/>
      <c r="B1442" s="107"/>
      <c r="C1442" s="107"/>
      <c r="D1442" s="108"/>
      <c r="E1442" s="22"/>
      <c r="F1442" s="109"/>
      <c r="G1442" s="22"/>
      <c r="H1442" s="22"/>
    </row>
    <row r="1443" spans="1:8" x14ac:dyDescent="0.2">
      <c r="A1443" s="22"/>
      <c r="B1443" s="107"/>
      <c r="C1443" s="107"/>
      <c r="D1443" s="108"/>
      <c r="E1443" s="22"/>
      <c r="F1443" s="109"/>
      <c r="G1443" s="22"/>
      <c r="H1443" s="22"/>
    </row>
    <row r="1444" spans="1:8" x14ac:dyDescent="0.2">
      <c r="A1444" s="22"/>
      <c r="B1444" s="107"/>
      <c r="C1444" s="107"/>
      <c r="D1444" s="108"/>
      <c r="E1444" s="22"/>
      <c r="F1444" s="109"/>
      <c r="G1444" s="22"/>
      <c r="H1444" s="22"/>
    </row>
    <row r="1445" spans="1:8" x14ac:dyDescent="0.2">
      <c r="A1445" s="22"/>
      <c r="B1445" s="107"/>
      <c r="C1445" s="107"/>
      <c r="D1445" s="108"/>
      <c r="E1445" s="22"/>
      <c r="F1445" s="109"/>
      <c r="G1445" s="22"/>
      <c r="H1445" s="22"/>
    </row>
    <row r="1446" spans="1:8" x14ac:dyDescent="0.2">
      <c r="A1446" s="22"/>
      <c r="B1446" s="107"/>
      <c r="C1446" s="107"/>
      <c r="D1446" s="108"/>
      <c r="E1446" s="22"/>
      <c r="F1446" s="109"/>
      <c r="G1446" s="22"/>
      <c r="H1446" s="22"/>
    </row>
    <row r="1447" spans="1:8" x14ac:dyDescent="0.2">
      <c r="A1447" s="22"/>
      <c r="B1447" s="107"/>
      <c r="C1447" s="107"/>
      <c r="D1447" s="108"/>
      <c r="E1447" s="22"/>
      <c r="F1447" s="109"/>
      <c r="G1447" s="22"/>
      <c r="H1447" s="22"/>
    </row>
    <row r="1448" spans="1:8" x14ac:dyDescent="0.2">
      <c r="A1448" s="22"/>
      <c r="B1448" s="107"/>
      <c r="C1448" s="107"/>
      <c r="D1448" s="108"/>
      <c r="E1448" s="22"/>
      <c r="F1448" s="109"/>
      <c r="G1448" s="22"/>
      <c r="H1448" s="22"/>
    </row>
    <row r="1449" spans="1:8" x14ac:dyDescent="0.2">
      <c r="A1449" s="22"/>
      <c r="B1449" s="107"/>
      <c r="C1449" s="107"/>
      <c r="D1449" s="108"/>
      <c r="E1449" s="22"/>
      <c r="F1449" s="109"/>
      <c r="G1449" s="22"/>
      <c r="H1449" s="22"/>
    </row>
    <row r="1450" spans="1:8" x14ac:dyDescent="0.2">
      <c r="A1450" s="22"/>
      <c r="B1450" s="107"/>
      <c r="C1450" s="107"/>
      <c r="D1450" s="108"/>
      <c r="E1450" s="22"/>
      <c r="F1450" s="109"/>
      <c r="G1450" s="22"/>
      <c r="H1450" s="22"/>
    </row>
    <row r="1451" spans="1:8" x14ac:dyDescent="0.2">
      <c r="A1451" s="22"/>
      <c r="B1451" s="107"/>
      <c r="C1451" s="107"/>
      <c r="D1451" s="108"/>
      <c r="E1451" s="22"/>
      <c r="F1451" s="109"/>
      <c r="G1451" s="22"/>
      <c r="H1451" s="22"/>
    </row>
    <row r="1452" spans="1:8" x14ac:dyDescent="0.2">
      <c r="A1452" s="22"/>
      <c r="B1452" s="107"/>
      <c r="C1452" s="107"/>
      <c r="D1452" s="108"/>
      <c r="E1452" s="22"/>
      <c r="F1452" s="109"/>
      <c r="G1452" s="22"/>
      <c r="H1452" s="22"/>
    </row>
    <row r="1453" spans="1:8" x14ac:dyDescent="0.2">
      <c r="A1453" s="22"/>
      <c r="B1453" s="107"/>
      <c r="C1453" s="107"/>
      <c r="D1453" s="108"/>
      <c r="E1453" s="22"/>
      <c r="F1453" s="109"/>
      <c r="G1453" s="22"/>
      <c r="H1453" s="22"/>
    </row>
    <row r="1454" spans="1:8" x14ac:dyDescent="0.2">
      <c r="A1454" s="22"/>
      <c r="B1454" s="107"/>
      <c r="C1454" s="107"/>
      <c r="D1454" s="108"/>
      <c r="E1454" s="22"/>
      <c r="F1454" s="109"/>
      <c r="G1454" s="22"/>
      <c r="H1454" s="22"/>
    </row>
    <row r="1455" spans="1:8" x14ac:dyDescent="0.2">
      <c r="A1455" s="22"/>
      <c r="B1455" s="107"/>
      <c r="C1455" s="107"/>
      <c r="D1455" s="108"/>
      <c r="E1455" s="22"/>
      <c r="F1455" s="109"/>
      <c r="G1455" s="22"/>
      <c r="H1455" s="22"/>
    </row>
    <row r="1456" spans="1:8" x14ac:dyDescent="0.2">
      <c r="A1456" s="22"/>
      <c r="B1456" s="107"/>
      <c r="C1456" s="107"/>
      <c r="D1456" s="108"/>
      <c r="E1456" s="22"/>
      <c r="F1456" s="109"/>
      <c r="G1456" s="22"/>
      <c r="H1456" s="22"/>
    </row>
    <row r="1457" spans="1:8" x14ac:dyDescent="0.2">
      <c r="A1457" s="22"/>
      <c r="B1457" s="107"/>
      <c r="C1457" s="107"/>
      <c r="D1457" s="108"/>
      <c r="E1457" s="22"/>
      <c r="F1457" s="109"/>
      <c r="G1457" s="22"/>
      <c r="H1457" s="22"/>
    </row>
    <row r="1458" spans="1:8" x14ac:dyDescent="0.2">
      <c r="A1458" s="22"/>
      <c r="B1458" s="107"/>
      <c r="C1458" s="107"/>
      <c r="D1458" s="108"/>
      <c r="E1458" s="22"/>
      <c r="F1458" s="109"/>
      <c r="G1458" s="22"/>
      <c r="H1458" s="22"/>
    </row>
    <row r="1459" spans="1:8" x14ac:dyDescent="0.2">
      <c r="A1459" s="22"/>
      <c r="B1459" s="107"/>
      <c r="C1459" s="107"/>
      <c r="D1459" s="108"/>
      <c r="E1459" s="22"/>
      <c r="F1459" s="109"/>
      <c r="G1459" s="22"/>
      <c r="H1459" s="22"/>
    </row>
    <row r="1460" spans="1:8" x14ac:dyDescent="0.2">
      <c r="A1460" s="22"/>
      <c r="B1460" s="107"/>
      <c r="C1460" s="107"/>
      <c r="D1460" s="108"/>
      <c r="E1460" s="22"/>
      <c r="F1460" s="109"/>
      <c r="G1460" s="22"/>
      <c r="H1460" s="22"/>
    </row>
    <row r="1461" spans="1:8" x14ac:dyDescent="0.2">
      <c r="A1461" s="22"/>
      <c r="B1461" s="107"/>
      <c r="C1461" s="107"/>
      <c r="D1461" s="108"/>
      <c r="E1461" s="22"/>
      <c r="F1461" s="109"/>
      <c r="G1461" s="22"/>
      <c r="H1461" s="22"/>
    </row>
    <row r="1462" spans="1:8" x14ac:dyDescent="0.2">
      <c r="A1462" s="22"/>
      <c r="B1462" s="107"/>
      <c r="C1462" s="107"/>
      <c r="D1462" s="108"/>
      <c r="E1462" s="22"/>
      <c r="F1462" s="109"/>
      <c r="G1462" s="22"/>
      <c r="H1462" s="22"/>
    </row>
    <row r="1463" spans="1:8" x14ac:dyDescent="0.2">
      <c r="A1463" s="22"/>
      <c r="B1463" s="107"/>
      <c r="C1463" s="107"/>
      <c r="D1463" s="108"/>
      <c r="E1463" s="22"/>
      <c r="F1463" s="109"/>
      <c r="G1463" s="22"/>
      <c r="H1463" s="22"/>
    </row>
    <row r="1464" spans="1:8" x14ac:dyDescent="0.2">
      <c r="A1464" s="22"/>
      <c r="B1464" s="107"/>
      <c r="C1464" s="107"/>
      <c r="D1464" s="108"/>
      <c r="E1464" s="22"/>
      <c r="F1464" s="109"/>
      <c r="G1464" s="22"/>
      <c r="H1464" s="22"/>
    </row>
    <row r="1465" spans="1:8" x14ac:dyDescent="0.2">
      <c r="A1465" s="22"/>
      <c r="B1465" s="107"/>
      <c r="C1465" s="107"/>
      <c r="D1465" s="108"/>
      <c r="E1465" s="22"/>
      <c r="F1465" s="109"/>
      <c r="G1465" s="22"/>
      <c r="H1465" s="22"/>
    </row>
    <row r="1466" spans="1:8" x14ac:dyDescent="0.2">
      <c r="A1466" s="22"/>
      <c r="B1466" s="107"/>
      <c r="C1466" s="107"/>
      <c r="D1466" s="108"/>
      <c r="E1466" s="22"/>
      <c r="F1466" s="109"/>
      <c r="G1466" s="22"/>
      <c r="H1466" s="22"/>
    </row>
    <row r="1467" spans="1:8" x14ac:dyDescent="0.2">
      <c r="A1467" s="22"/>
      <c r="B1467" s="107"/>
      <c r="C1467" s="107"/>
      <c r="D1467" s="108"/>
      <c r="E1467" s="22"/>
      <c r="F1467" s="109"/>
      <c r="G1467" s="22"/>
      <c r="H1467" s="22"/>
    </row>
    <row r="1468" spans="1:8" x14ac:dyDescent="0.2">
      <c r="A1468" s="22"/>
      <c r="B1468" s="107"/>
      <c r="C1468" s="107"/>
      <c r="D1468" s="108"/>
      <c r="E1468" s="22"/>
      <c r="F1468" s="109"/>
      <c r="G1468" s="22"/>
      <c r="H1468" s="22"/>
    </row>
    <row r="1469" spans="1:8" x14ac:dyDescent="0.2">
      <c r="A1469" s="22"/>
      <c r="B1469" s="107"/>
      <c r="C1469" s="107"/>
      <c r="D1469" s="108"/>
      <c r="E1469" s="22"/>
      <c r="F1469" s="109"/>
      <c r="G1469" s="22"/>
      <c r="H1469" s="22"/>
    </row>
    <row r="1470" spans="1:8" x14ac:dyDescent="0.2">
      <c r="A1470" s="22"/>
      <c r="B1470" s="107"/>
      <c r="C1470" s="107"/>
      <c r="D1470" s="108"/>
      <c r="E1470" s="22"/>
      <c r="F1470" s="109"/>
      <c r="G1470" s="22"/>
      <c r="H1470" s="22"/>
    </row>
    <row r="1471" spans="1:8" x14ac:dyDescent="0.2">
      <c r="A1471" s="22"/>
      <c r="B1471" s="107"/>
      <c r="C1471" s="107"/>
      <c r="D1471" s="108"/>
      <c r="E1471" s="22"/>
      <c r="F1471" s="109"/>
      <c r="G1471" s="22"/>
      <c r="H1471" s="22"/>
    </row>
    <row r="1472" spans="1:8" x14ac:dyDescent="0.2">
      <c r="A1472" s="22"/>
      <c r="B1472" s="107"/>
      <c r="C1472" s="107"/>
      <c r="D1472" s="108"/>
      <c r="E1472" s="22"/>
      <c r="F1472" s="109"/>
      <c r="G1472" s="22"/>
      <c r="H1472" s="22"/>
    </row>
    <row r="1473" spans="1:8" x14ac:dyDescent="0.2">
      <c r="A1473" s="22"/>
      <c r="B1473" s="107"/>
      <c r="C1473" s="107"/>
      <c r="D1473" s="108"/>
      <c r="E1473" s="22"/>
      <c r="F1473" s="109"/>
      <c r="G1473" s="22"/>
      <c r="H1473" s="22"/>
    </row>
    <row r="1474" spans="1:8" x14ac:dyDescent="0.2">
      <c r="A1474" s="22"/>
      <c r="B1474" s="107"/>
      <c r="C1474" s="107"/>
      <c r="D1474" s="108"/>
      <c r="E1474" s="22"/>
      <c r="F1474" s="109"/>
      <c r="G1474" s="22"/>
      <c r="H1474" s="22"/>
    </row>
    <row r="1475" spans="1:8" x14ac:dyDescent="0.2">
      <c r="A1475" s="22"/>
      <c r="B1475" s="107"/>
      <c r="C1475" s="107"/>
      <c r="D1475" s="108"/>
      <c r="E1475" s="22"/>
      <c r="F1475" s="109"/>
      <c r="G1475" s="22"/>
      <c r="H1475" s="22"/>
    </row>
    <row r="1476" spans="1:8" x14ac:dyDescent="0.2">
      <c r="A1476" s="22"/>
      <c r="B1476" s="107"/>
      <c r="C1476" s="107"/>
      <c r="D1476" s="108"/>
      <c r="E1476" s="22"/>
      <c r="F1476" s="109"/>
      <c r="G1476" s="22"/>
      <c r="H1476" s="22"/>
    </row>
    <row r="1477" spans="1:8" x14ac:dyDescent="0.2">
      <c r="A1477" s="22"/>
      <c r="B1477" s="107"/>
      <c r="C1477" s="107"/>
      <c r="D1477" s="108"/>
      <c r="E1477" s="22"/>
      <c r="F1477" s="109"/>
      <c r="G1477" s="22"/>
      <c r="H1477" s="22"/>
    </row>
    <row r="1478" spans="1:8" x14ac:dyDescent="0.2">
      <c r="A1478" s="22"/>
      <c r="B1478" s="107"/>
      <c r="C1478" s="107"/>
      <c r="D1478" s="108"/>
      <c r="E1478" s="22"/>
      <c r="F1478" s="109"/>
      <c r="G1478" s="22"/>
      <c r="H1478" s="22"/>
    </row>
    <row r="1479" spans="1:8" x14ac:dyDescent="0.2">
      <c r="A1479" s="22"/>
      <c r="B1479" s="107"/>
      <c r="C1479" s="107"/>
      <c r="D1479" s="108"/>
      <c r="E1479" s="22"/>
      <c r="F1479" s="109"/>
      <c r="G1479" s="22"/>
      <c r="H1479" s="22"/>
    </row>
    <row r="1480" spans="1:8" x14ac:dyDescent="0.2">
      <c r="A1480" s="22"/>
      <c r="B1480" s="107"/>
      <c r="C1480" s="107"/>
      <c r="D1480" s="108"/>
      <c r="E1480" s="22"/>
      <c r="F1480" s="109"/>
      <c r="G1480" s="22"/>
      <c r="H1480" s="22"/>
    </row>
    <row r="1481" spans="1:8" x14ac:dyDescent="0.2">
      <c r="A1481" s="22"/>
      <c r="B1481" s="107"/>
      <c r="C1481" s="107"/>
      <c r="D1481" s="108"/>
      <c r="E1481" s="22"/>
      <c r="F1481" s="109"/>
      <c r="G1481" s="22"/>
      <c r="H1481" s="22"/>
    </row>
    <row r="1482" spans="1:8" x14ac:dyDescent="0.2">
      <c r="A1482" s="22"/>
      <c r="B1482" s="107"/>
      <c r="C1482" s="107"/>
      <c r="D1482" s="108"/>
      <c r="E1482" s="22"/>
      <c r="F1482" s="109"/>
      <c r="G1482" s="22"/>
      <c r="H1482" s="22"/>
    </row>
    <row r="1483" spans="1:8" x14ac:dyDescent="0.2">
      <c r="A1483" s="22"/>
      <c r="B1483" s="107"/>
      <c r="C1483" s="107"/>
      <c r="D1483" s="108"/>
      <c r="E1483" s="22"/>
      <c r="F1483" s="109"/>
      <c r="G1483" s="22"/>
      <c r="H1483" s="22"/>
    </row>
    <row r="1484" spans="1:8" x14ac:dyDescent="0.2">
      <c r="A1484" s="22"/>
      <c r="B1484" s="107"/>
      <c r="C1484" s="107"/>
      <c r="D1484" s="108"/>
      <c r="E1484" s="22"/>
      <c r="F1484" s="109"/>
      <c r="G1484" s="22"/>
      <c r="H1484" s="22"/>
    </row>
    <row r="1485" spans="1:8" x14ac:dyDescent="0.2">
      <c r="A1485" s="22"/>
      <c r="B1485" s="107"/>
      <c r="C1485" s="107"/>
      <c r="D1485" s="108"/>
      <c r="E1485" s="22"/>
      <c r="F1485" s="109"/>
      <c r="G1485" s="22"/>
      <c r="H1485" s="22"/>
    </row>
    <row r="1486" spans="1:8" x14ac:dyDescent="0.2">
      <c r="A1486" s="22"/>
      <c r="B1486" s="107"/>
      <c r="C1486" s="107"/>
      <c r="D1486" s="108"/>
      <c r="E1486" s="22"/>
      <c r="F1486" s="109"/>
      <c r="G1486" s="22"/>
      <c r="H1486" s="22"/>
    </row>
    <row r="1487" spans="1:8" x14ac:dyDescent="0.2">
      <c r="A1487" s="22"/>
      <c r="B1487" s="107"/>
      <c r="C1487" s="107"/>
      <c r="D1487" s="108"/>
      <c r="E1487" s="22"/>
      <c r="F1487" s="109"/>
      <c r="G1487" s="22"/>
      <c r="H1487" s="22"/>
    </row>
    <row r="1488" spans="1:8" x14ac:dyDescent="0.2">
      <c r="A1488" s="22"/>
      <c r="B1488" s="107"/>
      <c r="C1488" s="107"/>
      <c r="D1488" s="108"/>
      <c r="E1488" s="22"/>
      <c r="F1488" s="109"/>
      <c r="G1488" s="22"/>
      <c r="H1488" s="22"/>
    </row>
    <row r="1489" spans="1:8" x14ac:dyDescent="0.2">
      <c r="A1489" s="22"/>
      <c r="B1489" s="107"/>
      <c r="C1489" s="107"/>
      <c r="D1489" s="108"/>
      <c r="E1489" s="22"/>
      <c r="F1489" s="109"/>
      <c r="G1489" s="22"/>
      <c r="H1489" s="22"/>
    </row>
    <row r="1490" spans="1:8" x14ac:dyDescent="0.2">
      <c r="A1490" s="22"/>
      <c r="B1490" s="107"/>
      <c r="C1490" s="107"/>
      <c r="D1490" s="108"/>
      <c r="E1490" s="22"/>
      <c r="F1490" s="109"/>
      <c r="G1490" s="22"/>
      <c r="H1490" s="22"/>
    </row>
    <row r="1491" spans="1:8" x14ac:dyDescent="0.2">
      <c r="A1491" s="22"/>
      <c r="B1491" s="107"/>
      <c r="C1491" s="107"/>
      <c r="D1491" s="108"/>
      <c r="E1491" s="22"/>
      <c r="F1491" s="109"/>
      <c r="G1491" s="22"/>
      <c r="H1491" s="22"/>
    </row>
    <row r="1492" spans="1:8" x14ac:dyDescent="0.2">
      <c r="A1492" s="22"/>
      <c r="B1492" s="107"/>
      <c r="C1492" s="107"/>
      <c r="D1492" s="108"/>
      <c r="E1492" s="22"/>
      <c r="F1492" s="109"/>
      <c r="G1492" s="22"/>
      <c r="H1492" s="22"/>
    </row>
    <row r="1493" spans="1:8" x14ac:dyDescent="0.2">
      <c r="A1493" s="22"/>
      <c r="B1493" s="107"/>
      <c r="C1493" s="107"/>
      <c r="D1493" s="108"/>
      <c r="E1493" s="22"/>
      <c r="F1493" s="109"/>
      <c r="G1493" s="22"/>
      <c r="H1493" s="22"/>
    </row>
    <row r="1494" spans="1:8" x14ac:dyDescent="0.2">
      <c r="A1494" s="22"/>
      <c r="B1494" s="107"/>
      <c r="C1494" s="107"/>
      <c r="D1494" s="108"/>
      <c r="E1494" s="22"/>
      <c r="F1494" s="109"/>
      <c r="G1494" s="22"/>
      <c r="H1494" s="22"/>
    </row>
    <row r="1495" spans="1:8" x14ac:dyDescent="0.2">
      <c r="A1495" s="22"/>
      <c r="B1495" s="107"/>
      <c r="C1495" s="107"/>
      <c r="D1495" s="108"/>
      <c r="E1495" s="22"/>
      <c r="F1495" s="109"/>
      <c r="G1495" s="22"/>
      <c r="H1495" s="22"/>
    </row>
    <row r="1496" spans="1:8" x14ac:dyDescent="0.2">
      <c r="A1496" s="22"/>
      <c r="B1496" s="107"/>
      <c r="C1496" s="107"/>
      <c r="D1496" s="108"/>
      <c r="E1496" s="22"/>
      <c r="F1496" s="109"/>
      <c r="G1496" s="22"/>
      <c r="H1496" s="22"/>
    </row>
    <row r="1497" spans="1:8" x14ac:dyDescent="0.2">
      <c r="A1497" s="22"/>
      <c r="B1497" s="107"/>
      <c r="C1497" s="107"/>
      <c r="D1497" s="108"/>
      <c r="E1497" s="22"/>
      <c r="F1497" s="109"/>
      <c r="G1497" s="22"/>
      <c r="H1497" s="22"/>
    </row>
    <row r="1498" spans="1:8" x14ac:dyDescent="0.2">
      <c r="A1498" s="22"/>
      <c r="B1498" s="107"/>
      <c r="C1498" s="107"/>
      <c r="D1498" s="108"/>
      <c r="E1498" s="22"/>
      <c r="F1498" s="109"/>
      <c r="G1498" s="22"/>
      <c r="H1498" s="22"/>
    </row>
    <row r="1499" spans="1:8" x14ac:dyDescent="0.2">
      <c r="A1499" s="22"/>
      <c r="B1499" s="107"/>
      <c r="C1499" s="107"/>
      <c r="D1499" s="108"/>
      <c r="E1499" s="22"/>
      <c r="F1499" s="109"/>
      <c r="G1499" s="22"/>
      <c r="H1499" s="22"/>
    </row>
    <row r="1500" spans="1:8" x14ac:dyDescent="0.2">
      <c r="A1500" s="22"/>
      <c r="B1500" s="107"/>
      <c r="C1500" s="107"/>
      <c r="D1500" s="108"/>
      <c r="E1500" s="22"/>
      <c r="F1500" s="109"/>
      <c r="G1500" s="22"/>
      <c r="H1500" s="22"/>
    </row>
    <row r="1501" spans="1:8" x14ac:dyDescent="0.2">
      <c r="A1501" s="22"/>
      <c r="B1501" s="107"/>
      <c r="C1501" s="107"/>
      <c r="D1501" s="108"/>
      <c r="E1501" s="22"/>
      <c r="F1501" s="109"/>
      <c r="G1501" s="22"/>
      <c r="H1501" s="22"/>
    </row>
    <row r="1502" spans="1:8" x14ac:dyDescent="0.2">
      <c r="A1502" s="22"/>
      <c r="B1502" s="107"/>
      <c r="C1502" s="107"/>
      <c r="D1502" s="108"/>
      <c r="E1502" s="22"/>
      <c r="F1502" s="109"/>
      <c r="G1502" s="22"/>
      <c r="H1502" s="22"/>
    </row>
    <row r="1503" spans="1:8" x14ac:dyDescent="0.2">
      <c r="A1503" s="22"/>
      <c r="B1503" s="107"/>
      <c r="C1503" s="107"/>
      <c r="D1503" s="108"/>
      <c r="E1503" s="22"/>
      <c r="F1503" s="109"/>
      <c r="G1503" s="22"/>
      <c r="H1503" s="22"/>
    </row>
    <row r="1504" spans="1:8" x14ac:dyDescent="0.2">
      <c r="A1504" s="22"/>
      <c r="B1504" s="107"/>
      <c r="C1504" s="107"/>
      <c r="D1504" s="108"/>
      <c r="E1504" s="22"/>
      <c r="F1504" s="109"/>
      <c r="G1504" s="22"/>
      <c r="H1504" s="22"/>
    </row>
    <row r="1505" spans="1:8" x14ac:dyDescent="0.2">
      <c r="A1505" s="22"/>
      <c r="B1505" s="107"/>
      <c r="C1505" s="107"/>
      <c r="D1505" s="108"/>
      <c r="E1505" s="22"/>
      <c r="F1505" s="109"/>
      <c r="G1505" s="22"/>
      <c r="H1505" s="22"/>
    </row>
    <row r="1506" spans="1:8" x14ac:dyDescent="0.2">
      <c r="A1506" s="22"/>
      <c r="B1506" s="107"/>
      <c r="C1506" s="107"/>
      <c r="D1506" s="108"/>
      <c r="E1506" s="22"/>
      <c r="F1506" s="109"/>
      <c r="G1506" s="22"/>
      <c r="H1506" s="22"/>
    </row>
    <row r="1507" spans="1:8" x14ac:dyDescent="0.2">
      <c r="A1507" s="22"/>
      <c r="B1507" s="107"/>
      <c r="C1507" s="107"/>
      <c r="D1507" s="108"/>
      <c r="E1507" s="22"/>
      <c r="F1507" s="109"/>
      <c r="G1507" s="22"/>
      <c r="H1507" s="22"/>
    </row>
    <row r="1508" spans="1:8" x14ac:dyDescent="0.2">
      <c r="A1508" s="22"/>
      <c r="B1508" s="107"/>
      <c r="C1508" s="107"/>
      <c r="D1508" s="108"/>
      <c r="E1508" s="22"/>
      <c r="F1508" s="109"/>
      <c r="G1508" s="22"/>
      <c r="H1508" s="22"/>
    </row>
    <row r="1509" spans="1:8" x14ac:dyDescent="0.2">
      <c r="A1509" s="22"/>
      <c r="B1509" s="107"/>
      <c r="C1509" s="107"/>
      <c r="D1509" s="108"/>
      <c r="E1509" s="22"/>
      <c r="F1509" s="109"/>
      <c r="G1509" s="22"/>
      <c r="H1509" s="22"/>
    </row>
    <row r="1510" spans="1:8" x14ac:dyDescent="0.2">
      <c r="A1510" s="22"/>
      <c r="B1510" s="107"/>
      <c r="C1510" s="107"/>
      <c r="D1510" s="108"/>
      <c r="E1510" s="22"/>
      <c r="F1510" s="109"/>
      <c r="G1510" s="22"/>
      <c r="H1510" s="22"/>
    </row>
    <row r="1511" spans="1:8" x14ac:dyDescent="0.2">
      <c r="A1511" s="22"/>
      <c r="B1511" s="107"/>
      <c r="C1511" s="107"/>
      <c r="D1511" s="108"/>
      <c r="E1511" s="22"/>
      <c r="F1511" s="109"/>
      <c r="G1511" s="22"/>
      <c r="H1511" s="22"/>
    </row>
    <row r="1512" spans="1:8" x14ac:dyDescent="0.2">
      <c r="A1512" s="22"/>
      <c r="B1512" s="107"/>
      <c r="C1512" s="107"/>
      <c r="D1512" s="108"/>
      <c r="E1512" s="22"/>
      <c r="F1512" s="109"/>
      <c r="G1512" s="22"/>
      <c r="H1512" s="22"/>
    </row>
    <row r="1513" spans="1:8" x14ac:dyDescent="0.2">
      <c r="A1513" s="22"/>
      <c r="B1513" s="107"/>
      <c r="C1513" s="107"/>
      <c r="D1513" s="108"/>
      <c r="E1513" s="22"/>
      <c r="F1513" s="109"/>
      <c r="G1513" s="22"/>
      <c r="H1513" s="22"/>
    </row>
    <row r="1514" spans="1:8" x14ac:dyDescent="0.2">
      <c r="A1514" s="22"/>
      <c r="B1514" s="107"/>
      <c r="C1514" s="107"/>
      <c r="D1514" s="108"/>
      <c r="E1514" s="22"/>
      <c r="F1514" s="109"/>
      <c r="G1514" s="22"/>
      <c r="H1514" s="22"/>
    </row>
    <row r="1515" spans="1:8" x14ac:dyDescent="0.2">
      <c r="A1515" s="22"/>
      <c r="B1515" s="107"/>
      <c r="C1515" s="107"/>
      <c r="D1515" s="108"/>
      <c r="E1515" s="22"/>
      <c r="F1515" s="109"/>
      <c r="G1515" s="22"/>
      <c r="H1515" s="22"/>
    </row>
    <row r="1516" spans="1:8" x14ac:dyDescent="0.2">
      <c r="A1516" s="22"/>
      <c r="B1516" s="107"/>
      <c r="C1516" s="107"/>
      <c r="D1516" s="108"/>
      <c r="E1516" s="22"/>
      <c r="F1516" s="109"/>
      <c r="G1516" s="22"/>
      <c r="H1516" s="22"/>
    </row>
    <row r="1517" spans="1:8" x14ac:dyDescent="0.2">
      <c r="A1517" s="22"/>
      <c r="B1517" s="107"/>
      <c r="C1517" s="107"/>
      <c r="D1517" s="108"/>
      <c r="E1517" s="22"/>
      <c r="F1517" s="109"/>
      <c r="G1517" s="22"/>
      <c r="H1517" s="22"/>
    </row>
    <row r="1518" spans="1:8" x14ac:dyDescent="0.2">
      <c r="A1518" s="22"/>
      <c r="B1518" s="107"/>
      <c r="C1518" s="107"/>
      <c r="D1518" s="108"/>
      <c r="E1518" s="22"/>
      <c r="F1518" s="109"/>
      <c r="G1518" s="22"/>
      <c r="H1518" s="22"/>
    </row>
    <row r="1519" spans="1:8" x14ac:dyDescent="0.2">
      <c r="A1519" s="22"/>
      <c r="B1519" s="107"/>
      <c r="C1519" s="107"/>
      <c r="D1519" s="108"/>
      <c r="E1519" s="22"/>
      <c r="F1519" s="109"/>
      <c r="G1519" s="22"/>
      <c r="H1519" s="22"/>
    </row>
    <row r="1520" spans="1:8" x14ac:dyDescent="0.2">
      <c r="A1520" s="22"/>
      <c r="B1520" s="107"/>
      <c r="C1520" s="107"/>
      <c r="D1520" s="108"/>
      <c r="E1520" s="22"/>
      <c r="F1520" s="109"/>
      <c r="G1520" s="22"/>
      <c r="H1520" s="22"/>
    </row>
    <row r="1521" spans="1:8" x14ac:dyDescent="0.2">
      <c r="A1521" s="22"/>
      <c r="B1521" s="107"/>
      <c r="C1521" s="107"/>
      <c r="D1521" s="108"/>
      <c r="E1521" s="22"/>
      <c r="F1521" s="109"/>
      <c r="G1521" s="22"/>
      <c r="H1521" s="22"/>
    </row>
    <row r="1522" spans="1:8" x14ac:dyDescent="0.2">
      <c r="A1522" s="22"/>
      <c r="B1522" s="107"/>
      <c r="C1522" s="107"/>
      <c r="D1522" s="108"/>
      <c r="E1522" s="22"/>
      <c r="F1522" s="109"/>
      <c r="G1522" s="22"/>
      <c r="H1522" s="22"/>
    </row>
    <row r="1523" spans="1:8" x14ac:dyDescent="0.2">
      <c r="A1523" s="22"/>
      <c r="B1523" s="107"/>
      <c r="C1523" s="107"/>
      <c r="D1523" s="108"/>
      <c r="E1523" s="22"/>
      <c r="F1523" s="109"/>
      <c r="G1523" s="22"/>
      <c r="H1523" s="22"/>
    </row>
    <row r="1524" spans="1:8" x14ac:dyDescent="0.2">
      <c r="A1524" s="22"/>
      <c r="B1524" s="107"/>
      <c r="C1524" s="107"/>
      <c r="D1524" s="108"/>
      <c r="E1524" s="22"/>
      <c r="F1524" s="109"/>
      <c r="G1524" s="22"/>
      <c r="H1524" s="22"/>
    </row>
    <row r="1525" spans="1:8" x14ac:dyDescent="0.2">
      <c r="A1525" s="22"/>
      <c r="B1525" s="107"/>
      <c r="C1525" s="107"/>
      <c r="D1525" s="108"/>
      <c r="E1525" s="22"/>
      <c r="F1525" s="109"/>
      <c r="G1525" s="22"/>
      <c r="H1525" s="22"/>
    </row>
    <row r="1526" spans="1:8" x14ac:dyDescent="0.2">
      <c r="A1526" s="22"/>
      <c r="B1526" s="107"/>
      <c r="C1526" s="107"/>
      <c r="D1526" s="108"/>
      <c r="E1526" s="22"/>
      <c r="F1526" s="109"/>
      <c r="G1526" s="22"/>
      <c r="H1526" s="22"/>
    </row>
    <row r="1527" spans="1:8" x14ac:dyDescent="0.2">
      <c r="A1527" s="22"/>
      <c r="B1527" s="107"/>
      <c r="C1527" s="107"/>
      <c r="D1527" s="108"/>
      <c r="E1527" s="22"/>
      <c r="F1527" s="109"/>
      <c r="G1527" s="22"/>
      <c r="H1527" s="22"/>
    </row>
    <row r="1528" spans="1:8" x14ac:dyDescent="0.2">
      <c r="A1528" s="22"/>
      <c r="B1528" s="107"/>
      <c r="C1528" s="107"/>
      <c r="D1528" s="108"/>
      <c r="E1528" s="22"/>
      <c r="F1528" s="109"/>
      <c r="G1528" s="22"/>
      <c r="H1528" s="22"/>
    </row>
    <row r="1529" spans="1:8" x14ac:dyDescent="0.2">
      <c r="A1529" s="22"/>
      <c r="B1529" s="107"/>
      <c r="C1529" s="107"/>
      <c r="D1529" s="108"/>
      <c r="E1529" s="22"/>
      <c r="F1529" s="109"/>
      <c r="G1529" s="22"/>
      <c r="H1529" s="22"/>
    </row>
    <row r="1530" spans="1:8" x14ac:dyDescent="0.2">
      <c r="A1530" s="22"/>
      <c r="B1530" s="107"/>
      <c r="C1530" s="107"/>
      <c r="D1530" s="108"/>
      <c r="E1530" s="22"/>
      <c r="F1530" s="109"/>
      <c r="G1530" s="22"/>
      <c r="H1530" s="22"/>
    </row>
    <row r="1531" spans="1:8" x14ac:dyDescent="0.2">
      <c r="A1531" s="22"/>
      <c r="B1531" s="107"/>
      <c r="C1531" s="107"/>
      <c r="D1531" s="108"/>
      <c r="E1531" s="22"/>
      <c r="F1531" s="109"/>
      <c r="G1531" s="22"/>
      <c r="H1531" s="22"/>
    </row>
    <row r="1532" spans="1:8" x14ac:dyDescent="0.2">
      <c r="A1532" s="22"/>
      <c r="B1532" s="107"/>
      <c r="C1532" s="107"/>
      <c r="D1532" s="108"/>
      <c r="E1532" s="22"/>
      <c r="F1532" s="109"/>
      <c r="G1532" s="22"/>
      <c r="H1532" s="22"/>
    </row>
    <row r="1533" spans="1:8" x14ac:dyDescent="0.2">
      <c r="A1533" s="22"/>
      <c r="B1533" s="107"/>
      <c r="C1533" s="107"/>
      <c r="D1533" s="108"/>
      <c r="E1533" s="22"/>
      <c r="F1533" s="109"/>
      <c r="G1533" s="22"/>
      <c r="H1533" s="22"/>
    </row>
    <row r="1534" spans="1:8" x14ac:dyDescent="0.2">
      <c r="A1534" s="22"/>
      <c r="B1534" s="107"/>
      <c r="C1534" s="107"/>
      <c r="D1534" s="108"/>
      <c r="E1534" s="22"/>
      <c r="F1534" s="109"/>
      <c r="G1534" s="22"/>
      <c r="H1534" s="22"/>
    </row>
    <row r="1535" spans="1:8" x14ac:dyDescent="0.2">
      <c r="A1535" s="22"/>
      <c r="B1535" s="107"/>
      <c r="C1535" s="107"/>
      <c r="D1535" s="108"/>
      <c r="E1535" s="22"/>
      <c r="F1535" s="109"/>
      <c r="G1535" s="22"/>
      <c r="H1535" s="22"/>
    </row>
    <row r="1536" spans="1:8" x14ac:dyDescent="0.2">
      <c r="A1536" s="22"/>
      <c r="B1536" s="107"/>
      <c r="C1536" s="107"/>
      <c r="D1536" s="108"/>
      <c r="E1536" s="22"/>
      <c r="F1536" s="109"/>
      <c r="G1536" s="22"/>
      <c r="H1536" s="22"/>
    </row>
    <row r="1537" spans="1:8" x14ac:dyDescent="0.2">
      <c r="A1537" s="22"/>
      <c r="B1537" s="107"/>
      <c r="C1537" s="107"/>
      <c r="D1537" s="108"/>
      <c r="E1537" s="22"/>
      <c r="F1537" s="109"/>
      <c r="G1537" s="22"/>
      <c r="H1537" s="22"/>
    </row>
    <row r="1538" spans="1:8" x14ac:dyDescent="0.2">
      <c r="A1538" s="22"/>
      <c r="B1538" s="107"/>
      <c r="C1538" s="107"/>
      <c r="D1538" s="108"/>
      <c r="E1538" s="22"/>
      <c r="F1538" s="109"/>
      <c r="G1538" s="22"/>
      <c r="H1538" s="22"/>
    </row>
    <row r="1539" spans="1:8" x14ac:dyDescent="0.2">
      <c r="A1539" s="22"/>
      <c r="B1539" s="107"/>
      <c r="C1539" s="107"/>
      <c r="D1539" s="108"/>
      <c r="E1539" s="22"/>
      <c r="F1539" s="109"/>
      <c r="G1539" s="22"/>
      <c r="H1539" s="22"/>
    </row>
    <row r="1540" spans="1:8" x14ac:dyDescent="0.2">
      <c r="A1540" s="22"/>
      <c r="B1540" s="107"/>
      <c r="C1540" s="107"/>
      <c r="D1540" s="108"/>
      <c r="E1540" s="22"/>
      <c r="F1540" s="109"/>
      <c r="G1540" s="22"/>
      <c r="H1540" s="22"/>
    </row>
    <row r="1541" spans="1:8" x14ac:dyDescent="0.2">
      <c r="A1541" s="22"/>
      <c r="B1541" s="107"/>
      <c r="C1541" s="107"/>
      <c r="D1541" s="108"/>
      <c r="E1541" s="22"/>
      <c r="F1541" s="109"/>
      <c r="G1541" s="22"/>
      <c r="H1541" s="22"/>
    </row>
    <row r="1542" spans="1:8" x14ac:dyDescent="0.2">
      <c r="A1542" s="22"/>
      <c r="B1542" s="107"/>
      <c r="C1542" s="107"/>
      <c r="D1542" s="108"/>
      <c r="E1542" s="22"/>
      <c r="F1542" s="109"/>
      <c r="G1542" s="22"/>
      <c r="H1542" s="22"/>
    </row>
    <row r="1543" spans="1:8" x14ac:dyDescent="0.2">
      <c r="A1543" s="22"/>
      <c r="B1543" s="107"/>
      <c r="C1543" s="107"/>
      <c r="D1543" s="108"/>
      <c r="E1543" s="22"/>
      <c r="F1543" s="109"/>
      <c r="G1543" s="22"/>
      <c r="H1543" s="22"/>
    </row>
    <row r="1544" spans="1:8" x14ac:dyDescent="0.2">
      <c r="A1544" s="22"/>
      <c r="B1544" s="107"/>
      <c r="C1544" s="107"/>
      <c r="D1544" s="108"/>
      <c r="E1544" s="22"/>
      <c r="F1544" s="109"/>
      <c r="G1544" s="22"/>
      <c r="H1544" s="22"/>
    </row>
    <row r="1545" spans="1:8" x14ac:dyDescent="0.2">
      <c r="A1545" s="22"/>
      <c r="B1545" s="107"/>
      <c r="C1545" s="107"/>
      <c r="D1545" s="108"/>
      <c r="E1545" s="22"/>
      <c r="F1545" s="109"/>
      <c r="G1545" s="22"/>
      <c r="H1545" s="22"/>
    </row>
    <row r="1546" spans="1:8" x14ac:dyDescent="0.2">
      <c r="A1546" s="22"/>
      <c r="B1546" s="107"/>
      <c r="C1546" s="107"/>
      <c r="D1546" s="108"/>
      <c r="E1546" s="22"/>
      <c r="F1546" s="109"/>
      <c r="G1546" s="22"/>
      <c r="H1546" s="22"/>
    </row>
    <row r="1547" spans="1:8" x14ac:dyDescent="0.2">
      <c r="A1547" s="22"/>
      <c r="B1547" s="107"/>
      <c r="C1547" s="107"/>
      <c r="D1547" s="108"/>
      <c r="E1547" s="22"/>
      <c r="F1547" s="109"/>
      <c r="G1547" s="22"/>
      <c r="H1547" s="22"/>
    </row>
    <row r="1548" spans="1:8" x14ac:dyDescent="0.2">
      <c r="A1548" s="22"/>
      <c r="B1548" s="107"/>
      <c r="C1548" s="107"/>
      <c r="D1548" s="108"/>
      <c r="E1548" s="22"/>
      <c r="F1548" s="109"/>
      <c r="G1548" s="22"/>
      <c r="H1548" s="22"/>
    </row>
    <row r="1549" spans="1:8" x14ac:dyDescent="0.2">
      <c r="A1549" s="22"/>
      <c r="B1549" s="107"/>
      <c r="C1549" s="107"/>
      <c r="D1549" s="108"/>
      <c r="E1549" s="22"/>
      <c r="F1549" s="109"/>
      <c r="G1549" s="22"/>
      <c r="H1549" s="22"/>
    </row>
    <row r="1550" spans="1:8" x14ac:dyDescent="0.2">
      <c r="A1550" s="22"/>
      <c r="B1550" s="107"/>
      <c r="C1550" s="107"/>
      <c r="D1550" s="108"/>
      <c r="E1550" s="22"/>
      <c r="F1550" s="109"/>
      <c r="G1550" s="22"/>
      <c r="H1550" s="22"/>
    </row>
    <row r="1551" spans="1:8" x14ac:dyDescent="0.2">
      <c r="A1551" s="22"/>
      <c r="B1551" s="107"/>
      <c r="C1551" s="107"/>
      <c r="D1551" s="108"/>
      <c r="E1551" s="22"/>
      <c r="F1551" s="109"/>
      <c r="G1551" s="22"/>
      <c r="H1551" s="22"/>
    </row>
    <row r="1552" spans="1:8" x14ac:dyDescent="0.2">
      <c r="A1552" s="22"/>
      <c r="B1552" s="107"/>
      <c r="C1552" s="107"/>
      <c r="D1552" s="108"/>
      <c r="E1552" s="22"/>
      <c r="F1552" s="109"/>
      <c r="G1552" s="22"/>
      <c r="H1552" s="22"/>
    </row>
    <row r="1553" spans="1:8" x14ac:dyDescent="0.2">
      <c r="A1553" s="22"/>
      <c r="B1553" s="107"/>
      <c r="C1553" s="107"/>
      <c r="D1553" s="108"/>
      <c r="E1553" s="22"/>
      <c r="F1553" s="109"/>
      <c r="G1553" s="22"/>
      <c r="H1553" s="22"/>
    </row>
    <row r="1554" spans="1:8" x14ac:dyDescent="0.2">
      <c r="A1554" s="22"/>
      <c r="B1554" s="107"/>
      <c r="C1554" s="107"/>
      <c r="D1554" s="108"/>
      <c r="E1554" s="22"/>
      <c r="F1554" s="109"/>
      <c r="G1554" s="22"/>
      <c r="H1554" s="22"/>
    </row>
    <row r="1555" spans="1:8" x14ac:dyDescent="0.2">
      <c r="A1555" s="22"/>
      <c r="B1555" s="107"/>
      <c r="C1555" s="107"/>
      <c r="D1555" s="108"/>
      <c r="E1555" s="22"/>
      <c r="F1555" s="109"/>
      <c r="G1555" s="22"/>
      <c r="H1555" s="22"/>
    </row>
    <row r="1556" spans="1:8" x14ac:dyDescent="0.2">
      <c r="A1556" s="22"/>
      <c r="B1556" s="107"/>
      <c r="C1556" s="107"/>
      <c r="D1556" s="108"/>
      <c r="E1556" s="22"/>
      <c r="F1556" s="109"/>
      <c r="G1556" s="22"/>
      <c r="H1556" s="22"/>
    </row>
    <row r="1557" spans="1:8" x14ac:dyDescent="0.2">
      <c r="A1557" s="22"/>
      <c r="B1557" s="107"/>
      <c r="C1557" s="107"/>
      <c r="D1557" s="108"/>
      <c r="E1557" s="22"/>
      <c r="F1557" s="109"/>
      <c r="G1557" s="22"/>
      <c r="H1557" s="22"/>
    </row>
    <row r="1558" spans="1:8" x14ac:dyDescent="0.2">
      <c r="A1558" s="22"/>
      <c r="B1558" s="107"/>
      <c r="C1558" s="107"/>
      <c r="D1558" s="108"/>
      <c r="E1558" s="22"/>
      <c r="F1558" s="109"/>
      <c r="G1558" s="22"/>
      <c r="H1558" s="22"/>
    </row>
    <row r="1559" spans="1:8" x14ac:dyDescent="0.2">
      <c r="A1559" s="22"/>
      <c r="B1559" s="107"/>
      <c r="C1559" s="107"/>
      <c r="D1559" s="108"/>
      <c r="E1559" s="22"/>
      <c r="F1559" s="109"/>
      <c r="G1559" s="22"/>
      <c r="H1559" s="22"/>
    </row>
    <row r="1560" spans="1:8" x14ac:dyDescent="0.2">
      <c r="A1560" s="22"/>
      <c r="B1560" s="107"/>
      <c r="C1560" s="107"/>
      <c r="D1560" s="108"/>
      <c r="E1560" s="22"/>
      <c r="F1560" s="109"/>
      <c r="G1560" s="22"/>
      <c r="H1560" s="22"/>
    </row>
    <row r="1561" spans="1:8" x14ac:dyDescent="0.2">
      <c r="A1561" s="22"/>
      <c r="B1561" s="107"/>
      <c r="C1561" s="107"/>
      <c r="D1561" s="108"/>
      <c r="E1561" s="22"/>
      <c r="F1561" s="109"/>
      <c r="G1561" s="22"/>
      <c r="H1561" s="22"/>
    </row>
    <row r="1562" spans="1:8" x14ac:dyDescent="0.2">
      <c r="A1562" s="22"/>
      <c r="B1562" s="107"/>
      <c r="C1562" s="107"/>
      <c r="D1562" s="108"/>
      <c r="E1562" s="22"/>
      <c r="F1562" s="109"/>
      <c r="G1562" s="22"/>
      <c r="H1562" s="22"/>
    </row>
    <row r="1563" spans="1:8" x14ac:dyDescent="0.2">
      <c r="A1563" s="22"/>
      <c r="B1563" s="107"/>
      <c r="C1563" s="107"/>
      <c r="D1563" s="108"/>
      <c r="E1563" s="22"/>
      <c r="F1563" s="109"/>
      <c r="G1563" s="22"/>
      <c r="H1563" s="22"/>
    </row>
    <row r="1564" spans="1:8" x14ac:dyDescent="0.2">
      <c r="A1564" s="22"/>
      <c r="B1564" s="107"/>
      <c r="C1564" s="107"/>
      <c r="D1564" s="108"/>
      <c r="E1564" s="22"/>
      <c r="F1564" s="109"/>
      <c r="G1564" s="22"/>
      <c r="H1564" s="22"/>
    </row>
    <row r="1565" spans="1:8" x14ac:dyDescent="0.2">
      <c r="A1565" s="22"/>
      <c r="B1565" s="107"/>
      <c r="C1565" s="107"/>
      <c r="D1565" s="108"/>
      <c r="E1565" s="22"/>
      <c r="F1565" s="109"/>
      <c r="G1565" s="22"/>
      <c r="H1565" s="22"/>
    </row>
    <row r="1566" spans="1:8" x14ac:dyDescent="0.2">
      <c r="A1566" s="22"/>
      <c r="B1566" s="107"/>
      <c r="C1566" s="107"/>
      <c r="D1566" s="108"/>
      <c r="E1566" s="22"/>
      <c r="F1566" s="109"/>
      <c r="G1566" s="22"/>
      <c r="H1566" s="22"/>
    </row>
    <row r="1567" spans="1:8" x14ac:dyDescent="0.2">
      <c r="A1567" s="22"/>
      <c r="B1567" s="107"/>
      <c r="C1567" s="107"/>
      <c r="D1567" s="108"/>
      <c r="E1567" s="22"/>
      <c r="F1567" s="109"/>
      <c r="G1567" s="22"/>
      <c r="H1567" s="22"/>
    </row>
    <row r="1568" spans="1:8" x14ac:dyDescent="0.2">
      <c r="A1568" s="22"/>
      <c r="B1568" s="107"/>
      <c r="C1568" s="107"/>
      <c r="D1568" s="108"/>
      <c r="E1568" s="22"/>
      <c r="F1568" s="109"/>
      <c r="G1568" s="22"/>
      <c r="H1568" s="22"/>
    </row>
    <row r="1569" spans="1:8" x14ac:dyDescent="0.2">
      <c r="A1569" s="22"/>
      <c r="B1569" s="107"/>
      <c r="C1569" s="107"/>
      <c r="D1569" s="108"/>
      <c r="E1569" s="22"/>
      <c r="F1569" s="109"/>
      <c r="G1569" s="22"/>
      <c r="H1569" s="22"/>
    </row>
    <row r="1570" spans="1:8" x14ac:dyDescent="0.2">
      <c r="A1570" s="22"/>
      <c r="B1570" s="107"/>
      <c r="C1570" s="107"/>
      <c r="D1570" s="108"/>
      <c r="E1570" s="22"/>
      <c r="F1570" s="109"/>
      <c r="G1570" s="22"/>
      <c r="H1570" s="22"/>
    </row>
    <row r="1571" spans="1:8" x14ac:dyDescent="0.2">
      <c r="A1571" s="22"/>
      <c r="B1571" s="107"/>
      <c r="C1571" s="107"/>
      <c r="D1571" s="108"/>
      <c r="E1571" s="22"/>
      <c r="F1571" s="109"/>
      <c r="G1571" s="22"/>
      <c r="H1571" s="22"/>
    </row>
    <row r="1572" spans="1:8" x14ac:dyDescent="0.2">
      <c r="A1572" s="22"/>
      <c r="B1572" s="107"/>
      <c r="C1572" s="107"/>
      <c r="D1572" s="108"/>
      <c r="E1572" s="22"/>
      <c r="F1572" s="109"/>
      <c r="G1572" s="22"/>
      <c r="H1572" s="22"/>
    </row>
    <row r="1573" spans="1:8" x14ac:dyDescent="0.2">
      <c r="A1573" s="22"/>
      <c r="B1573" s="107"/>
      <c r="C1573" s="107"/>
      <c r="D1573" s="108"/>
      <c r="E1573" s="22"/>
      <c r="F1573" s="109"/>
      <c r="G1573" s="22"/>
      <c r="H1573" s="22"/>
    </row>
    <row r="1574" spans="1:8" x14ac:dyDescent="0.2">
      <c r="A1574" s="22"/>
      <c r="B1574" s="107"/>
      <c r="C1574" s="107"/>
      <c r="D1574" s="108"/>
      <c r="E1574" s="22"/>
      <c r="F1574" s="109"/>
      <c r="G1574" s="22"/>
      <c r="H1574" s="22"/>
    </row>
    <row r="1575" spans="1:8" x14ac:dyDescent="0.2">
      <c r="A1575" s="22"/>
      <c r="B1575" s="107"/>
      <c r="C1575" s="107"/>
      <c r="D1575" s="108"/>
      <c r="E1575" s="22"/>
      <c r="F1575" s="109"/>
      <c r="G1575" s="22"/>
      <c r="H1575" s="22"/>
    </row>
    <row r="1576" spans="1:8" x14ac:dyDescent="0.2">
      <c r="A1576" s="22"/>
      <c r="B1576" s="107"/>
      <c r="C1576" s="107"/>
      <c r="D1576" s="108"/>
      <c r="E1576" s="22"/>
      <c r="F1576" s="109"/>
      <c r="G1576" s="22"/>
      <c r="H1576" s="22"/>
    </row>
    <row r="1577" spans="1:8" x14ac:dyDescent="0.2">
      <c r="A1577" s="22"/>
      <c r="B1577" s="107"/>
      <c r="C1577" s="107"/>
      <c r="D1577" s="108"/>
      <c r="E1577" s="22"/>
      <c r="F1577" s="109"/>
      <c r="G1577" s="22"/>
      <c r="H1577" s="22"/>
    </row>
    <row r="1578" spans="1:8" x14ac:dyDescent="0.2">
      <c r="A1578" s="22"/>
      <c r="B1578" s="107"/>
      <c r="C1578" s="107"/>
      <c r="D1578" s="108"/>
      <c r="E1578" s="22"/>
      <c r="F1578" s="109"/>
      <c r="G1578" s="22"/>
      <c r="H1578" s="22"/>
    </row>
    <row r="1579" spans="1:8" x14ac:dyDescent="0.2">
      <c r="A1579" s="22"/>
      <c r="B1579" s="107"/>
      <c r="C1579" s="107"/>
      <c r="D1579" s="108"/>
      <c r="E1579" s="22"/>
      <c r="F1579" s="109"/>
      <c r="G1579" s="22"/>
      <c r="H1579" s="22"/>
    </row>
    <row r="1580" spans="1:8" x14ac:dyDescent="0.2">
      <c r="A1580" s="22"/>
      <c r="B1580" s="107"/>
      <c r="C1580" s="107"/>
      <c r="D1580" s="108"/>
      <c r="E1580" s="22"/>
      <c r="F1580" s="109"/>
      <c r="G1580" s="22"/>
      <c r="H1580" s="22"/>
    </row>
    <row r="1581" spans="1:8" x14ac:dyDescent="0.2">
      <c r="A1581" s="22"/>
      <c r="B1581" s="107"/>
      <c r="C1581" s="107"/>
      <c r="D1581" s="108"/>
      <c r="E1581" s="22"/>
      <c r="F1581" s="109"/>
      <c r="G1581" s="22"/>
      <c r="H1581" s="22"/>
    </row>
    <row r="1582" spans="1:8" x14ac:dyDescent="0.2">
      <c r="A1582" s="22"/>
      <c r="B1582" s="107"/>
      <c r="C1582" s="107"/>
      <c r="D1582" s="108"/>
      <c r="E1582" s="22"/>
      <c r="F1582" s="109"/>
      <c r="G1582" s="22"/>
      <c r="H1582" s="22"/>
    </row>
    <row r="1583" spans="1:8" x14ac:dyDescent="0.2">
      <c r="A1583" s="22"/>
      <c r="B1583" s="107"/>
      <c r="C1583" s="107"/>
      <c r="D1583" s="108"/>
      <c r="E1583" s="22"/>
      <c r="F1583" s="109"/>
      <c r="G1583" s="22"/>
      <c r="H1583" s="22"/>
    </row>
    <row r="1584" spans="1:8" x14ac:dyDescent="0.2">
      <c r="A1584" s="22"/>
      <c r="B1584" s="107"/>
      <c r="C1584" s="107"/>
      <c r="D1584" s="108"/>
      <c r="E1584" s="22"/>
      <c r="F1584" s="109"/>
      <c r="G1584" s="22"/>
      <c r="H1584" s="22"/>
    </row>
    <row r="1585" spans="1:8" x14ac:dyDescent="0.2">
      <c r="A1585" s="22"/>
      <c r="B1585" s="107"/>
      <c r="C1585" s="107"/>
      <c r="D1585" s="108"/>
      <c r="E1585" s="22"/>
      <c r="F1585" s="109"/>
      <c r="G1585" s="22"/>
      <c r="H1585" s="22"/>
    </row>
    <row r="1586" spans="1:8" x14ac:dyDescent="0.2">
      <c r="A1586" s="22"/>
      <c r="B1586" s="107"/>
      <c r="C1586" s="107"/>
      <c r="D1586" s="108"/>
      <c r="E1586" s="22"/>
      <c r="F1586" s="109"/>
      <c r="G1586" s="22"/>
      <c r="H1586" s="22"/>
    </row>
    <row r="1587" spans="1:8" x14ac:dyDescent="0.2">
      <c r="A1587" s="22"/>
      <c r="B1587" s="107"/>
      <c r="C1587" s="107"/>
      <c r="D1587" s="108"/>
      <c r="E1587" s="22"/>
      <c r="F1587" s="109"/>
      <c r="G1587" s="22"/>
      <c r="H1587" s="22"/>
    </row>
    <row r="1588" spans="1:8" x14ac:dyDescent="0.2">
      <c r="A1588" s="22"/>
      <c r="B1588" s="107"/>
      <c r="C1588" s="107"/>
      <c r="D1588" s="108"/>
      <c r="E1588" s="22"/>
      <c r="F1588" s="109"/>
      <c r="G1588" s="22"/>
      <c r="H1588" s="22"/>
    </row>
    <row r="1589" spans="1:8" x14ac:dyDescent="0.2">
      <c r="A1589" s="22"/>
      <c r="B1589" s="107"/>
      <c r="C1589" s="107"/>
      <c r="D1589" s="108"/>
      <c r="E1589" s="22"/>
      <c r="F1589" s="109"/>
      <c r="G1589" s="22"/>
      <c r="H1589" s="22"/>
    </row>
    <row r="1590" spans="1:8" x14ac:dyDescent="0.2">
      <c r="A1590" s="22"/>
      <c r="B1590" s="107"/>
      <c r="C1590" s="107"/>
      <c r="D1590" s="108"/>
      <c r="E1590" s="22"/>
      <c r="F1590" s="109"/>
      <c r="G1590" s="22"/>
      <c r="H1590" s="22"/>
    </row>
    <row r="1591" spans="1:8" x14ac:dyDescent="0.2">
      <c r="A1591" s="22"/>
      <c r="B1591" s="107"/>
      <c r="C1591" s="107"/>
      <c r="D1591" s="108"/>
      <c r="E1591" s="22"/>
      <c r="F1591" s="109"/>
      <c r="G1591" s="22"/>
      <c r="H1591" s="22"/>
    </row>
    <row r="1592" spans="1:8" x14ac:dyDescent="0.2">
      <c r="A1592" s="22"/>
      <c r="B1592" s="107"/>
      <c r="C1592" s="107"/>
      <c r="D1592" s="108"/>
      <c r="E1592" s="22"/>
      <c r="F1592" s="109"/>
      <c r="G1592" s="22"/>
      <c r="H1592" s="22"/>
    </row>
    <row r="1593" spans="1:8" x14ac:dyDescent="0.2">
      <c r="A1593" s="22"/>
      <c r="B1593" s="107"/>
      <c r="C1593" s="107"/>
      <c r="D1593" s="108"/>
      <c r="E1593" s="22"/>
      <c r="F1593" s="109"/>
      <c r="G1593" s="22"/>
      <c r="H1593" s="22"/>
    </row>
    <row r="1594" spans="1:8" x14ac:dyDescent="0.2">
      <c r="A1594" s="22"/>
      <c r="B1594" s="107"/>
      <c r="C1594" s="107"/>
      <c r="D1594" s="108"/>
      <c r="E1594" s="22"/>
      <c r="F1594" s="109"/>
      <c r="G1594" s="22"/>
      <c r="H1594" s="22"/>
    </row>
    <row r="1595" spans="1:8" x14ac:dyDescent="0.2">
      <c r="A1595" s="22"/>
      <c r="B1595" s="107"/>
      <c r="C1595" s="107"/>
      <c r="D1595" s="108"/>
      <c r="E1595" s="22"/>
      <c r="F1595" s="109"/>
      <c r="G1595" s="22"/>
      <c r="H1595" s="22"/>
    </row>
    <row r="1596" spans="1:8" x14ac:dyDescent="0.2">
      <c r="A1596" s="22"/>
      <c r="B1596" s="107"/>
      <c r="C1596" s="107"/>
      <c r="D1596" s="108"/>
      <c r="E1596" s="22"/>
      <c r="F1596" s="109"/>
      <c r="G1596" s="22"/>
      <c r="H1596" s="22"/>
    </row>
    <row r="1597" spans="1:8" x14ac:dyDescent="0.2">
      <c r="A1597" s="22"/>
      <c r="B1597" s="107"/>
      <c r="C1597" s="107"/>
      <c r="D1597" s="108"/>
      <c r="E1597" s="22"/>
      <c r="F1597" s="109"/>
      <c r="G1597" s="22"/>
      <c r="H1597" s="22"/>
    </row>
    <row r="1598" spans="1:8" x14ac:dyDescent="0.2">
      <c r="A1598" s="22"/>
      <c r="B1598" s="107"/>
      <c r="C1598" s="107"/>
      <c r="D1598" s="108"/>
      <c r="E1598" s="22"/>
      <c r="F1598" s="109"/>
      <c r="G1598" s="22"/>
      <c r="H1598" s="22"/>
    </row>
    <row r="1599" spans="1:8" x14ac:dyDescent="0.2">
      <c r="A1599" s="22"/>
      <c r="B1599" s="107"/>
      <c r="C1599" s="107"/>
      <c r="D1599" s="108"/>
      <c r="E1599" s="22"/>
      <c r="F1599" s="109"/>
      <c r="G1599" s="22"/>
      <c r="H1599" s="22"/>
    </row>
    <row r="1600" spans="1:8" x14ac:dyDescent="0.2">
      <c r="A1600" s="22"/>
      <c r="B1600" s="107"/>
      <c r="C1600" s="107"/>
      <c r="D1600" s="108"/>
      <c r="E1600" s="22"/>
      <c r="F1600" s="109"/>
      <c r="G1600" s="22"/>
      <c r="H1600" s="22"/>
    </row>
    <row r="1601" spans="1:8" x14ac:dyDescent="0.2">
      <c r="A1601" s="22"/>
      <c r="B1601" s="107"/>
      <c r="C1601" s="107"/>
      <c r="D1601" s="108"/>
      <c r="E1601" s="22"/>
      <c r="F1601" s="109"/>
      <c r="G1601" s="22"/>
      <c r="H1601" s="22"/>
    </row>
    <row r="1602" spans="1:8" x14ac:dyDescent="0.2">
      <c r="A1602" s="22"/>
      <c r="B1602" s="107"/>
      <c r="C1602" s="107"/>
      <c r="D1602" s="108"/>
      <c r="E1602" s="22"/>
      <c r="F1602" s="109"/>
      <c r="G1602" s="22"/>
      <c r="H1602" s="22"/>
    </row>
    <row r="1603" spans="1:8" x14ac:dyDescent="0.2">
      <c r="A1603" s="22"/>
      <c r="B1603" s="107"/>
      <c r="C1603" s="107"/>
      <c r="D1603" s="108"/>
      <c r="E1603" s="22"/>
      <c r="F1603" s="109"/>
      <c r="G1603" s="22"/>
      <c r="H1603" s="22"/>
    </row>
    <row r="1604" spans="1:8" x14ac:dyDescent="0.2">
      <c r="A1604" s="22"/>
      <c r="B1604" s="107"/>
      <c r="C1604" s="107"/>
      <c r="D1604" s="108"/>
      <c r="E1604" s="22"/>
      <c r="F1604" s="109"/>
      <c r="G1604" s="22"/>
      <c r="H1604" s="22"/>
    </row>
    <row r="1605" spans="1:8" x14ac:dyDescent="0.2">
      <c r="A1605" s="22"/>
      <c r="B1605" s="107"/>
      <c r="C1605" s="107"/>
      <c r="D1605" s="108"/>
      <c r="E1605" s="22"/>
      <c r="F1605" s="109"/>
      <c r="G1605" s="22"/>
      <c r="H1605" s="22"/>
    </row>
    <row r="1606" spans="1:8" x14ac:dyDescent="0.2">
      <c r="A1606" s="22"/>
      <c r="B1606" s="107"/>
      <c r="C1606" s="107"/>
      <c r="D1606" s="108"/>
      <c r="E1606" s="22"/>
      <c r="F1606" s="109"/>
      <c r="G1606" s="22"/>
      <c r="H1606" s="22"/>
    </row>
    <row r="1607" spans="1:8" x14ac:dyDescent="0.2">
      <c r="A1607" s="22"/>
      <c r="B1607" s="107"/>
      <c r="C1607" s="107"/>
      <c r="D1607" s="108"/>
      <c r="E1607" s="22"/>
      <c r="F1607" s="109"/>
      <c r="G1607" s="22"/>
      <c r="H1607" s="22"/>
    </row>
    <row r="1608" spans="1:8" x14ac:dyDescent="0.2">
      <c r="A1608" s="22"/>
      <c r="B1608" s="107"/>
      <c r="C1608" s="107"/>
      <c r="D1608" s="108"/>
      <c r="E1608" s="22"/>
      <c r="F1608" s="109"/>
      <c r="G1608" s="22"/>
      <c r="H1608" s="22"/>
    </row>
    <row r="1609" spans="1:8" x14ac:dyDescent="0.2">
      <c r="A1609" s="22"/>
      <c r="B1609" s="107"/>
      <c r="C1609" s="107"/>
      <c r="D1609" s="108"/>
      <c r="E1609" s="22"/>
      <c r="F1609" s="109"/>
      <c r="G1609" s="22"/>
      <c r="H1609" s="22"/>
    </row>
    <row r="1610" spans="1:8" x14ac:dyDescent="0.2">
      <c r="A1610" s="22"/>
      <c r="B1610" s="107"/>
      <c r="C1610" s="107"/>
      <c r="D1610" s="108"/>
      <c r="E1610" s="22"/>
      <c r="F1610" s="109"/>
      <c r="G1610" s="22"/>
      <c r="H1610" s="22"/>
    </row>
    <row r="1611" spans="1:8" x14ac:dyDescent="0.2">
      <c r="A1611" s="22"/>
      <c r="B1611" s="107"/>
      <c r="C1611" s="107"/>
      <c r="D1611" s="108"/>
      <c r="E1611" s="22"/>
      <c r="F1611" s="109"/>
      <c r="G1611" s="22"/>
      <c r="H1611" s="22"/>
    </row>
    <row r="1612" spans="1:8" x14ac:dyDescent="0.2">
      <c r="A1612" s="22"/>
      <c r="B1612" s="107"/>
      <c r="C1612" s="107"/>
      <c r="D1612" s="108"/>
      <c r="E1612" s="22"/>
      <c r="F1612" s="109"/>
      <c r="G1612" s="22"/>
      <c r="H1612" s="22"/>
    </row>
    <row r="1613" spans="1:8" x14ac:dyDescent="0.2">
      <c r="A1613" s="22"/>
      <c r="B1613" s="107"/>
      <c r="C1613" s="107"/>
      <c r="D1613" s="108"/>
      <c r="E1613" s="22"/>
      <c r="F1613" s="109"/>
      <c r="G1613" s="22"/>
      <c r="H1613" s="22"/>
    </row>
    <row r="1614" spans="1:8" x14ac:dyDescent="0.2">
      <c r="A1614" s="22"/>
      <c r="B1614" s="107"/>
      <c r="C1614" s="107"/>
      <c r="D1614" s="108"/>
      <c r="E1614" s="22"/>
      <c r="F1614" s="109"/>
      <c r="G1614" s="22"/>
      <c r="H1614" s="22"/>
    </row>
    <row r="1615" spans="1:8" x14ac:dyDescent="0.2">
      <c r="A1615" s="22"/>
      <c r="B1615" s="107"/>
      <c r="C1615" s="107"/>
      <c r="D1615" s="108"/>
      <c r="E1615" s="22"/>
      <c r="F1615" s="109"/>
      <c r="G1615" s="22"/>
      <c r="H1615" s="22"/>
    </row>
    <row r="1616" spans="1:8" x14ac:dyDescent="0.2">
      <c r="A1616" s="22"/>
      <c r="B1616" s="107"/>
      <c r="C1616" s="107"/>
      <c r="D1616" s="108"/>
      <c r="E1616" s="22"/>
      <c r="F1616" s="109"/>
      <c r="G1616" s="22"/>
      <c r="H1616" s="22"/>
    </row>
    <row r="1617" spans="1:8" x14ac:dyDescent="0.2">
      <c r="A1617" s="22"/>
      <c r="B1617" s="107"/>
      <c r="C1617" s="107"/>
      <c r="D1617" s="108"/>
      <c r="E1617" s="22"/>
      <c r="F1617" s="109"/>
      <c r="G1617" s="22"/>
      <c r="H1617" s="22"/>
    </row>
    <row r="1618" spans="1:8" x14ac:dyDescent="0.2">
      <c r="A1618" s="22"/>
      <c r="B1618" s="107"/>
      <c r="C1618" s="107"/>
      <c r="D1618" s="108"/>
      <c r="E1618" s="22"/>
      <c r="F1618" s="109"/>
      <c r="G1618" s="22"/>
      <c r="H1618" s="22"/>
    </row>
    <row r="1619" spans="1:8" x14ac:dyDescent="0.2">
      <c r="A1619" s="22"/>
      <c r="B1619" s="107"/>
      <c r="C1619" s="107"/>
      <c r="D1619" s="108"/>
      <c r="E1619" s="22"/>
      <c r="F1619" s="109"/>
      <c r="G1619" s="22"/>
      <c r="H1619" s="22"/>
    </row>
    <row r="1620" spans="1:8" x14ac:dyDescent="0.2">
      <c r="A1620" s="22"/>
      <c r="B1620" s="107"/>
      <c r="C1620" s="107"/>
      <c r="D1620" s="108"/>
      <c r="E1620" s="22"/>
      <c r="F1620" s="109"/>
      <c r="G1620" s="22"/>
      <c r="H1620" s="22"/>
    </row>
    <row r="1621" spans="1:8" x14ac:dyDescent="0.2">
      <c r="A1621" s="22"/>
      <c r="B1621" s="107"/>
      <c r="C1621" s="107"/>
      <c r="D1621" s="108"/>
      <c r="E1621" s="22"/>
      <c r="F1621" s="109"/>
      <c r="G1621" s="22"/>
      <c r="H1621" s="22"/>
    </row>
    <row r="1622" spans="1:8" x14ac:dyDescent="0.2">
      <c r="A1622" s="22"/>
      <c r="B1622" s="107"/>
      <c r="C1622" s="107"/>
      <c r="D1622" s="108"/>
      <c r="E1622" s="22"/>
      <c r="F1622" s="109"/>
      <c r="G1622" s="22"/>
      <c r="H1622" s="22"/>
    </row>
    <row r="1623" spans="1:8" x14ac:dyDescent="0.2">
      <c r="A1623" s="22"/>
      <c r="B1623" s="107"/>
      <c r="C1623" s="107"/>
      <c r="D1623" s="108"/>
      <c r="E1623" s="22"/>
      <c r="F1623" s="109"/>
      <c r="G1623" s="22"/>
      <c r="H1623" s="22"/>
    </row>
    <row r="1624" spans="1:8" x14ac:dyDescent="0.2">
      <c r="A1624" s="22"/>
      <c r="B1624" s="107"/>
      <c r="C1624" s="107"/>
      <c r="D1624" s="108"/>
      <c r="E1624" s="22"/>
      <c r="F1624" s="109"/>
      <c r="G1624" s="22"/>
      <c r="H1624" s="22"/>
    </row>
    <row r="1625" spans="1:8" x14ac:dyDescent="0.2">
      <c r="A1625" s="22"/>
      <c r="B1625" s="107"/>
      <c r="C1625" s="107"/>
      <c r="D1625" s="108"/>
      <c r="E1625" s="22"/>
      <c r="F1625" s="109"/>
      <c r="G1625" s="22"/>
      <c r="H1625" s="22"/>
    </row>
    <row r="1626" spans="1:8" x14ac:dyDescent="0.2">
      <c r="A1626" s="22"/>
      <c r="B1626" s="107"/>
      <c r="C1626" s="107"/>
      <c r="D1626" s="108"/>
      <c r="E1626" s="22"/>
      <c r="F1626" s="109"/>
      <c r="G1626" s="22"/>
      <c r="H1626" s="22"/>
    </row>
    <row r="1627" spans="1:8" x14ac:dyDescent="0.2">
      <c r="A1627" s="22"/>
      <c r="B1627" s="107"/>
      <c r="C1627" s="107"/>
      <c r="D1627" s="108"/>
      <c r="E1627" s="22"/>
      <c r="F1627" s="109"/>
      <c r="G1627" s="22"/>
      <c r="H1627" s="22"/>
    </row>
    <row r="1628" spans="1:8" x14ac:dyDescent="0.2">
      <c r="A1628" s="22"/>
      <c r="B1628" s="107"/>
      <c r="C1628" s="107"/>
      <c r="D1628" s="108"/>
      <c r="E1628" s="22"/>
      <c r="F1628" s="109"/>
      <c r="G1628" s="22"/>
      <c r="H1628" s="22"/>
    </row>
    <row r="1629" spans="1:8" x14ac:dyDescent="0.2">
      <c r="A1629" s="22"/>
      <c r="B1629" s="107"/>
      <c r="C1629" s="107"/>
      <c r="D1629" s="108"/>
      <c r="E1629" s="22"/>
      <c r="F1629" s="109"/>
      <c r="G1629" s="22"/>
      <c r="H1629" s="22"/>
    </row>
    <row r="1630" spans="1:8" x14ac:dyDescent="0.2">
      <c r="A1630" s="22"/>
      <c r="B1630" s="107"/>
      <c r="C1630" s="107"/>
      <c r="D1630" s="108"/>
      <c r="E1630" s="22"/>
      <c r="F1630" s="109"/>
      <c r="G1630" s="22"/>
      <c r="H1630" s="22"/>
    </row>
    <row r="1631" spans="1:8" x14ac:dyDescent="0.2">
      <c r="A1631" s="22"/>
      <c r="B1631" s="107"/>
      <c r="C1631" s="107"/>
      <c r="D1631" s="108"/>
      <c r="E1631" s="22"/>
      <c r="F1631" s="109"/>
      <c r="G1631" s="22"/>
      <c r="H1631" s="22"/>
    </row>
    <row r="1632" spans="1:8" x14ac:dyDescent="0.2">
      <c r="A1632" s="22"/>
      <c r="B1632" s="107"/>
      <c r="C1632" s="107"/>
      <c r="D1632" s="108"/>
      <c r="E1632" s="22"/>
      <c r="F1632" s="109"/>
      <c r="G1632" s="22"/>
      <c r="H1632" s="22"/>
    </row>
    <row r="1633" spans="1:8" x14ac:dyDescent="0.2">
      <c r="A1633" s="22"/>
      <c r="B1633" s="107"/>
      <c r="C1633" s="107"/>
      <c r="D1633" s="108"/>
      <c r="E1633" s="22"/>
      <c r="F1633" s="109"/>
      <c r="G1633" s="22"/>
      <c r="H1633" s="22"/>
    </row>
    <row r="1634" spans="1:8" x14ac:dyDescent="0.2">
      <c r="A1634" s="22"/>
      <c r="B1634" s="107"/>
      <c r="C1634" s="107"/>
      <c r="D1634" s="108"/>
      <c r="E1634" s="22"/>
      <c r="F1634" s="109"/>
      <c r="G1634" s="22"/>
      <c r="H1634" s="22"/>
    </row>
    <row r="1635" spans="1:8" x14ac:dyDescent="0.2">
      <c r="A1635" s="22"/>
      <c r="B1635" s="107"/>
      <c r="C1635" s="107"/>
      <c r="D1635" s="108"/>
      <c r="E1635" s="22"/>
      <c r="F1635" s="109"/>
      <c r="G1635" s="22"/>
      <c r="H1635" s="22"/>
    </row>
    <row r="1636" spans="1:8" x14ac:dyDescent="0.2">
      <c r="A1636" s="22"/>
      <c r="B1636" s="107"/>
      <c r="C1636" s="107"/>
      <c r="D1636" s="108"/>
      <c r="E1636" s="22"/>
      <c r="F1636" s="109"/>
      <c r="G1636" s="22"/>
      <c r="H1636" s="22"/>
    </row>
    <row r="1637" spans="1:8" x14ac:dyDescent="0.2">
      <c r="A1637" s="22"/>
      <c r="B1637" s="107"/>
      <c r="C1637" s="107"/>
      <c r="D1637" s="108"/>
      <c r="E1637" s="22"/>
      <c r="F1637" s="109"/>
      <c r="G1637" s="22"/>
      <c r="H1637" s="22"/>
    </row>
    <row r="1638" spans="1:8" x14ac:dyDescent="0.2">
      <c r="A1638" s="22"/>
      <c r="B1638" s="107"/>
      <c r="C1638" s="107"/>
      <c r="D1638" s="108"/>
      <c r="E1638" s="22"/>
      <c r="F1638" s="109"/>
      <c r="G1638" s="22"/>
      <c r="H1638" s="22"/>
    </row>
    <row r="1639" spans="1:8" x14ac:dyDescent="0.2">
      <c r="A1639" s="22"/>
      <c r="B1639" s="107"/>
      <c r="C1639" s="107"/>
      <c r="D1639" s="108"/>
      <c r="E1639" s="22"/>
      <c r="F1639" s="109"/>
      <c r="G1639" s="22"/>
      <c r="H1639" s="22"/>
    </row>
    <row r="1640" spans="1:8" x14ac:dyDescent="0.2">
      <c r="A1640" s="22"/>
      <c r="B1640" s="107"/>
      <c r="C1640" s="107"/>
      <c r="D1640" s="108"/>
      <c r="E1640" s="22"/>
      <c r="F1640" s="109"/>
      <c r="G1640" s="22"/>
      <c r="H1640" s="22"/>
    </row>
    <row r="1641" spans="1:8" x14ac:dyDescent="0.2">
      <c r="A1641" s="22"/>
      <c r="B1641" s="107"/>
      <c r="C1641" s="107"/>
      <c r="D1641" s="108"/>
      <c r="E1641" s="22"/>
      <c r="F1641" s="109"/>
      <c r="G1641" s="22"/>
      <c r="H1641" s="22"/>
    </row>
    <row r="1642" spans="1:8" x14ac:dyDescent="0.2">
      <c r="A1642" s="22"/>
      <c r="B1642" s="107"/>
      <c r="C1642" s="107"/>
      <c r="D1642" s="108"/>
      <c r="E1642" s="22"/>
      <c r="F1642" s="109"/>
      <c r="G1642" s="22"/>
      <c r="H1642" s="22"/>
    </row>
    <row r="1643" spans="1:8" x14ac:dyDescent="0.2">
      <c r="A1643" s="22"/>
      <c r="B1643" s="107"/>
      <c r="C1643" s="107"/>
      <c r="D1643" s="108"/>
      <c r="E1643" s="22"/>
      <c r="F1643" s="109"/>
      <c r="G1643" s="22"/>
      <c r="H1643" s="22"/>
    </row>
    <row r="1644" spans="1:8" x14ac:dyDescent="0.2">
      <c r="A1644" s="22"/>
      <c r="B1644" s="107"/>
      <c r="C1644" s="107"/>
      <c r="D1644" s="108"/>
      <c r="E1644" s="22"/>
      <c r="F1644" s="109"/>
      <c r="G1644" s="22"/>
      <c r="H1644" s="22"/>
    </row>
    <row r="1645" spans="1:8" x14ac:dyDescent="0.2">
      <c r="A1645" s="22"/>
      <c r="B1645" s="107"/>
      <c r="C1645" s="107"/>
      <c r="D1645" s="108"/>
      <c r="E1645" s="22"/>
      <c r="F1645" s="109"/>
      <c r="G1645" s="22"/>
      <c r="H1645" s="22"/>
    </row>
    <row r="1646" spans="1:8" x14ac:dyDescent="0.2">
      <c r="A1646" s="22"/>
      <c r="B1646" s="107"/>
      <c r="C1646" s="107"/>
      <c r="D1646" s="108"/>
      <c r="E1646" s="22"/>
      <c r="F1646" s="109"/>
      <c r="G1646" s="22"/>
      <c r="H1646" s="22"/>
    </row>
    <row r="1647" spans="1:8" x14ac:dyDescent="0.2">
      <c r="A1647" s="22"/>
      <c r="B1647" s="107"/>
      <c r="C1647" s="107"/>
      <c r="D1647" s="108"/>
      <c r="E1647" s="22"/>
      <c r="F1647" s="109"/>
      <c r="G1647" s="22"/>
      <c r="H1647" s="22"/>
    </row>
    <row r="1648" spans="1:8" x14ac:dyDescent="0.2">
      <c r="A1648" s="22"/>
      <c r="B1648" s="107"/>
      <c r="C1648" s="107"/>
      <c r="D1648" s="108"/>
      <c r="E1648" s="22"/>
      <c r="F1648" s="109"/>
      <c r="G1648" s="22"/>
      <c r="H1648" s="22"/>
    </row>
    <row r="1649" spans="1:8" x14ac:dyDescent="0.2">
      <c r="A1649" s="22"/>
      <c r="B1649" s="107"/>
      <c r="C1649" s="107"/>
      <c r="D1649" s="108"/>
      <c r="E1649" s="22"/>
      <c r="F1649" s="109"/>
      <c r="G1649" s="22"/>
      <c r="H1649" s="22"/>
    </row>
    <row r="1650" spans="1:8" x14ac:dyDescent="0.2">
      <c r="A1650" s="22"/>
      <c r="B1650" s="107"/>
      <c r="C1650" s="107"/>
      <c r="D1650" s="108"/>
      <c r="E1650" s="22"/>
      <c r="F1650" s="109"/>
      <c r="G1650" s="22"/>
      <c r="H1650" s="22"/>
    </row>
    <row r="1651" spans="1:8" x14ac:dyDescent="0.2">
      <c r="A1651" s="22"/>
      <c r="B1651" s="107"/>
      <c r="C1651" s="107"/>
      <c r="D1651" s="108"/>
      <c r="E1651" s="22"/>
      <c r="F1651" s="109"/>
      <c r="G1651" s="22"/>
      <c r="H1651" s="22"/>
    </row>
    <row r="1652" spans="1:8" x14ac:dyDescent="0.2">
      <c r="A1652" s="22"/>
      <c r="B1652" s="107"/>
      <c r="C1652" s="107"/>
      <c r="D1652" s="108"/>
      <c r="E1652" s="22"/>
      <c r="F1652" s="109"/>
      <c r="G1652" s="22"/>
      <c r="H1652" s="22"/>
    </row>
    <row r="1653" spans="1:8" x14ac:dyDescent="0.2">
      <c r="A1653" s="22"/>
      <c r="B1653" s="107"/>
      <c r="C1653" s="107"/>
      <c r="D1653" s="108"/>
      <c r="E1653" s="22"/>
      <c r="F1653" s="109"/>
      <c r="G1653" s="22"/>
      <c r="H1653" s="22"/>
    </row>
    <row r="1654" spans="1:8" x14ac:dyDescent="0.2">
      <c r="A1654" s="22"/>
      <c r="B1654" s="107"/>
      <c r="C1654" s="107"/>
      <c r="D1654" s="108"/>
      <c r="E1654" s="22"/>
      <c r="F1654" s="109"/>
      <c r="G1654" s="22"/>
      <c r="H1654" s="22"/>
    </row>
    <row r="1655" spans="1:8" x14ac:dyDescent="0.2">
      <c r="A1655" s="22"/>
      <c r="B1655" s="107"/>
      <c r="C1655" s="107"/>
      <c r="D1655" s="108"/>
      <c r="E1655" s="22"/>
      <c r="F1655" s="109"/>
      <c r="G1655" s="22"/>
      <c r="H1655" s="22"/>
    </row>
    <row r="1656" spans="1:8" x14ac:dyDescent="0.2">
      <c r="A1656" s="22"/>
      <c r="B1656" s="107"/>
      <c r="C1656" s="107"/>
      <c r="D1656" s="108"/>
      <c r="E1656" s="22"/>
      <c r="F1656" s="109"/>
      <c r="G1656" s="22"/>
      <c r="H1656" s="22"/>
    </row>
    <row r="1657" spans="1:8" x14ac:dyDescent="0.2">
      <c r="A1657" s="22"/>
      <c r="B1657" s="107"/>
      <c r="C1657" s="107"/>
      <c r="D1657" s="108"/>
      <c r="E1657" s="22"/>
      <c r="F1657" s="109"/>
      <c r="G1657" s="22"/>
      <c r="H1657" s="22"/>
    </row>
    <row r="1658" spans="1:8" x14ac:dyDescent="0.2">
      <c r="A1658" s="22"/>
      <c r="B1658" s="107"/>
      <c r="C1658" s="107"/>
      <c r="D1658" s="108"/>
      <c r="E1658" s="22"/>
      <c r="F1658" s="109"/>
      <c r="G1658" s="22"/>
      <c r="H1658" s="22"/>
    </row>
    <row r="1659" spans="1:8" x14ac:dyDescent="0.2">
      <c r="A1659" s="22"/>
      <c r="B1659" s="107"/>
      <c r="C1659" s="107"/>
      <c r="D1659" s="108"/>
      <c r="E1659" s="22"/>
      <c r="F1659" s="109"/>
      <c r="G1659" s="22"/>
      <c r="H1659" s="22"/>
    </row>
    <row r="1660" spans="1:8" x14ac:dyDescent="0.2">
      <c r="A1660" s="22"/>
      <c r="B1660" s="107"/>
      <c r="C1660" s="107"/>
      <c r="D1660" s="108"/>
      <c r="E1660" s="22"/>
      <c r="F1660" s="109"/>
      <c r="G1660" s="22"/>
      <c r="H1660" s="22"/>
    </row>
    <row r="1661" spans="1:8" x14ac:dyDescent="0.2">
      <c r="A1661" s="22"/>
      <c r="B1661" s="107"/>
      <c r="C1661" s="107"/>
      <c r="D1661" s="108"/>
      <c r="E1661" s="22"/>
      <c r="F1661" s="109"/>
      <c r="G1661" s="22"/>
      <c r="H1661" s="22"/>
    </row>
    <row r="1662" spans="1:8" x14ac:dyDescent="0.2">
      <c r="A1662" s="22"/>
      <c r="B1662" s="107"/>
      <c r="C1662" s="107"/>
      <c r="D1662" s="108"/>
      <c r="E1662" s="22"/>
      <c r="F1662" s="109"/>
      <c r="G1662" s="22"/>
      <c r="H1662" s="22"/>
    </row>
    <row r="1663" spans="1:8" x14ac:dyDescent="0.2">
      <c r="A1663" s="22"/>
      <c r="B1663" s="107"/>
      <c r="C1663" s="107"/>
      <c r="D1663" s="108"/>
      <c r="E1663" s="22"/>
      <c r="F1663" s="109"/>
      <c r="G1663" s="22"/>
      <c r="H1663" s="22"/>
    </row>
    <row r="1664" spans="1:8" x14ac:dyDescent="0.2">
      <c r="A1664" s="22"/>
      <c r="B1664" s="107"/>
      <c r="C1664" s="107"/>
      <c r="D1664" s="108"/>
      <c r="E1664" s="22"/>
      <c r="F1664" s="109"/>
      <c r="G1664" s="22"/>
      <c r="H1664" s="22"/>
    </row>
    <row r="1665" spans="1:8" x14ac:dyDescent="0.2">
      <c r="A1665" s="22"/>
      <c r="B1665" s="107"/>
      <c r="C1665" s="107"/>
      <c r="D1665" s="108"/>
      <c r="E1665" s="22"/>
      <c r="F1665" s="109"/>
      <c r="G1665" s="22"/>
      <c r="H1665" s="22"/>
    </row>
    <row r="1666" spans="1:8" x14ac:dyDescent="0.2">
      <c r="A1666" s="22"/>
      <c r="B1666" s="107"/>
      <c r="C1666" s="107"/>
      <c r="D1666" s="108"/>
      <c r="E1666" s="22"/>
      <c r="F1666" s="109"/>
      <c r="G1666" s="22"/>
      <c r="H1666" s="22"/>
    </row>
    <row r="1667" spans="1:8" x14ac:dyDescent="0.2">
      <c r="A1667" s="22"/>
      <c r="B1667" s="107"/>
      <c r="C1667" s="107"/>
      <c r="D1667" s="108"/>
      <c r="E1667" s="22"/>
      <c r="F1667" s="109"/>
      <c r="G1667" s="22"/>
      <c r="H1667" s="22"/>
    </row>
    <row r="1668" spans="1:8" x14ac:dyDescent="0.2">
      <c r="A1668" s="22"/>
      <c r="B1668" s="107"/>
      <c r="C1668" s="107"/>
      <c r="D1668" s="108"/>
      <c r="E1668" s="22"/>
      <c r="F1668" s="109"/>
      <c r="G1668" s="22"/>
      <c r="H1668" s="22"/>
    </row>
    <row r="1669" spans="1:8" x14ac:dyDescent="0.2">
      <c r="A1669" s="22"/>
      <c r="B1669" s="107"/>
      <c r="C1669" s="107"/>
      <c r="D1669" s="108"/>
      <c r="E1669" s="22"/>
      <c r="F1669" s="109"/>
      <c r="G1669" s="22"/>
      <c r="H1669" s="22"/>
    </row>
    <row r="1670" spans="1:8" x14ac:dyDescent="0.2">
      <c r="A1670" s="22"/>
      <c r="B1670" s="107"/>
      <c r="C1670" s="107"/>
      <c r="D1670" s="108"/>
      <c r="E1670" s="22"/>
      <c r="F1670" s="109"/>
      <c r="G1670" s="22"/>
      <c r="H1670" s="22"/>
    </row>
    <row r="1671" spans="1:8" x14ac:dyDescent="0.2">
      <c r="A1671" s="22"/>
      <c r="B1671" s="107"/>
      <c r="C1671" s="107"/>
      <c r="D1671" s="108"/>
      <c r="E1671" s="22"/>
      <c r="F1671" s="109"/>
      <c r="G1671" s="22"/>
      <c r="H1671" s="22"/>
    </row>
    <row r="1672" spans="1:8" x14ac:dyDescent="0.2">
      <c r="A1672" s="22"/>
      <c r="B1672" s="107"/>
      <c r="C1672" s="107"/>
      <c r="D1672" s="108"/>
      <c r="E1672" s="22"/>
      <c r="F1672" s="109"/>
      <c r="G1672" s="22"/>
      <c r="H1672" s="22"/>
    </row>
    <row r="1673" spans="1:8" x14ac:dyDescent="0.2">
      <c r="A1673" s="22"/>
      <c r="B1673" s="107"/>
      <c r="C1673" s="107"/>
      <c r="D1673" s="108"/>
      <c r="E1673" s="22"/>
      <c r="F1673" s="109"/>
      <c r="G1673" s="22"/>
      <c r="H1673" s="22"/>
    </row>
    <row r="1674" spans="1:8" x14ac:dyDescent="0.2">
      <c r="A1674" s="22"/>
      <c r="B1674" s="107"/>
      <c r="C1674" s="107"/>
      <c r="D1674" s="108"/>
      <c r="E1674" s="22"/>
      <c r="F1674" s="109"/>
      <c r="G1674" s="22"/>
      <c r="H1674" s="22"/>
    </row>
    <row r="1675" spans="1:8" x14ac:dyDescent="0.2">
      <c r="A1675" s="22"/>
      <c r="B1675" s="107"/>
      <c r="C1675" s="107"/>
      <c r="D1675" s="108"/>
      <c r="E1675" s="22"/>
      <c r="F1675" s="109"/>
      <c r="G1675" s="22"/>
      <c r="H1675" s="22"/>
    </row>
    <row r="1676" spans="1:8" x14ac:dyDescent="0.2">
      <c r="A1676" s="22"/>
      <c r="B1676" s="107"/>
      <c r="C1676" s="107"/>
      <c r="D1676" s="108"/>
      <c r="E1676" s="22"/>
      <c r="F1676" s="109"/>
      <c r="G1676" s="22"/>
      <c r="H1676" s="22"/>
    </row>
    <row r="1677" spans="1:8" x14ac:dyDescent="0.2">
      <c r="A1677" s="22"/>
      <c r="B1677" s="107"/>
      <c r="C1677" s="107"/>
      <c r="D1677" s="108"/>
      <c r="E1677" s="22"/>
      <c r="F1677" s="109"/>
      <c r="G1677" s="22"/>
      <c r="H1677" s="22"/>
    </row>
    <row r="1678" spans="1:8" x14ac:dyDescent="0.2">
      <c r="A1678" s="22"/>
      <c r="B1678" s="107"/>
      <c r="C1678" s="107"/>
      <c r="D1678" s="108"/>
      <c r="E1678" s="22"/>
      <c r="F1678" s="109"/>
      <c r="G1678" s="22"/>
      <c r="H1678" s="22"/>
    </row>
    <row r="1679" spans="1:8" x14ac:dyDescent="0.2">
      <c r="A1679" s="22"/>
      <c r="B1679" s="107"/>
      <c r="C1679" s="107"/>
      <c r="D1679" s="108"/>
      <c r="E1679" s="22"/>
      <c r="F1679" s="109"/>
      <c r="G1679" s="22"/>
      <c r="H1679" s="22"/>
    </row>
    <row r="1680" spans="1:8" x14ac:dyDescent="0.2">
      <c r="A1680" s="22"/>
      <c r="B1680" s="107"/>
      <c r="C1680" s="107"/>
      <c r="D1680" s="108"/>
      <c r="E1680" s="22"/>
      <c r="F1680" s="109"/>
      <c r="G1680" s="22"/>
      <c r="H1680" s="22"/>
    </row>
    <row r="1681" spans="1:8" x14ac:dyDescent="0.2">
      <c r="A1681" s="22"/>
      <c r="B1681" s="107"/>
      <c r="C1681" s="107"/>
      <c r="D1681" s="108"/>
      <c r="E1681" s="22"/>
      <c r="F1681" s="109"/>
      <c r="G1681" s="22"/>
      <c r="H1681" s="22"/>
    </row>
    <row r="1682" spans="1:8" x14ac:dyDescent="0.2">
      <c r="A1682" s="22"/>
      <c r="B1682" s="107"/>
      <c r="C1682" s="107"/>
      <c r="D1682" s="108"/>
      <c r="E1682" s="22"/>
      <c r="F1682" s="109"/>
      <c r="G1682" s="22"/>
      <c r="H1682" s="22"/>
    </row>
    <row r="1683" spans="1:8" x14ac:dyDescent="0.2">
      <c r="A1683" s="22"/>
      <c r="B1683" s="107"/>
      <c r="C1683" s="107"/>
      <c r="D1683" s="108"/>
      <c r="E1683" s="22"/>
      <c r="F1683" s="109"/>
      <c r="G1683" s="22"/>
      <c r="H1683" s="22"/>
    </row>
    <row r="1684" spans="1:8" x14ac:dyDescent="0.2">
      <c r="A1684" s="22"/>
      <c r="B1684" s="107"/>
      <c r="C1684" s="107"/>
      <c r="D1684" s="108"/>
      <c r="E1684" s="22"/>
      <c r="F1684" s="109"/>
      <c r="G1684" s="22"/>
      <c r="H1684" s="22"/>
    </row>
    <row r="1685" spans="1:8" x14ac:dyDescent="0.2">
      <c r="A1685" s="22"/>
      <c r="B1685" s="107"/>
      <c r="C1685" s="107"/>
      <c r="D1685" s="108"/>
      <c r="E1685" s="22"/>
      <c r="F1685" s="109"/>
      <c r="G1685" s="22"/>
      <c r="H1685" s="22"/>
    </row>
    <row r="1686" spans="1:8" x14ac:dyDescent="0.2">
      <c r="A1686" s="22"/>
      <c r="B1686" s="107"/>
      <c r="C1686" s="107"/>
      <c r="D1686" s="108"/>
      <c r="E1686" s="22"/>
      <c r="F1686" s="109"/>
      <c r="G1686" s="22"/>
      <c r="H1686" s="22"/>
    </row>
    <row r="1687" spans="1:8" x14ac:dyDescent="0.2">
      <c r="A1687" s="22"/>
      <c r="B1687" s="107"/>
      <c r="C1687" s="107"/>
      <c r="D1687" s="108"/>
      <c r="E1687" s="22"/>
      <c r="F1687" s="109"/>
      <c r="G1687" s="22"/>
      <c r="H1687" s="22"/>
    </row>
    <row r="1688" spans="1:8" x14ac:dyDescent="0.2">
      <c r="A1688" s="22"/>
      <c r="B1688" s="107"/>
      <c r="C1688" s="107"/>
      <c r="D1688" s="108"/>
      <c r="E1688" s="22"/>
      <c r="F1688" s="109"/>
      <c r="G1688" s="22"/>
      <c r="H1688" s="22"/>
    </row>
    <row r="1689" spans="1:8" x14ac:dyDescent="0.2">
      <c r="A1689" s="22"/>
      <c r="B1689" s="107"/>
      <c r="C1689" s="107"/>
      <c r="D1689" s="108"/>
      <c r="E1689" s="22"/>
      <c r="F1689" s="109"/>
      <c r="G1689" s="22"/>
      <c r="H1689" s="22"/>
    </row>
    <row r="1690" spans="1:8" x14ac:dyDescent="0.2">
      <c r="A1690" s="22"/>
      <c r="B1690" s="107"/>
      <c r="C1690" s="107"/>
      <c r="D1690" s="108"/>
      <c r="E1690" s="22"/>
      <c r="F1690" s="109"/>
      <c r="G1690" s="22"/>
      <c r="H1690" s="22"/>
    </row>
    <row r="1691" spans="1:8" x14ac:dyDescent="0.2">
      <c r="A1691" s="22"/>
      <c r="B1691" s="107"/>
      <c r="C1691" s="107"/>
      <c r="D1691" s="108"/>
      <c r="E1691" s="22"/>
      <c r="F1691" s="109"/>
      <c r="G1691" s="22"/>
      <c r="H1691" s="22"/>
    </row>
    <row r="1692" spans="1:8" x14ac:dyDescent="0.2">
      <c r="A1692" s="22"/>
      <c r="B1692" s="107"/>
      <c r="C1692" s="107"/>
      <c r="D1692" s="108"/>
      <c r="E1692" s="22"/>
      <c r="F1692" s="109"/>
      <c r="G1692" s="22"/>
      <c r="H1692" s="22"/>
    </row>
    <row r="1693" spans="1:8" x14ac:dyDescent="0.2">
      <c r="A1693" s="22"/>
      <c r="B1693" s="107"/>
      <c r="C1693" s="107"/>
      <c r="D1693" s="108"/>
      <c r="E1693" s="22"/>
      <c r="F1693" s="109"/>
      <c r="G1693" s="22"/>
      <c r="H1693" s="22"/>
    </row>
    <row r="1694" spans="1:8" x14ac:dyDescent="0.2">
      <c r="A1694" s="22"/>
      <c r="B1694" s="107"/>
      <c r="C1694" s="107"/>
      <c r="D1694" s="108"/>
      <c r="E1694" s="22"/>
      <c r="F1694" s="109"/>
      <c r="G1694" s="22"/>
      <c r="H1694" s="22"/>
    </row>
    <row r="1695" spans="1:8" x14ac:dyDescent="0.2">
      <c r="A1695" s="22"/>
      <c r="B1695" s="107"/>
      <c r="C1695" s="107"/>
      <c r="D1695" s="108"/>
      <c r="E1695" s="22"/>
      <c r="F1695" s="109"/>
      <c r="G1695" s="22"/>
      <c r="H1695" s="22"/>
    </row>
    <row r="1696" spans="1:8" x14ac:dyDescent="0.2">
      <c r="A1696" s="22"/>
      <c r="B1696" s="107"/>
      <c r="C1696" s="107"/>
      <c r="D1696" s="108"/>
      <c r="E1696" s="22"/>
      <c r="F1696" s="109"/>
      <c r="G1696" s="22"/>
      <c r="H1696" s="22"/>
    </row>
    <row r="1697" spans="1:8" x14ac:dyDescent="0.2">
      <c r="A1697" s="22"/>
      <c r="B1697" s="107"/>
      <c r="C1697" s="107"/>
      <c r="D1697" s="108"/>
      <c r="E1697" s="22"/>
      <c r="F1697" s="109"/>
      <c r="G1697" s="22"/>
      <c r="H1697" s="22"/>
    </row>
    <row r="1698" spans="1:8" x14ac:dyDescent="0.2">
      <c r="A1698" s="22"/>
      <c r="B1698" s="107"/>
      <c r="C1698" s="107"/>
      <c r="D1698" s="108"/>
      <c r="E1698" s="22"/>
      <c r="F1698" s="109"/>
      <c r="G1698" s="22"/>
      <c r="H1698" s="22"/>
    </row>
    <row r="1699" spans="1:8" x14ac:dyDescent="0.2">
      <c r="A1699" s="22"/>
      <c r="B1699" s="107"/>
      <c r="C1699" s="107"/>
      <c r="D1699" s="108"/>
      <c r="E1699" s="22"/>
      <c r="F1699" s="109"/>
      <c r="G1699" s="22"/>
      <c r="H1699" s="22"/>
    </row>
    <row r="1700" spans="1:8" x14ac:dyDescent="0.2">
      <c r="A1700" s="22"/>
      <c r="B1700" s="107"/>
      <c r="C1700" s="107"/>
      <c r="D1700" s="108"/>
      <c r="E1700" s="22"/>
      <c r="F1700" s="109"/>
      <c r="G1700" s="22"/>
      <c r="H1700" s="22"/>
    </row>
    <row r="1701" spans="1:8" x14ac:dyDescent="0.2">
      <c r="A1701" s="22"/>
      <c r="B1701" s="107"/>
      <c r="C1701" s="107"/>
      <c r="D1701" s="108"/>
      <c r="E1701" s="22"/>
      <c r="F1701" s="109"/>
      <c r="G1701" s="22"/>
      <c r="H1701" s="22"/>
    </row>
    <row r="1702" spans="1:8" x14ac:dyDescent="0.2">
      <c r="A1702" s="22"/>
      <c r="B1702" s="107"/>
      <c r="C1702" s="107"/>
      <c r="D1702" s="108"/>
      <c r="E1702" s="22"/>
      <c r="F1702" s="109"/>
      <c r="G1702" s="22"/>
      <c r="H1702" s="22"/>
    </row>
    <row r="1703" spans="1:8" x14ac:dyDescent="0.2">
      <c r="A1703" s="22"/>
      <c r="B1703" s="107"/>
      <c r="C1703" s="107"/>
      <c r="D1703" s="108"/>
      <c r="E1703" s="22"/>
      <c r="F1703" s="109"/>
      <c r="G1703" s="22"/>
      <c r="H1703" s="22"/>
    </row>
    <row r="1704" spans="1:8" x14ac:dyDescent="0.2">
      <c r="A1704" s="22"/>
      <c r="B1704" s="107"/>
      <c r="C1704" s="107"/>
      <c r="D1704" s="108"/>
      <c r="E1704" s="22"/>
      <c r="F1704" s="109"/>
      <c r="G1704" s="22"/>
      <c r="H1704" s="22"/>
    </row>
    <row r="1705" spans="1:8" x14ac:dyDescent="0.2">
      <c r="A1705" s="22"/>
      <c r="B1705" s="107"/>
      <c r="C1705" s="107"/>
      <c r="D1705" s="108"/>
      <c r="E1705" s="22"/>
      <c r="F1705" s="109"/>
      <c r="G1705" s="22"/>
      <c r="H1705" s="22"/>
    </row>
    <row r="1706" spans="1:8" x14ac:dyDescent="0.2">
      <c r="A1706" s="22"/>
      <c r="B1706" s="107"/>
      <c r="C1706" s="107"/>
      <c r="D1706" s="108"/>
      <c r="E1706" s="22"/>
      <c r="F1706" s="109"/>
      <c r="G1706" s="22"/>
      <c r="H1706" s="22"/>
    </row>
    <row r="1707" spans="1:8" x14ac:dyDescent="0.2">
      <c r="A1707" s="22"/>
      <c r="B1707" s="107"/>
      <c r="C1707" s="107"/>
      <c r="D1707" s="108"/>
      <c r="E1707" s="22"/>
      <c r="F1707" s="109"/>
      <c r="G1707" s="22"/>
      <c r="H1707" s="22"/>
    </row>
    <row r="1708" spans="1:8" x14ac:dyDescent="0.2">
      <c r="A1708" s="22"/>
      <c r="B1708" s="107"/>
      <c r="C1708" s="107"/>
      <c r="D1708" s="108"/>
      <c r="E1708" s="22"/>
      <c r="F1708" s="109"/>
      <c r="G1708" s="22"/>
      <c r="H1708" s="22"/>
    </row>
    <row r="1709" spans="1:8" x14ac:dyDescent="0.2">
      <c r="A1709" s="22"/>
      <c r="B1709" s="107"/>
      <c r="C1709" s="107"/>
      <c r="D1709" s="108"/>
      <c r="E1709" s="22"/>
      <c r="F1709" s="109"/>
      <c r="G1709" s="22"/>
      <c r="H1709" s="22"/>
    </row>
    <row r="1710" spans="1:8" x14ac:dyDescent="0.2">
      <c r="A1710" s="22"/>
      <c r="B1710" s="107"/>
      <c r="C1710" s="107"/>
      <c r="D1710" s="108"/>
      <c r="E1710" s="22"/>
      <c r="F1710" s="109"/>
      <c r="G1710" s="22"/>
      <c r="H1710" s="22"/>
    </row>
    <row r="1711" spans="1:8" x14ac:dyDescent="0.2">
      <c r="A1711" s="22"/>
      <c r="B1711" s="107"/>
      <c r="C1711" s="107"/>
      <c r="D1711" s="108"/>
      <c r="E1711" s="22"/>
      <c r="F1711" s="109"/>
      <c r="G1711" s="22"/>
      <c r="H1711" s="22"/>
    </row>
    <row r="1712" spans="1:8" x14ac:dyDescent="0.2">
      <c r="A1712" s="22"/>
      <c r="B1712" s="107"/>
      <c r="C1712" s="107"/>
      <c r="D1712" s="108"/>
      <c r="E1712" s="22"/>
      <c r="F1712" s="109"/>
      <c r="G1712" s="22"/>
      <c r="H1712" s="22"/>
    </row>
  </sheetData>
  <protectedRanges>
    <protectedRange sqref="S101:S102" name="Rango1_1"/>
    <protectedRange sqref="C300" name="Rango1_11_1_1_1_1_2"/>
    <protectedRange sqref="H294:H355" name="Rango1_11_1_1_1_1_3"/>
    <protectedRange sqref="C282" name="Rango1_27_1_1_1_2_1"/>
    <protectedRange sqref="A130" name="Rango1_61"/>
    <protectedRange sqref="A131" name="Rango1_61_1"/>
  </protectedRanges>
  <autoFilter ref="A2:M367"/>
  <phoneticPr fontId="19" type="noConversion"/>
  <conditionalFormatting sqref="A2">
    <cfRule type="duplicateValues" dxfId="46" priority="39"/>
  </conditionalFormatting>
  <conditionalFormatting sqref="A3:A102 A104:A262">
    <cfRule type="duplicateValues" dxfId="45" priority="4"/>
  </conditionalFormatting>
  <conditionalFormatting sqref="A103">
    <cfRule type="duplicateValues" dxfId="44" priority="1"/>
    <cfRule type="duplicateValues" dxfId="43" priority="2"/>
    <cfRule type="duplicateValues" dxfId="42" priority="3"/>
  </conditionalFormatting>
  <conditionalFormatting sqref="A300">
    <cfRule type="duplicateValues" dxfId="41" priority="15"/>
    <cfRule type="duplicateValues" dxfId="40" priority="16"/>
    <cfRule type="duplicateValues" dxfId="39" priority="17"/>
  </conditionalFormatting>
  <conditionalFormatting sqref="A306:A331">
    <cfRule type="duplicateValues" dxfId="38" priority="8"/>
    <cfRule type="duplicateValues" dxfId="37" priority="9"/>
  </conditionalFormatting>
  <conditionalFormatting sqref="A332">
    <cfRule type="duplicateValues" dxfId="36" priority="13"/>
    <cfRule type="duplicateValues" dxfId="35" priority="14"/>
  </conditionalFormatting>
  <conditionalFormatting sqref="A333:A354 A294:A299 A301:A305">
    <cfRule type="duplicateValues" dxfId="34" priority="22"/>
  </conditionalFormatting>
  <conditionalFormatting sqref="A333:A354 A301:A305 A294:A299">
    <cfRule type="duplicateValues" dxfId="33" priority="21"/>
  </conditionalFormatting>
  <conditionalFormatting sqref="A355">
    <cfRule type="duplicateValues" dxfId="32" priority="23"/>
  </conditionalFormatting>
  <printOptions horizontalCentered="1"/>
  <pageMargins left="0.19685039370078741" right="0.19685039370078741" top="0.19685039370078741" bottom="0.19685039370078741" header="0" footer="0"/>
  <pageSetup paperSize="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J5085"/>
  <sheetViews>
    <sheetView showGridLines="0" workbookViewId="0"/>
  </sheetViews>
  <sheetFormatPr baseColWidth="10" defaultRowHeight="12.75" x14ac:dyDescent="0.2"/>
  <cols>
    <col min="1" max="2" width="11.42578125" style="159"/>
  </cols>
  <sheetData>
    <row r="1" spans="1:10" x14ac:dyDescent="0.2">
      <c r="A1">
        <v>1019186</v>
      </c>
      <c r="B1" t="s">
        <v>106</v>
      </c>
      <c r="G1" s="164" t="s">
        <v>555</v>
      </c>
      <c r="J1" s="164" t="s">
        <v>556</v>
      </c>
    </row>
    <row r="2" spans="1:10" x14ac:dyDescent="0.2">
      <c r="A2">
        <v>1088751</v>
      </c>
      <c r="B2" t="s">
        <v>916</v>
      </c>
    </row>
    <row r="3" spans="1:10" x14ac:dyDescent="0.2">
      <c r="A3">
        <v>1088792</v>
      </c>
      <c r="B3" t="s">
        <v>917</v>
      </c>
      <c r="G3" s="162" t="s">
        <v>543</v>
      </c>
      <c r="H3" s="163" t="s">
        <v>549</v>
      </c>
      <c r="I3" s="162">
        <v>2026</v>
      </c>
      <c r="J3" s="162" t="str">
        <f>+CONCATENATE(H3," ",I3)</f>
        <v>ENE 2026</v>
      </c>
    </row>
    <row r="4" spans="1:10" x14ac:dyDescent="0.2">
      <c r="A4">
        <v>1200001</v>
      </c>
      <c r="B4" t="s">
        <v>918</v>
      </c>
      <c r="G4" s="162" t="s">
        <v>544</v>
      </c>
      <c r="H4" s="163" t="s">
        <v>554</v>
      </c>
      <c r="I4" s="162">
        <v>2026</v>
      </c>
      <c r="J4" s="162" t="str">
        <f t="shared" ref="J4:J14" si="0">+CONCATENATE(H4," ",I4)</f>
        <v>FEB 2026</v>
      </c>
    </row>
    <row r="5" spans="1:10" x14ac:dyDescent="0.2">
      <c r="A5">
        <v>1207368</v>
      </c>
      <c r="B5" t="s">
        <v>78</v>
      </c>
      <c r="G5" s="162" t="s">
        <v>545</v>
      </c>
      <c r="H5" s="163" t="s">
        <v>550</v>
      </c>
      <c r="I5" s="162">
        <v>2026</v>
      </c>
      <c r="J5" s="162" t="str">
        <f t="shared" si="0"/>
        <v>MAR 2026</v>
      </c>
    </row>
    <row r="6" spans="1:10" x14ac:dyDescent="0.2">
      <c r="A6">
        <v>1209419</v>
      </c>
      <c r="B6" t="s">
        <v>920</v>
      </c>
      <c r="G6" s="162" t="s">
        <v>546</v>
      </c>
      <c r="H6" s="163" t="s">
        <v>551</v>
      </c>
      <c r="I6" s="162">
        <v>2026</v>
      </c>
      <c r="J6" s="162" t="str">
        <f t="shared" si="0"/>
        <v>ABR 2026</v>
      </c>
    </row>
    <row r="7" spans="1:10" x14ac:dyDescent="0.2">
      <c r="A7">
        <v>1210521</v>
      </c>
      <c r="B7" t="s">
        <v>647</v>
      </c>
      <c r="G7" s="162" t="s">
        <v>547</v>
      </c>
      <c r="H7" s="163" t="s">
        <v>552</v>
      </c>
      <c r="I7" s="162">
        <v>2026</v>
      </c>
      <c r="J7" s="162" t="str">
        <f t="shared" si="0"/>
        <v>MAY 2026</v>
      </c>
    </row>
    <row r="8" spans="1:10" x14ac:dyDescent="0.2">
      <c r="A8">
        <v>1211681</v>
      </c>
      <c r="B8" t="s">
        <v>921</v>
      </c>
      <c r="G8" s="162" t="s">
        <v>548</v>
      </c>
      <c r="H8" s="163" t="s">
        <v>553</v>
      </c>
      <c r="I8" s="162">
        <v>2026</v>
      </c>
      <c r="J8" s="162" t="str">
        <f t="shared" si="0"/>
        <v>JUN 2026</v>
      </c>
    </row>
    <row r="9" spans="1:10" x14ac:dyDescent="0.2">
      <c r="A9">
        <v>1214469</v>
      </c>
      <c r="B9" t="s">
        <v>234</v>
      </c>
      <c r="G9" s="162" t="s">
        <v>625</v>
      </c>
      <c r="H9" s="163" t="str">
        <f t="shared" ref="H9:H14" si="1">LEFT(G9,3)</f>
        <v>JUL</v>
      </c>
      <c r="I9" s="162">
        <v>2026</v>
      </c>
      <c r="J9" s="162" t="str">
        <f t="shared" si="0"/>
        <v>JUL 2026</v>
      </c>
    </row>
    <row r="10" spans="1:10" x14ac:dyDescent="0.2">
      <c r="A10">
        <v>1214957</v>
      </c>
      <c r="B10" t="s">
        <v>167</v>
      </c>
      <c r="G10" s="162" t="s">
        <v>628</v>
      </c>
      <c r="H10" s="163" t="str">
        <f t="shared" si="1"/>
        <v>AGO</v>
      </c>
      <c r="I10" s="162">
        <v>2026</v>
      </c>
      <c r="J10" s="162" t="str">
        <f t="shared" si="0"/>
        <v>AGO 2026</v>
      </c>
    </row>
    <row r="11" spans="1:10" x14ac:dyDescent="0.2">
      <c r="A11">
        <v>1215742</v>
      </c>
      <c r="B11" t="s">
        <v>924</v>
      </c>
      <c r="G11" s="162" t="s">
        <v>626</v>
      </c>
      <c r="H11" s="163" t="str">
        <f t="shared" si="1"/>
        <v>SEP</v>
      </c>
      <c r="I11" s="162">
        <v>2026</v>
      </c>
      <c r="J11" s="162" t="str">
        <f t="shared" si="0"/>
        <v>SEP 2026</v>
      </c>
    </row>
    <row r="12" spans="1:10" x14ac:dyDescent="0.2">
      <c r="A12">
        <v>1215934</v>
      </c>
      <c r="B12" t="s">
        <v>926</v>
      </c>
      <c r="G12" s="162" t="s">
        <v>624</v>
      </c>
      <c r="H12" s="163" t="str">
        <f t="shared" si="1"/>
        <v>OCT</v>
      </c>
      <c r="I12" s="162">
        <v>2026</v>
      </c>
      <c r="J12" s="162" t="str">
        <f t="shared" si="0"/>
        <v>OCT 2026</v>
      </c>
    </row>
    <row r="13" spans="1:10" x14ac:dyDescent="0.2">
      <c r="A13">
        <v>1216004</v>
      </c>
      <c r="B13" t="s">
        <v>298</v>
      </c>
      <c r="G13" s="162" t="s">
        <v>641</v>
      </c>
      <c r="H13" s="163" t="str">
        <f t="shared" si="1"/>
        <v>NOV</v>
      </c>
      <c r="I13" s="162">
        <v>2026</v>
      </c>
      <c r="J13" s="162" t="str">
        <f t="shared" si="0"/>
        <v>NOV 2026</v>
      </c>
    </row>
    <row r="14" spans="1:10" x14ac:dyDescent="0.2">
      <c r="A14">
        <v>1216033</v>
      </c>
      <c r="B14" t="s">
        <v>130</v>
      </c>
      <c r="G14" s="162" t="s">
        <v>642</v>
      </c>
      <c r="H14" s="163" t="str">
        <f t="shared" si="1"/>
        <v>DIC</v>
      </c>
      <c r="I14" s="162">
        <v>2026</v>
      </c>
      <c r="J14" s="162" t="str">
        <f t="shared" si="0"/>
        <v>DIC 2026</v>
      </c>
    </row>
    <row r="15" spans="1:10" x14ac:dyDescent="0.2">
      <c r="A15">
        <v>1216095</v>
      </c>
      <c r="B15" t="s">
        <v>317</v>
      </c>
    </row>
    <row r="16" spans="1:10" x14ac:dyDescent="0.2">
      <c r="A16">
        <v>1216141</v>
      </c>
      <c r="B16" t="s">
        <v>299</v>
      </c>
    </row>
    <row r="17" spans="1:2" ht="15" x14ac:dyDescent="0.25">
      <c r="A17">
        <v>1216315</v>
      </c>
      <c r="B17" s="252" t="s">
        <v>159</v>
      </c>
    </row>
    <row r="18" spans="1:2" x14ac:dyDescent="0.2">
      <c r="A18">
        <v>1216643</v>
      </c>
      <c r="B18" t="s">
        <v>360</v>
      </c>
    </row>
    <row r="19" spans="1:2" x14ac:dyDescent="0.2">
      <c r="A19">
        <v>1217039</v>
      </c>
      <c r="B19" t="s">
        <v>300</v>
      </c>
    </row>
    <row r="20" spans="1:2" x14ac:dyDescent="0.2">
      <c r="A20">
        <v>1218001</v>
      </c>
      <c r="B20" t="s">
        <v>929</v>
      </c>
    </row>
    <row r="21" spans="1:2" x14ac:dyDescent="0.2">
      <c r="A21">
        <v>1218002</v>
      </c>
      <c r="B21" t="s">
        <v>931</v>
      </c>
    </row>
    <row r="22" spans="1:2" x14ac:dyDescent="0.2">
      <c r="A22">
        <v>1218100</v>
      </c>
      <c r="B22" t="s">
        <v>935</v>
      </c>
    </row>
    <row r="23" spans="1:2" x14ac:dyDescent="0.2">
      <c r="A23">
        <v>1220707</v>
      </c>
      <c r="B23" t="s">
        <v>381</v>
      </c>
    </row>
    <row r="24" spans="1:2" x14ac:dyDescent="0.2">
      <c r="A24">
        <v>1230529</v>
      </c>
      <c r="B24" t="s">
        <v>968</v>
      </c>
    </row>
    <row r="25" spans="1:2" x14ac:dyDescent="0.2">
      <c r="A25">
        <v>1230699</v>
      </c>
      <c r="B25" t="s">
        <v>153</v>
      </c>
    </row>
    <row r="26" spans="1:2" x14ac:dyDescent="0.2">
      <c r="A26">
        <v>1230776</v>
      </c>
      <c r="B26" t="s">
        <v>985</v>
      </c>
    </row>
    <row r="27" spans="1:2" x14ac:dyDescent="0.2">
      <c r="A27">
        <v>1249997</v>
      </c>
      <c r="B27" t="s">
        <v>986</v>
      </c>
    </row>
    <row r="28" spans="1:2" x14ac:dyDescent="0.2">
      <c r="A28">
        <v>1249999</v>
      </c>
      <c r="B28" t="s">
        <v>987</v>
      </c>
    </row>
    <row r="29" spans="1:2" x14ac:dyDescent="0.2">
      <c r="A29">
        <v>1258356</v>
      </c>
      <c r="B29" t="s">
        <v>133</v>
      </c>
    </row>
    <row r="30" spans="1:2" x14ac:dyDescent="0.2">
      <c r="A30">
        <v>1258792</v>
      </c>
      <c r="B30" t="s">
        <v>161</v>
      </c>
    </row>
    <row r="31" spans="1:2" x14ac:dyDescent="0.2">
      <c r="A31">
        <v>1259147</v>
      </c>
      <c r="B31" t="s">
        <v>86</v>
      </c>
    </row>
    <row r="32" spans="1:2" x14ac:dyDescent="0.2">
      <c r="A32">
        <v>1259253</v>
      </c>
      <c r="B32" t="s">
        <v>148</v>
      </c>
    </row>
    <row r="33" spans="1:2" x14ac:dyDescent="0.2">
      <c r="A33">
        <v>1259324</v>
      </c>
      <c r="B33" t="s">
        <v>163</v>
      </c>
    </row>
    <row r="34" spans="1:2" x14ac:dyDescent="0.2">
      <c r="A34">
        <v>1259601</v>
      </c>
      <c r="B34" t="s">
        <v>158</v>
      </c>
    </row>
    <row r="35" spans="1:2" x14ac:dyDescent="0.2">
      <c r="A35">
        <v>1260924</v>
      </c>
      <c r="B35" t="s">
        <v>382</v>
      </c>
    </row>
    <row r="36" spans="1:2" x14ac:dyDescent="0.2">
      <c r="A36">
        <v>1261782</v>
      </c>
      <c r="B36" t="s">
        <v>97</v>
      </c>
    </row>
    <row r="37" spans="1:2" x14ac:dyDescent="0.2">
      <c r="A37">
        <v>1262158</v>
      </c>
      <c r="B37" t="s">
        <v>325</v>
      </c>
    </row>
    <row r="38" spans="1:2" x14ac:dyDescent="0.2">
      <c r="A38">
        <v>1264019</v>
      </c>
      <c r="B38" t="s">
        <v>188</v>
      </c>
    </row>
    <row r="39" spans="1:2" x14ac:dyDescent="0.2">
      <c r="A39">
        <v>1269386</v>
      </c>
      <c r="B39" t="s">
        <v>1098</v>
      </c>
    </row>
    <row r="40" spans="1:2" x14ac:dyDescent="0.2">
      <c r="A40">
        <v>1269397</v>
      </c>
      <c r="B40" t="s">
        <v>1099</v>
      </c>
    </row>
    <row r="41" spans="1:2" x14ac:dyDescent="0.2">
      <c r="A41">
        <v>1270828</v>
      </c>
      <c r="B41" t="s">
        <v>1100</v>
      </c>
    </row>
    <row r="42" spans="1:2" x14ac:dyDescent="0.2">
      <c r="A42">
        <v>1271330</v>
      </c>
      <c r="B42" t="s">
        <v>1101</v>
      </c>
    </row>
    <row r="43" spans="1:2" x14ac:dyDescent="0.2">
      <c r="A43">
        <v>1271391</v>
      </c>
      <c r="B43" t="s">
        <v>301</v>
      </c>
    </row>
    <row r="44" spans="1:2" x14ac:dyDescent="0.2">
      <c r="A44">
        <v>1271399</v>
      </c>
      <c r="B44" t="s">
        <v>1102</v>
      </c>
    </row>
    <row r="45" spans="1:2" x14ac:dyDescent="0.2">
      <c r="A45">
        <v>1273417</v>
      </c>
      <c r="B45" t="s">
        <v>644</v>
      </c>
    </row>
    <row r="46" spans="1:2" x14ac:dyDescent="0.2">
      <c r="A46">
        <v>1277009</v>
      </c>
      <c r="B46" t="s">
        <v>168</v>
      </c>
    </row>
    <row r="47" spans="1:2" x14ac:dyDescent="0.2">
      <c r="A47">
        <v>1277040</v>
      </c>
      <c r="B47" t="s">
        <v>1106</v>
      </c>
    </row>
    <row r="48" spans="1:2" x14ac:dyDescent="0.2">
      <c r="A48">
        <v>1277055</v>
      </c>
      <c r="B48" t="s">
        <v>274</v>
      </c>
    </row>
    <row r="49" spans="1:2" x14ac:dyDescent="0.2">
      <c r="A49">
        <v>1277093</v>
      </c>
      <c r="B49" t="s">
        <v>98</v>
      </c>
    </row>
    <row r="50" spans="1:2" x14ac:dyDescent="0.2">
      <c r="A50">
        <v>1277095</v>
      </c>
      <c r="B50" t="s">
        <v>99</v>
      </c>
    </row>
    <row r="51" spans="1:2" x14ac:dyDescent="0.2">
      <c r="A51">
        <v>1277119</v>
      </c>
      <c r="B51" t="s">
        <v>60</v>
      </c>
    </row>
    <row r="52" spans="1:2" x14ac:dyDescent="0.2">
      <c r="A52">
        <v>1277155</v>
      </c>
      <c r="B52" t="s">
        <v>275</v>
      </c>
    </row>
    <row r="53" spans="1:2" x14ac:dyDescent="0.2">
      <c r="A53">
        <v>1277181</v>
      </c>
      <c r="B53" t="s">
        <v>214</v>
      </c>
    </row>
    <row r="54" spans="1:2" x14ac:dyDescent="0.2">
      <c r="A54">
        <v>1277207</v>
      </c>
      <c r="B54" t="s">
        <v>342</v>
      </c>
    </row>
    <row r="55" spans="1:2" x14ac:dyDescent="0.2">
      <c r="A55">
        <v>1277216</v>
      </c>
      <c r="B55" t="s">
        <v>302</v>
      </c>
    </row>
    <row r="56" spans="1:2" x14ac:dyDescent="0.2">
      <c r="A56">
        <v>1277232</v>
      </c>
      <c r="B56" t="s">
        <v>189</v>
      </c>
    </row>
    <row r="57" spans="1:2" x14ac:dyDescent="0.2">
      <c r="A57">
        <v>1277241</v>
      </c>
      <c r="B57" t="s">
        <v>169</v>
      </c>
    </row>
    <row r="58" spans="1:2" x14ac:dyDescent="0.2">
      <c r="A58">
        <v>1277244</v>
      </c>
      <c r="B58" t="s">
        <v>170</v>
      </c>
    </row>
    <row r="59" spans="1:2" x14ac:dyDescent="0.2">
      <c r="A59">
        <v>1277247</v>
      </c>
      <c r="B59" t="s">
        <v>1137</v>
      </c>
    </row>
    <row r="60" spans="1:2" x14ac:dyDescent="0.2">
      <c r="A60">
        <v>1277248</v>
      </c>
      <c r="B60" t="s">
        <v>111</v>
      </c>
    </row>
    <row r="61" spans="1:2" x14ac:dyDescent="0.2">
      <c r="A61">
        <v>1277302</v>
      </c>
      <c r="B61" t="s">
        <v>190</v>
      </c>
    </row>
    <row r="62" spans="1:2" x14ac:dyDescent="0.2">
      <c r="A62">
        <v>1277316</v>
      </c>
      <c r="B62" t="s">
        <v>326</v>
      </c>
    </row>
    <row r="63" spans="1:2" x14ac:dyDescent="0.2">
      <c r="A63">
        <v>1277333</v>
      </c>
      <c r="B63" t="s">
        <v>1140</v>
      </c>
    </row>
    <row r="64" spans="1:2" x14ac:dyDescent="0.2">
      <c r="A64">
        <v>1277355</v>
      </c>
      <c r="B64" t="s">
        <v>303</v>
      </c>
    </row>
    <row r="65" spans="1:2" x14ac:dyDescent="0.2">
      <c r="A65">
        <v>1277378</v>
      </c>
      <c r="B65" t="s">
        <v>361</v>
      </c>
    </row>
    <row r="66" spans="1:2" x14ac:dyDescent="0.2">
      <c r="A66">
        <v>1277388</v>
      </c>
      <c r="B66" t="s">
        <v>1142</v>
      </c>
    </row>
    <row r="67" spans="1:2" x14ac:dyDescent="0.2">
      <c r="A67">
        <v>1277394</v>
      </c>
      <c r="B67" t="s">
        <v>215</v>
      </c>
    </row>
    <row r="68" spans="1:2" x14ac:dyDescent="0.2">
      <c r="A68">
        <v>1277432</v>
      </c>
      <c r="B68" t="s">
        <v>171</v>
      </c>
    </row>
    <row r="69" spans="1:2" x14ac:dyDescent="0.2">
      <c r="A69">
        <v>1277495</v>
      </c>
      <c r="B69" t="s">
        <v>191</v>
      </c>
    </row>
    <row r="70" spans="1:2" x14ac:dyDescent="0.2">
      <c r="A70">
        <v>1277512</v>
      </c>
      <c r="B70" t="s">
        <v>248</v>
      </c>
    </row>
    <row r="71" spans="1:2" x14ac:dyDescent="0.2">
      <c r="A71">
        <v>1277522</v>
      </c>
      <c r="B71" t="s">
        <v>100</v>
      </c>
    </row>
    <row r="72" spans="1:2" x14ac:dyDescent="0.2">
      <c r="A72">
        <v>1277544</v>
      </c>
      <c r="B72" t="s">
        <v>61</v>
      </c>
    </row>
    <row r="73" spans="1:2" x14ac:dyDescent="0.2">
      <c r="A73">
        <v>1277546</v>
      </c>
      <c r="B73" t="s">
        <v>1144</v>
      </c>
    </row>
    <row r="74" spans="1:2" x14ac:dyDescent="0.2">
      <c r="A74">
        <v>1277578</v>
      </c>
      <c r="B74" t="s">
        <v>1145</v>
      </c>
    </row>
    <row r="75" spans="1:2" x14ac:dyDescent="0.2">
      <c r="A75">
        <v>1277612</v>
      </c>
      <c r="B75" t="s">
        <v>172</v>
      </c>
    </row>
    <row r="76" spans="1:2" x14ac:dyDescent="0.2">
      <c r="A76">
        <v>1277634</v>
      </c>
      <c r="B76" t="s">
        <v>304</v>
      </c>
    </row>
    <row r="77" spans="1:2" x14ac:dyDescent="0.2">
      <c r="A77">
        <v>1277663</v>
      </c>
      <c r="B77" t="s">
        <v>344</v>
      </c>
    </row>
    <row r="78" spans="1:2" x14ac:dyDescent="0.2">
      <c r="A78">
        <v>1277695</v>
      </c>
      <c r="B78" t="s">
        <v>1147</v>
      </c>
    </row>
    <row r="79" spans="1:2" x14ac:dyDescent="0.2">
      <c r="A79">
        <v>1277714</v>
      </c>
      <c r="B79" t="s">
        <v>1149</v>
      </c>
    </row>
    <row r="80" spans="1:2" x14ac:dyDescent="0.2">
      <c r="A80">
        <v>1277755</v>
      </c>
      <c r="B80" t="s">
        <v>1150</v>
      </c>
    </row>
    <row r="81" spans="1:2" x14ac:dyDescent="0.2">
      <c r="A81">
        <v>1277823</v>
      </c>
      <c r="B81" t="s">
        <v>1154</v>
      </c>
    </row>
    <row r="82" spans="1:2" x14ac:dyDescent="0.2">
      <c r="A82">
        <v>1277841</v>
      </c>
      <c r="B82" t="s">
        <v>132</v>
      </c>
    </row>
    <row r="83" spans="1:2" x14ac:dyDescent="0.2">
      <c r="A83">
        <v>1277892</v>
      </c>
      <c r="B83" t="s">
        <v>216</v>
      </c>
    </row>
    <row r="84" spans="1:2" x14ac:dyDescent="0.2">
      <c r="A84">
        <v>1277953</v>
      </c>
      <c r="B84" t="s">
        <v>345</v>
      </c>
    </row>
    <row r="85" spans="1:2" x14ac:dyDescent="0.2">
      <c r="A85">
        <v>1278010</v>
      </c>
      <c r="B85" t="s">
        <v>277</v>
      </c>
    </row>
    <row r="86" spans="1:2" x14ac:dyDescent="0.2">
      <c r="A86">
        <v>1278021</v>
      </c>
      <c r="B86" t="s">
        <v>101</v>
      </c>
    </row>
    <row r="87" spans="1:2" x14ac:dyDescent="0.2">
      <c r="A87">
        <v>1278022</v>
      </c>
      <c r="B87" t="s">
        <v>1224</v>
      </c>
    </row>
    <row r="88" spans="1:2" x14ac:dyDescent="0.2">
      <c r="A88">
        <v>1278025</v>
      </c>
      <c r="B88" t="s">
        <v>1225</v>
      </c>
    </row>
    <row r="89" spans="1:2" x14ac:dyDescent="0.2">
      <c r="A89">
        <v>1278055</v>
      </c>
      <c r="B89" t="s">
        <v>192</v>
      </c>
    </row>
    <row r="90" spans="1:2" x14ac:dyDescent="0.2">
      <c r="A90">
        <v>1278077</v>
      </c>
      <c r="B90" t="s">
        <v>62</v>
      </c>
    </row>
    <row r="91" spans="1:2" x14ac:dyDescent="0.2">
      <c r="A91">
        <v>1278105</v>
      </c>
      <c r="B91" t="s">
        <v>112</v>
      </c>
    </row>
    <row r="92" spans="1:2" x14ac:dyDescent="0.2">
      <c r="A92">
        <v>1278119</v>
      </c>
      <c r="B92" t="s">
        <v>305</v>
      </c>
    </row>
    <row r="93" spans="1:2" x14ac:dyDescent="0.2">
      <c r="A93">
        <v>1278130</v>
      </c>
      <c r="B93" t="s">
        <v>1226</v>
      </c>
    </row>
    <row r="94" spans="1:2" x14ac:dyDescent="0.2">
      <c r="A94">
        <v>1278146</v>
      </c>
      <c r="B94" t="s">
        <v>235</v>
      </c>
    </row>
    <row r="95" spans="1:2" x14ac:dyDescent="0.2">
      <c r="A95">
        <v>1278155</v>
      </c>
      <c r="B95" t="s">
        <v>1227</v>
      </c>
    </row>
    <row r="96" spans="1:2" x14ac:dyDescent="0.2">
      <c r="A96">
        <v>1278166</v>
      </c>
      <c r="B96" t="s">
        <v>1228</v>
      </c>
    </row>
    <row r="97" spans="1:2" x14ac:dyDescent="0.2">
      <c r="A97">
        <v>1278172</v>
      </c>
      <c r="B97" t="s">
        <v>362</v>
      </c>
    </row>
    <row r="98" spans="1:2" x14ac:dyDescent="0.2">
      <c r="A98">
        <v>1278179</v>
      </c>
      <c r="B98" t="s">
        <v>327</v>
      </c>
    </row>
    <row r="99" spans="1:2" x14ac:dyDescent="0.2">
      <c r="A99">
        <v>1278186</v>
      </c>
      <c r="B99" t="s">
        <v>1229</v>
      </c>
    </row>
    <row r="100" spans="1:2" x14ac:dyDescent="0.2">
      <c r="A100">
        <v>1278235</v>
      </c>
      <c r="B100" t="s">
        <v>346</v>
      </c>
    </row>
    <row r="101" spans="1:2" x14ac:dyDescent="0.2">
      <c r="A101">
        <v>1278238</v>
      </c>
      <c r="B101" t="s">
        <v>173</v>
      </c>
    </row>
    <row r="102" spans="1:2" x14ac:dyDescent="0.2">
      <c r="A102">
        <v>1278258</v>
      </c>
      <c r="B102" t="s">
        <v>363</v>
      </c>
    </row>
    <row r="103" spans="1:2" x14ac:dyDescent="0.2">
      <c r="A103">
        <v>1278311</v>
      </c>
      <c r="B103" t="s">
        <v>278</v>
      </c>
    </row>
    <row r="104" spans="1:2" x14ac:dyDescent="0.2">
      <c r="A104">
        <v>1278343</v>
      </c>
      <c r="B104" t="s">
        <v>1230</v>
      </c>
    </row>
    <row r="105" spans="1:2" x14ac:dyDescent="0.2">
      <c r="A105">
        <v>1278352</v>
      </c>
      <c r="B105" t="s">
        <v>194</v>
      </c>
    </row>
    <row r="106" spans="1:2" x14ac:dyDescent="0.2">
      <c r="A106">
        <v>1278356</v>
      </c>
      <c r="B106" t="s">
        <v>133</v>
      </c>
    </row>
    <row r="107" spans="1:2" x14ac:dyDescent="0.2">
      <c r="A107">
        <v>1278361</v>
      </c>
      <c r="B107" t="s">
        <v>79</v>
      </c>
    </row>
    <row r="108" spans="1:2" x14ac:dyDescent="0.2">
      <c r="A108">
        <v>1278377</v>
      </c>
      <c r="B108" t="s">
        <v>113</v>
      </c>
    </row>
    <row r="109" spans="1:2" x14ac:dyDescent="0.2">
      <c r="A109">
        <v>1278407</v>
      </c>
      <c r="B109" t="s">
        <v>1233</v>
      </c>
    </row>
    <row r="110" spans="1:2" x14ac:dyDescent="0.2">
      <c r="A110">
        <v>1278429</v>
      </c>
      <c r="B110" t="s">
        <v>80</v>
      </c>
    </row>
    <row r="111" spans="1:2" x14ac:dyDescent="0.2">
      <c r="A111">
        <v>1278436</v>
      </c>
      <c r="B111" t="s">
        <v>1236</v>
      </c>
    </row>
    <row r="112" spans="1:2" x14ac:dyDescent="0.2">
      <c r="A112">
        <v>1278439</v>
      </c>
      <c r="B112" t="s">
        <v>195</v>
      </c>
    </row>
    <row r="113" spans="1:2" x14ac:dyDescent="0.2">
      <c r="A113">
        <v>1278463</v>
      </c>
      <c r="B113" t="s">
        <v>1237</v>
      </c>
    </row>
    <row r="114" spans="1:2" x14ac:dyDescent="0.2">
      <c r="A114">
        <v>1278467</v>
      </c>
      <c r="B114" t="s">
        <v>249</v>
      </c>
    </row>
    <row r="115" spans="1:2" x14ac:dyDescent="0.2">
      <c r="A115">
        <v>1278484</v>
      </c>
      <c r="B115" t="s">
        <v>648</v>
      </c>
    </row>
    <row r="116" spans="1:2" x14ac:dyDescent="0.2">
      <c r="A116">
        <v>1278517</v>
      </c>
      <c r="B116" t="s">
        <v>102</v>
      </c>
    </row>
    <row r="117" spans="1:2" x14ac:dyDescent="0.2">
      <c r="A117">
        <v>1278521</v>
      </c>
      <c r="B117" t="s">
        <v>328</v>
      </c>
    </row>
    <row r="118" spans="1:2" x14ac:dyDescent="0.2">
      <c r="A118">
        <v>1278555</v>
      </c>
      <c r="B118" t="s">
        <v>250</v>
      </c>
    </row>
    <row r="119" spans="1:2" x14ac:dyDescent="0.2">
      <c r="A119">
        <v>1278557</v>
      </c>
      <c r="B119" t="s">
        <v>268</v>
      </c>
    </row>
    <row r="120" spans="1:2" x14ac:dyDescent="0.2">
      <c r="A120">
        <v>1278575</v>
      </c>
      <c r="B120" t="s">
        <v>217</v>
      </c>
    </row>
    <row r="121" spans="1:2" x14ac:dyDescent="0.2">
      <c r="A121">
        <v>1278581</v>
      </c>
      <c r="B121" t="s">
        <v>1241</v>
      </c>
    </row>
    <row r="122" spans="1:2" x14ac:dyDescent="0.2">
      <c r="A122">
        <v>1278584</v>
      </c>
      <c r="B122" t="s">
        <v>279</v>
      </c>
    </row>
    <row r="123" spans="1:2" x14ac:dyDescent="0.2">
      <c r="A123">
        <v>1278585</v>
      </c>
      <c r="B123" t="s">
        <v>1243</v>
      </c>
    </row>
    <row r="124" spans="1:2" x14ac:dyDescent="0.2">
      <c r="A124">
        <v>1278587</v>
      </c>
      <c r="B124" t="s">
        <v>1245</v>
      </c>
    </row>
    <row r="125" spans="1:2" x14ac:dyDescent="0.2">
      <c r="A125">
        <v>1278604</v>
      </c>
      <c r="B125" t="s">
        <v>218</v>
      </c>
    </row>
    <row r="126" spans="1:2" x14ac:dyDescent="0.2">
      <c r="A126">
        <v>1278615</v>
      </c>
      <c r="B126" t="s">
        <v>1246</v>
      </c>
    </row>
    <row r="127" spans="1:2" x14ac:dyDescent="0.2">
      <c r="A127">
        <v>1278657</v>
      </c>
      <c r="B127" t="s">
        <v>236</v>
      </c>
    </row>
    <row r="128" spans="1:2" x14ac:dyDescent="0.2">
      <c r="A128">
        <v>1278659</v>
      </c>
      <c r="B128" t="s">
        <v>306</v>
      </c>
    </row>
    <row r="129" spans="1:2" x14ac:dyDescent="0.2">
      <c r="A129">
        <v>1278668</v>
      </c>
      <c r="B129" t="s">
        <v>134</v>
      </c>
    </row>
    <row r="130" spans="1:2" x14ac:dyDescent="0.2">
      <c r="A130">
        <v>1278676</v>
      </c>
      <c r="B130" t="s">
        <v>110</v>
      </c>
    </row>
    <row r="131" spans="1:2" x14ac:dyDescent="0.2">
      <c r="A131">
        <v>1278678</v>
      </c>
      <c r="B131" t="s">
        <v>280</v>
      </c>
    </row>
    <row r="132" spans="1:2" x14ac:dyDescent="0.2">
      <c r="A132">
        <v>1278689</v>
      </c>
      <c r="B132" t="s">
        <v>135</v>
      </c>
    </row>
    <row r="133" spans="1:2" x14ac:dyDescent="0.2">
      <c r="A133">
        <v>1278707</v>
      </c>
      <c r="B133" t="s">
        <v>281</v>
      </c>
    </row>
    <row r="134" spans="1:2" x14ac:dyDescent="0.2">
      <c r="A134">
        <v>1278710</v>
      </c>
      <c r="B134" t="s">
        <v>269</v>
      </c>
    </row>
    <row r="135" spans="1:2" x14ac:dyDescent="0.2">
      <c r="A135">
        <v>1278711</v>
      </c>
      <c r="B135" t="s">
        <v>160</v>
      </c>
    </row>
    <row r="136" spans="1:2" x14ac:dyDescent="0.2">
      <c r="A136">
        <v>1278730</v>
      </c>
      <c r="B136" t="s">
        <v>114</v>
      </c>
    </row>
    <row r="137" spans="1:2" x14ac:dyDescent="0.2">
      <c r="A137">
        <v>1278731</v>
      </c>
      <c r="B137" t="s">
        <v>318</v>
      </c>
    </row>
    <row r="138" spans="1:2" x14ac:dyDescent="0.2">
      <c r="A138">
        <v>1278740</v>
      </c>
      <c r="B138" t="s">
        <v>143</v>
      </c>
    </row>
    <row r="139" spans="1:2" x14ac:dyDescent="0.2">
      <c r="A139">
        <v>1278742</v>
      </c>
      <c r="B139" t="s">
        <v>196</v>
      </c>
    </row>
    <row r="140" spans="1:2" x14ac:dyDescent="0.2">
      <c r="A140">
        <v>1278746</v>
      </c>
      <c r="B140" t="s">
        <v>115</v>
      </c>
    </row>
    <row r="141" spans="1:2" x14ac:dyDescent="0.2">
      <c r="A141">
        <v>1278753</v>
      </c>
      <c r="B141" t="s">
        <v>219</v>
      </c>
    </row>
    <row r="142" spans="1:2" x14ac:dyDescent="0.2">
      <c r="A142">
        <v>1278754</v>
      </c>
      <c r="B142" t="s">
        <v>63</v>
      </c>
    </row>
    <row r="143" spans="1:2" x14ac:dyDescent="0.2">
      <c r="A143">
        <v>1278757</v>
      </c>
      <c r="B143" t="s">
        <v>1371</v>
      </c>
    </row>
    <row r="144" spans="1:2" x14ac:dyDescent="0.2">
      <c r="A144">
        <v>1278758</v>
      </c>
      <c r="B144" t="s">
        <v>136</v>
      </c>
    </row>
    <row r="145" spans="1:2" x14ac:dyDescent="0.2">
      <c r="A145">
        <v>1278769</v>
      </c>
      <c r="B145" t="s">
        <v>1374</v>
      </c>
    </row>
    <row r="146" spans="1:2" x14ac:dyDescent="0.2">
      <c r="A146">
        <v>1278778</v>
      </c>
      <c r="B146" t="s">
        <v>270</v>
      </c>
    </row>
    <row r="147" spans="1:2" x14ac:dyDescent="0.2">
      <c r="A147">
        <v>1278783</v>
      </c>
      <c r="B147" t="s">
        <v>116</v>
      </c>
    </row>
    <row r="148" spans="1:2" x14ac:dyDescent="0.2">
      <c r="A148">
        <v>1278790</v>
      </c>
      <c r="B148" t="s">
        <v>643</v>
      </c>
    </row>
    <row r="149" spans="1:2" x14ac:dyDescent="0.2">
      <c r="A149">
        <v>1278792</v>
      </c>
      <c r="B149" t="s">
        <v>161</v>
      </c>
    </row>
    <row r="150" spans="1:2" x14ac:dyDescent="0.2">
      <c r="A150">
        <v>1278802</v>
      </c>
      <c r="B150" t="s">
        <v>64</v>
      </c>
    </row>
    <row r="151" spans="1:2" x14ac:dyDescent="0.2">
      <c r="A151">
        <v>1278806</v>
      </c>
      <c r="B151" t="s">
        <v>117</v>
      </c>
    </row>
    <row r="152" spans="1:2" x14ac:dyDescent="0.2">
      <c r="A152">
        <v>1278812</v>
      </c>
      <c r="B152" t="s">
        <v>137</v>
      </c>
    </row>
    <row r="153" spans="1:2" x14ac:dyDescent="0.2">
      <c r="A153">
        <v>1278839</v>
      </c>
      <c r="B153" t="s">
        <v>383</v>
      </c>
    </row>
    <row r="154" spans="1:2" x14ac:dyDescent="0.2">
      <c r="A154">
        <v>1278844</v>
      </c>
      <c r="B154" t="s">
        <v>197</v>
      </c>
    </row>
    <row r="155" spans="1:2" x14ac:dyDescent="0.2">
      <c r="A155">
        <v>1278863</v>
      </c>
      <c r="B155" t="s">
        <v>81</v>
      </c>
    </row>
    <row r="156" spans="1:2" x14ac:dyDescent="0.2">
      <c r="A156">
        <v>1278884</v>
      </c>
      <c r="B156" t="s">
        <v>251</v>
      </c>
    </row>
    <row r="157" spans="1:2" x14ac:dyDescent="0.2">
      <c r="A157">
        <v>1278892</v>
      </c>
      <c r="B157" t="s">
        <v>118</v>
      </c>
    </row>
    <row r="158" spans="1:2" x14ac:dyDescent="0.2">
      <c r="A158">
        <v>1278896</v>
      </c>
      <c r="B158" t="s">
        <v>282</v>
      </c>
    </row>
    <row r="159" spans="1:2" x14ac:dyDescent="0.2">
      <c r="A159">
        <v>1278897</v>
      </c>
      <c r="B159" t="s">
        <v>82</v>
      </c>
    </row>
    <row r="160" spans="1:2" x14ac:dyDescent="0.2">
      <c r="A160">
        <v>1278905</v>
      </c>
      <c r="B160" t="s">
        <v>237</v>
      </c>
    </row>
    <row r="161" spans="1:2" x14ac:dyDescent="0.2">
      <c r="A161">
        <v>1278906</v>
      </c>
      <c r="B161" t="s">
        <v>1470</v>
      </c>
    </row>
    <row r="162" spans="1:2" x14ac:dyDescent="0.2">
      <c r="A162">
        <v>1278924</v>
      </c>
      <c r="B162" t="s">
        <v>198</v>
      </c>
    </row>
    <row r="163" spans="1:2" x14ac:dyDescent="0.2">
      <c r="A163">
        <v>1278926</v>
      </c>
      <c r="B163" t="s">
        <v>174</v>
      </c>
    </row>
    <row r="164" spans="1:2" x14ac:dyDescent="0.2">
      <c r="A164">
        <v>1278927</v>
      </c>
      <c r="B164" t="s">
        <v>220</v>
      </c>
    </row>
    <row r="165" spans="1:2" x14ac:dyDescent="0.2">
      <c r="A165">
        <v>1278936</v>
      </c>
      <c r="B165" t="s">
        <v>221</v>
      </c>
    </row>
    <row r="166" spans="1:2" x14ac:dyDescent="0.2">
      <c r="A166">
        <v>1278940</v>
      </c>
      <c r="B166" t="s">
        <v>222</v>
      </c>
    </row>
    <row r="167" spans="1:2" x14ac:dyDescent="0.2">
      <c r="A167">
        <v>1278947</v>
      </c>
      <c r="B167" t="s">
        <v>83</v>
      </c>
    </row>
    <row r="168" spans="1:2" x14ac:dyDescent="0.2">
      <c r="A168">
        <v>1278950</v>
      </c>
      <c r="B168" t="s">
        <v>146</v>
      </c>
    </row>
    <row r="169" spans="1:2" x14ac:dyDescent="0.2">
      <c r="A169">
        <v>1278951</v>
      </c>
      <c r="B169" t="s">
        <v>364</v>
      </c>
    </row>
    <row r="170" spans="1:2" x14ac:dyDescent="0.2">
      <c r="A170">
        <v>1278980</v>
      </c>
      <c r="B170" t="s">
        <v>84</v>
      </c>
    </row>
    <row r="171" spans="1:2" x14ac:dyDescent="0.2">
      <c r="A171">
        <v>1278987</v>
      </c>
      <c r="B171" t="s">
        <v>238</v>
      </c>
    </row>
    <row r="172" spans="1:2" x14ac:dyDescent="0.2">
      <c r="A172">
        <v>1279000</v>
      </c>
      <c r="B172" t="s">
        <v>103</v>
      </c>
    </row>
    <row r="173" spans="1:2" x14ac:dyDescent="0.2">
      <c r="A173">
        <v>1279002</v>
      </c>
      <c r="B173" t="s">
        <v>307</v>
      </c>
    </row>
    <row r="174" spans="1:2" x14ac:dyDescent="0.2">
      <c r="A174">
        <v>1279007</v>
      </c>
      <c r="B174" t="s">
        <v>199</v>
      </c>
    </row>
    <row r="175" spans="1:2" x14ac:dyDescent="0.2">
      <c r="A175">
        <v>1279010</v>
      </c>
      <c r="B175" t="s">
        <v>85</v>
      </c>
    </row>
    <row r="176" spans="1:2" x14ac:dyDescent="0.2">
      <c r="A176">
        <v>1279023</v>
      </c>
      <c r="B176" t="s">
        <v>223</v>
      </c>
    </row>
    <row r="177" spans="1:2" x14ac:dyDescent="0.2">
      <c r="A177">
        <v>1279026</v>
      </c>
      <c r="B177" t="s">
        <v>1475</v>
      </c>
    </row>
    <row r="178" spans="1:2" x14ac:dyDescent="0.2">
      <c r="A178">
        <v>1279041</v>
      </c>
      <c r="B178" t="s">
        <v>330</v>
      </c>
    </row>
    <row r="179" spans="1:2" x14ac:dyDescent="0.2">
      <c r="A179">
        <v>1279042</v>
      </c>
      <c r="B179" t="s">
        <v>283</v>
      </c>
    </row>
    <row r="180" spans="1:2" x14ac:dyDescent="0.2">
      <c r="A180">
        <v>1279049</v>
      </c>
      <c r="B180" t="s">
        <v>469</v>
      </c>
    </row>
    <row r="181" spans="1:2" x14ac:dyDescent="0.2">
      <c r="A181">
        <v>1279058</v>
      </c>
      <c r="B181" t="s">
        <v>239</v>
      </c>
    </row>
    <row r="182" spans="1:2" x14ac:dyDescent="0.2">
      <c r="A182">
        <v>1279074</v>
      </c>
      <c r="B182" t="s">
        <v>95</v>
      </c>
    </row>
    <row r="183" spans="1:2" x14ac:dyDescent="0.2">
      <c r="A183">
        <v>1279081</v>
      </c>
      <c r="B183" t="s">
        <v>65</v>
      </c>
    </row>
    <row r="184" spans="1:2" x14ac:dyDescent="0.2">
      <c r="A184">
        <v>1279084</v>
      </c>
      <c r="B184" t="s">
        <v>384</v>
      </c>
    </row>
    <row r="185" spans="1:2" x14ac:dyDescent="0.2">
      <c r="A185">
        <v>1279086</v>
      </c>
      <c r="B185" t="s">
        <v>331</v>
      </c>
    </row>
    <row r="186" spans="1:2" x14ac:dyDescent="0.2">
      <c r="A186">
        <v>1279089</v>
      </c>
      <c r="B186" t="s">
        <v>200</v>
      </c>
    </row>
    <row r="187" spans="1:2" x14ac:dyDescent="0.2">
      <c r="A187">
        <v>1279110</v>
      </c>
      <c r="B187" t="s">
        <v>119</v>
      </c>
    </row>
    <row r="188" spans="1:2" x14ac:dyDescent="0.2">
      <c r="A188">
        <v>1279127</v>
      </c>
      <c r="B188" t="s">
        <v>175</v>
      </c>
    </row>
    <row r="189" spans="1:2" x14ac:dyDescent="0.2">
      <c r="A189">
        <v>1279130</v>
      </c>
      <c r="B189" t="s">
        <v>154</v>
      </c>
    </row>
    <row r="190" spans="1:2" x14ac:dyDescent="0.2">
      <c r="A190">
        <v>1279132</v>
      </c>
      <c r="B190" t="s">
        <v>104</v>
      </c>
    </row>
    <row r="191" spans="1:2" x14ac:dyDescent="0.2">
      <c r="A191">
        <v>1279134</v>
      </c>
      <c r="B191" t="s">
        <v>332</v>
      </c>
    </row>
    <row r="192" spans="1:2" x14ac:dyDescent="0.2">
      <c r="A192">
        <v>1279135</v>
      </c>
      <c r="B192" t="s">
        <v>252</v>
      </c>
    </row>
    <row r="193" spans="1:2" x14ac:dyDescent="0.2">
      <c r="A193">
        <v>1279136</v>
      </c>
      <c r="B193" t="s">
        <v>176</v>
      </c>
    </row>
    <row r="194" spans="1:2" x14ac:dyDescent="0.2">
      <c r="A194">
        <v>1279137</v>
      </c>
      <c r="B194" t="s">
        <v>66</v>
      </c>
    </row>
    <row r="195" spans="1:2" x14ac:dyDescent="0.2">
      <c r="A195">
        <v>1279139</v>
      </c>
      <c r="B195" t="s">
        <v>385</v>
      </c>
    </row>
    <row r="196" spans="1:2" x14ac:dyDescent="0.2">
      <c r="A196">
        <v>1279140</v>
      </c>
      <c r="B196" t="s">
        <v>67</v>
      </c>
    </row>
    <row r="197" spans="1:2" x14ac:dyDescent="0.2">
      <c r="A197">
        <v>1279142</v>
      </c>
      <c r="B197" t="s">
        <v>284</v>
      </c>
    </row>
    <row r="198" spans="1:2" x14ac:dyDescent="0.2">
      <c r="A198">
        <v>1279145</v>
      </c>
      <c r="B198" t="s">
        <v>201</v>
      </c>
    </row>
    <row r="199" spans="1:2" x14ac:dyDescent="0.2">
      <c r="A199">
        <v>1279146</v>
      </c>
      <c r="B199" t="s">
        <v>1557</v>
      </c>
    </row>
    <row r="200" spans="1:2" x14ac:dyDescent="0.2">
      <c r="A200">
        <v>1279147</v>
      </c>
      <c r="B200" t="s">
        <v>86</v>
      </c>
    </row>
    <row r="201" spans="1:2" x14ac:dyDescent="0.2">
      <c r="A201">
        <v>1279149</v>
      </c>
      <c r="B201" t="s">
        <v>202</v>
      </c>
    </row>
    <row r="202" spans="1:2" x14ac:dyDescent="0.2">
      <c r="A202">
        <v>1279150</v>
      </c>
      <c r="B202" t="s">
        <v>347</v>
      </c>
    </row>
    <row r="203" spans="1:2" x14ac:dyDescent="0.2">
      <c r="A203">
        <v>1279152</v>
      </c>
      <c r="B203" t="s">
        <v>240</v>
      </c>
    </row>
    <row r="204" spans="1:2" x14ac:dyDescent="0.2">
      <c r="A204">
        <v>1279154</v>
      </c>
      <c r="B204" t="s">
        <v>1574</v>
      </c>
    </row>
    <row r="205" spans="1:2" x14ac:dyDescent="0.2">
      <c r="A205">
        <v>1279155</v>
      </c>
      <c r="B205" t="s">
        <v>271</v>
      </c>
    </row>
    <row r="206" spans="1:2" x14ac:dyDescent="0.2">
      <c r="A206">
        <v>1279157</v>
      </c>
      <c r="B206" t="s">
        <v>333</v>
      </c>
    </row>
    <row r="207" spans="1:2" x14ac:dyDescent="0.2">
      <c r="A207">
        <v>1279158</v>
      </c>
      <c r="B207" t="s">
        <v>177</v>
      </c>
    </row>
    <row r="208" spans="1:2" x14ac:dyDescent="0.2">
      <c r="A208">
        <v>1279160</v>
      </c>
      <c r="B208" t="s">
        <v>241</v>
      </c>
    </row>
    <row r="209" spans="1:2" x14ac:dyDescent="0.2">
      <c r="A209">
        <v>1279163</v>
      </c>
      <c r="B209" t="s">
        <v>348</v>
      </c>
    </row>
    <row r="210" spans="1:2" x14ac:dyDescent="0.2">
      <c r="A210">
        <v>1279164</v>
      </c>
      <c r="B210" t="s">
        <v>155</v>
      </c>
    </row>
    <row r="211" spans="1:2" x14ac:dyDescent="0.2">
      <c r="A211">
        <v>1279169</v>
      </c>
      <c r="B211" t="s">
        <v>224</v>
      </c>
    </row>
    <row r="212" spans="1:2" x14ac:dyDescent="0.2">
      <c r="A212">
        <v>1279170</v>
      </c>
      <c r="B212" t="s">
        <v>68</v>
      </c>
    </row>
    <row r="213" spans="1:2" x14ac:dyDescent="0.2">
      <c r="A213">
        <v>1279171</v>
      </c>
      <c r="B213" t="s">
        <v>253</v>
      </c>
    </row>
    <row r="214" spans="1:2" x14ac:dyDescent="0.2">
      <c r="A214">
        <v>1279176</v>
      </c>
      <c r="B214" t="s">
        <v>1631</v>
      </c>
    </row>
    <row r="215" spans="1:2" x14ac:dyDescent="0.2">
      <c r="A215">
        <v>1279178</v>
      </c>
      <c r="B215" t="s">
        <v>349</v>
      </c>
    </row>
    <row r="216" spans="1:2" x14ac:dyDescent="0.2">
      <c r="A216">
        <v>1279183</v>
      </c>
      <c r="B216" t="s">
        <v>105</v>
      </c>
    </row>
    <row r="217" spans="1:2" x14ac:dyDescent="0.2">
      <c r="A217">
        <v>1279185</v>
      </c>
      <c r="B217" t="s">
        <v>242</v>
      </c>
    </row>
    <row r="218" spans="1:2" x14ac:dyDescent="0.2">
      <c r="A218">
        <v>1279186</v>
      </c>
      <c r="B218" t="s">
        <v>106</v>
      </c>
    </row>
    <row r="219" spans="1:2" x14ac:dyDescent="0.2">
      <c r="A219">
        <v>1279187</v>
      </c>
      <c r="B219" t="s">
        <v>308</v>
      </c>
    </row>
    <row r="220" spans="1:2" x14ac:dyDescent="0.2">
      <c r="A220">
        <v>1279193</v>
      </c>
      <c r="B220" t="s">
        <v>107</v>
      </c>
    </row>
    <row r="221" spans="1:2" x14ac:dyDescent="0.2">
      <c r="A221">
        <v>1279200</v>
      </c>
      <c r="B221" t="s">
        <v>225</v>
      </c>
    </row>
    <row r="222" spans="1:2" x14ac:dyDescent="0.2">
      <c r="A222">
        <v>1279201</v>
      </c>
      <c r="B222" t="s">
        <v>254</v>
      </c>
    </row>
    <row r="223" spans="1:2" x14ac:dyDescent="0.2">
      <c r="A223">
        <v>1279209</v>
      </c>
      <c r="B223" t="s">
        <v>1634</v>
      </c>
    </row>
    <row r="224" spans="1:2" x14ac:dyDescent="0.2">
      <c r="A224">
        <v>1279210</v>
      </c>
      <c r="B224" t="s">
        <v>121</v>
      </c>
    </row>
    <row r="225" spans="1:2" x14ac:dyDescent="0.2">
      <c r="A225">
        <v>1279211</v>
      </c>
      <c r="B225" t="s">
        <v>319</v>
      </c>
    </row>
    <row r="226" spans="1:2" x14ac:dyDescent="0.2">
      <c r="A226">
        <v>1279218</v>
      </c>
      <c r="B226" t="s">
        <v>162</v>
      </c>
    </row>
    <row r="227" spans="1:2" x14ac:dyDescent="0.2">
      <c r="A227">
        <v>1279220</v>
      </c>
      <c r="B227" t="s">
        <v>243</v>
      </c>
    </row>
    <row r="228" spans="1:2" x14ac:dyDescent="0.2">
      <c r="A228">
        <v>1279224</v>
      </c>
      <c r="B228" t="s">
        <v>1642</v>
      </c>
    </row>
    <row r="229" spans="1:2" x14ac:dyDescent="0.2">
      <c r="A229">
        <v>1279225</v>
      </c>
      <c r="B229" t="s">
        <v>69</v>
      </c>
    </row>
    <row r="230" spans="1:2" x14ac:dyDescent="0.2">
      <c r="A230">
        <v>1279232</v>
      </c>
      <c r="B230" t="s">
        <v>472</v>
      </c>
    </row>
    <row r="231" spans="1:2" x14ac:dyDescent="0.2">
      <c r="A231">
        <v>1279234</v>
      </c>
      <c r="B231" t="s">
        <v>1644</v>
      </c>
    </row>
    <row r="232" spans="1:2" x14ac:dyDescent="0.2">
      <c r="A232">
        <v>1279235</v>
      </c>
      <c r="B232" t="s">
        <v>147</v>
      </c>
    </row>
    <row r="233" spans="1:2" x14ac:dyDescent="0.2">
      <c r="A233">
        <v>1279237</v>
      </c>
      <c r="B233" t="s">
        <v>1667</v>
      </c>
    </row>
    <row r="234" spans="1:2" x14ac:dyDescent="0.2">
      <c r="A234">
        <v>1279238</v>
      </c>
      <c r="B234" t="s">
        <v>70</v>
      </c>
    </row>
    <row r="235" spans="1:2" x14ac:dyDescent="0.2">
      <c r="A235">
        <v>1279239</v>
      </c>
      <c r="B235" t="s">
        <v>87</v>
      </c>
    </row>
    <row r="236" spans="1:2" x14ac:dyDescent="0.2">
      <c r="A236">
        <v>1279244</v>
      </c>
      <c r="B236" t="s">
        <v>138</v>
      </c>
    </row>
    <row r="237" spans="1:2" x14ac:dyDescent="0.2">
      <c r="A237">
        <v>1279251</v>
      </c>
      <c r="B237" t="s">
        <v>350</v>
      </c>
    </row>
    <row r="238" spans="1:2" x14ac:dyDescent="0.2">
      <c r="A238">
        <v>1279252</v>
      </c>
      <c r="B238" t="s">
        <v>386</v>
      </c>
    </row>
    <row r="239" spans="1:2" x14ac:dyDescent="0.2">
      <c r="A239">
        <v>1279253</v>
      </c>
      <c r="B239" t="s">
        <v>148</v>
      </c>
    </row>
    <row r="240" spans="1:2" x14ac:dyDescent="0.2">
      <c r="A240">
        <v>1279254</v>
      </c>
      <c r="B240" t="s">
        <v>244</v>
      </c>
    </row>
    <row r="241" spans="1:2" x14ac:dyDescent="0.2">
      <c r="A241">
        <v>1279258</v>
      </c>
      <c r="B241" t="s">
        <v>365</v>
      </c>
    </row>
    <row r="242" spans="1:2" x14ac:dyDescent="0.2">
      <c r="A242">
        <v>1279262</v>
      </c>
      <c r="B242" t="s">
        <v>178</v>
      </c>
    </row>
    <row r="243" spans="1:2" x14ac:dyDescent="0.2">
      <c r="A243">
        <v>1279268</v>
      </c>
      <c r="B243" t="s">
        <v>272</v>
      </c>
    </row>
    <row r="244" spans="1:2" x14ac:dyDescent="0.2">
      <c r="A244">
        <v>1279271</v>
      </c>
      <c r="B244" t="s">
        <v>285</v>
      </c>
    </row>
    <row r="245" spans="1:2" x14ac:dyDescent="0.2">
      <c r="A245">
        <v>1279274</v>
      </c>
      <c r="B245" t="s">
        <v>122</v>
      </c>
    </row>
    <row r="246" spans="1:2" x14ac:dyDescent="0.2">
      <c r="A246">
        <v>1279282</v>
      </c>
      <c r="B246" t="s">
        <v>166</v>
      </c>
    </row>
    <row r="247" spans="1:2" x14ac:dyDescent="0.2">
      <c r="A247">
        <v>1279283</v>
      </c>
      <c r="B247" t="s">
        <v>1688</v>
      </c>
    </row>
    <row r="248" spans="1:2" x14ac:dyDescent="0.2">
      <c r="A248">
        <v>1279285</v>
      </c>
      <c r="B248" t="s">
        <v>334</v>
      </c>
    </row>
    <row r="249" spans="1:2" x14ac:dyDescent="0.2">
      <c r="A249">
        <v>1279286</v>
      </c>
      <c r="B249" t="s">
        <v>335</v>
      </c>
    </row>
    <row r="250" spans="1:2" x14ac:dyDescent="0.2">
      <c r="A250">
        <v>1279290</v>
      </c>
      <c r="B250" t="s">
        <v>286</v>
      </c>
    </row>
    <row r="251" spans="1:2" x14ac:dyDescent="0.2">
      <c r="A251">
        <v>1279291</v>
      </c>
      <c r="B251" t="s">
        <v>139</v>
      </c>
    </row>
    <row r="252" spans="1:2" x14ac:dyDescent="0.2">
      <c r="A252">
        <v>1279292</v>
      </c>
      <c r="B252" t="s">
        <v>1694</v>
      </c>
    </row>
    <row r="253" spans="1:2" ht="15" x14ac:dyDescent="0.25">
      <c r="A253" s="253">
        <v>1279293</v>
      </c>
      <c r="B253" s="253" t="s">
        <v>366</v>
      </c>
    </row>
    <row r="254" spans="1:2" x14ac:dyDescent="0.2">
      <c r="A254">
        <v>1279295</v>
      </c>
      <c r="B254" t="s">
        <v>273</v>
      </c>
    </row>
    <row r="255" spans="1:2" x14ac:dyDescent="0.2">
      <c r="A255">
        <v>1279297</v>
      </c>
      <c r="B255" t="s">
        <v>123</v>
      </c>
    </row>
    <row r="256" spans="1:2" x14ac:dyDescent="0.2">
      <c r="A256">
        <v>1279299</v>
      </c>
      <c r="B256" t="s">
        <v>482</v>
      </c>
    </row>
    <row r="257" spans="1:2" x14ac:dyDescent="0.2">
      <c r="A257">
        <v>1279300</v>
      </c>
      <c r="B257" t="s">
        <v>108</v>
      </c>
    </row>
    <row r="258" spans="1:2" x14ac:dyDescent="0.2">
      <c r="A258" s="159">
        <v>1279301</v>
      </c>
      <c r="B258" s="159" t="s">
        <v>1743</v>
      </c>
    </row>
    <row r="259" spans="1:2" x14ac:dyDescent="0.2">
      <c r="A259" s="159">
        <v>1279304</v>
      </c>
      <c r="B259" s="159" t="s">
        <v>226</v>
      </c>
    </row>
    <row r="260" spans="1:2" x14ac:dyDescent="0.2">
      <c r="A260" s="159">
        <v>1279305</v>
      </c>
      <c r="B260" s="159" t="s">
        <v>140</v>
      </c>
    </row>
    <row r="261" spans="1:2" x14ac:dyDescent="0.2">
      <c r="A261" s="159">
        <v>1279315</v>
      </c>
      <c r="B261" s="159" t="s">
        <v>336</v>
      </c>
    </row>
    <row r="262" spans="1:2" x14ac:dyDescent="0.2">
      <c r="A262" s="159">
        <v>1279317</v>
      </c>
      <c r="B262" s="159" t="s">
        <v>1744</v>
      </c>
    </row>
    <row r="263" spans="1:2" x14ac:dyDescent="0.2">
      <c r="A263" s="159">
        <v>1279323</v>
      </c>
      <c r="B263" s="159" t="s">
        <v>1745</v>
      </c>
    </row>
    <row r="264" spans="1:2" x14ac:dyDescent="0.2">
      <c r="A264" s="159">
        <v>1279324</v>
      </c>
      <c r="B264" s="159" t="s">
        <v>163</v>
      </c>
    </row>
    <row r="265" spans="1:2" x14ac:dyDescent="0.2">
      <c r="A265" s="159">
        <v>1279329</v>
      </c>
      <c r="B265" s="159" t="s">
        <v>320</v>
      </c>
    </row>
    <row r="266" spans="1:2" x14ac:dyDescent="0.2">
      <c r="A266" s="159">
        <v>1279330</v>
      </c>
      <c r="B266" s="159" t="s">
        <v>287</v>
      </c>
    </row>
    <row r="267" spans="1:2" x14ac:dyDescent="0.2">
      <c r="A267" s="159">
        <v>1279331</v>
      </c>
      <c r="B267" s="159" t="s">
        <v>227</v>
      </c>
    </row>
    <row r="268" spans="1:2" x14ac:dyDescent="0.2">
      <c r="A268" s="159">
        <v>1279333</v>
      </c>
      <c r="B268" s="159" t="s">
        <v>1749</v>
      </c>
    </row>
    <row r="269" spans="1:2" x14ac:dyDescent="0.2">
      <c r="A269" s="159">
        <v>1279334</v>
      </c>
      <c r="B269" s="159" t="s">
        <v>351</v>
      </c>
    </row>
    <row r="270" spans="1:2" x14ac:dyDescent="0.2">
      <c r="A270" s="159">
        <v>1279336</v>
      </c>
      <c r="B270" s="159" t="s">
        <v>179</v>
      </c>
    </row>
    <row r="271" spans="1:2" x14ac:dyDescent="0.2">
      <c r="A271" s="159">
        <v>1279338</v>
      </c>
      <c r="B271" s="159" t="s">
        <v>228</v>
      </c>
    </row>
    <row r="272" spans="1:2" x14ac:dyDescent="0.2">
      <c r="A272" s="159">
        <v>1279343</v>
      </c>
      <c r="B272" s="159" t="s">
        <v>180</v>
      </c>
    </row>
    <row r="273" spans="1:2" x14ac:dyDescent="0.2">
      <c r="A273" s="159">
        <v>1279345</v>
      </c>
      <c r="B273" s="159" t="s">
        <v>255</v>
      </c>
    </row>
    <row r="274" spans="1:2" x14ac:dyDescent="0.2">
      <c r="A274" s="159">
        <v>1279348</v>
      </c>
      <c r="B274" s="159" t="s">
        <v>1750</v>
      </c>
    </row>
    <row r="275" spans="1:2" x14ac:dyDescent="0.2">
      <c r="A275" s="159">
        <v>1279349</v>
      </c>
      <c r="B275" s="159" t="s">
        <v>203</v>
      </c>
    </row>
    <row r="276" spans="1:2" x14ac:dyDescent="0.2">
      <c r="A276" s="159">
        <v>1279352</v>
      </c>
      <c r="B276" s="159" t="s">
        <v>204</v>
      </c>
    </row>
    <row r="277" spans="1:2" x14ac:dyDescent="0.2">
      <c r="A277" s="159">
        <v>1279362</v>
      </c>
      <c r="B277" s="159" t="s">
        <v>245</v>
      </c>
    </row>
    <row r="278" spans="1:2" x14ac:dyDescent="0.2">
      <c r="A278" s="159">
        <v>1279366</v>
      </c>
      <c r="B278" s="159" t="s">
        <v>288</v>
      </c>
    </row>
    <row r="279" spans="1:2" x14ac:dyDescent="0.2">
      <c r="A279" s="159">
        <v>1279374</v>
      </c>
      <c r="B279" s="159" t="s">
        <v>321</v>
      </c>
    </row>
    <row r="280" spans="1:2" x14ac:dyDescent="0.2">
      <c r="A280" s="159">
        <v>1279378</v>
      </c>
      <c r="B280" s="159" t="s">
        <v>289</v>
      </c>
    </row>
    <row r="281" spans="1:2" x14ac:dyDescent="0.2">
      <c r="A281" s="159">
        <v>1279380</v>
      </c>
      <c r="B281" s="159" t="s">
        <v>256</v>
      </c>
    </row>
    <row r="282" spans="1:2" x14ac:dyDescent="0.2">
      <c r="A282" s="159">
        <v>1279382</v>
      </c>
      <c r="B282" s="159" t="s">
        <v>181</v>
      </c>
    </row>
    <row r="283" spans="1:2" x14ac:dyDescent="0.2">
      <c r="A283" s="159">
        <v>1279385</v>
      </c>
      <c r="B283" s="159" t="s">
        <v>1753</v>
      </c>
    </row>
    <row r="284" spans="1:2" x14ac:dyDescent="0.2">
      <c r="A284" s="159">
        <v>1279386</v>
      </c>
      <c r="B284" s="159" t="s">
        <v>96</v>
      </c>
    </row>
    <row r="285" spans="1:2" x14ac:dyDescent="0.2">
      <c r="A285" s="159">
        <v>1279391</v>
      </c>
      <c r="B285" s="159" t="s">
        <v>1754</v>
      </c>
    </row>
    <row r="286" spans="1:2" x14ac:dyDescent="0.2">
      <c r="A286" s="159">
        <v>1279397</v>
      </c>
      <c r="B286" s="159" t="s">
        <v>337</v>
      </c>
    </row>
    <row r="287" spans="1:2" x14ac:dyDescent="0.2">
      <c r="A287" s="159">
        <v>1279398</v>
      </c>
      <c r="B287" s="159" t="s">
        <v>352</v>
      </c>
    </row>
    <row r="288" spans="1:2" x14ac:dyDescent="0.2">
      <c r="A288" s="159">
        <v>1279399</v>
      </c>
      <c r="B288" s="159" t="s">
        <v>257</v>
      </c>
    </row>
    <row r="289" spans="1:2" x14ac:dyDescent="0.2">
      <c r="A289" s="159">
        <v>1279400</v>
      </c>
      <c r="B289" s="159" t="s">
        <v>1756</v>
      </c>
    </row>
    <row r="290" spans="1:2" x14ac:dyDescent="0.2">
      <c r="A290" s="159">
        <v>1279401</v>
      </c>
      <c r="B290" s="159" t="s">
        <v>338</v>
      </c>
    </row>
    <row r="291" spans="1:2" x14ac:dyDescent="0.2">
      <c r="A291" s="159">
        <v>1279408</v>
      </c>
      <c r="B291" s="159" t="s">
        <v>182</v>
      </c>
    </row>
    <row r="292" spans="1:2" x14ac:dyDescent="0.2">
      <c r="A292" s="159">
        <v>1279413</v>
      </c>
      <c r="B292" s="159" t="s">
        <v>183</v>
      </c>
    </row>
    <row r="293" spans="1:2" x14ac:dyDescent="0.2">
      <c r="A293" s="159">
        <v>1279417</v>
      </c>
      <c r="B293" s="159" t="s">
        <v>88</v>
      </c>
    </row>
    <row r="294" spans="1:2" x14ac:dyDescent="0.2">
      <c r="A294" s="159">
        <v>1279419</v>
      </c>
      <c r="B294" s="159" t="s">
        <v>353</v>
      </c>
    </row>
    <row r="295" spans="1:2" x14ac:dyDescent="0.2">
      <c r="A295" s="159">
        <v>1279427</v>
      </c>
      <c r="B295" s="159" t="s">
        <v>149</v>
      </c>
    </row>
    <row r="296" spans="1:2" x14ac:dyDescent="0.2">
      <c r="A296" s="159">
        <v>1279435</v>
      </c>
      <c r="B296" s="159" t="s">
        <v>1758</v>
      </c>
    </row>
    <row r="297" spans="1:2" x14ac:dyDescent="0.2">
      <c r="A297" s="159">
        <v>1279439</v>
      </c>
      <c r="B297" s="159" t="s">
        <v>290</v>
      </c>
    </row>
    <row r="298" spans="1:2" x14ac:dyDescent="0.2">
      <c r="A298" s="159">
        <v>1279442</v>
      </c>
      <c r="B298" s="159" t="s">
        <v>1778</v>
      </c>
    </row>
    <row r="299" spans="1:2" x14ac:dyDescent="0.2">
      <c r="A299" s="159">
        <v>1279447</v>
      </c>
      <c r="B299" s="159" t="s">
        <v>246</v>
      </c>
    </row>
    <row r="300" spans="1:2" x14ac:dyDescent="0.2">
      <c r="A300" s="159">
        <v>1279449</v>
      </c>
      <c r="B300" s="159" t="s">
        <v>291</v>
      </c>
    </row>
    <row r="301" spans="1:2" x14ac:dyDescent="0.2">
      <c r="A301" s="159">
        <v>1279450</v>
      </c>
      <c r="B301" s="159" t="s">
        <v>258</v>
      </c>
    </row>
    <row r="302" spans="1:2" x14ac:dyDescent="0.2">
      <c r="A302" s="159">
        <v>1279451</v>
      </c>
      <c r="B302" s="159" t="s">
        <v>90</v>
      </c>
    </row>
    <row r="303" spans="1:2" x14ac:dyDescent="0.2">
      <c r="A303" s="159">
        <v>1279453</v>
      </c>
      <c r="B303" s="159" t="s">
        <v>184</v>
      </c>
    </row>
    <row r="304" spans="1:2" x14ac:dyDescent="0.2">
      <c r="A304" s="159">
        <v>1279456</v>
      </c>
      <c r="B304" s="159" t="s">
        <v>205</v>
      </c>
    </row>
    <row r="305" spans="1:2" x14ac:dyDescent="0.2">
      <c r="A305" s="159">
        <v>1279457</v>
      </c>
      <c r="B305" s="159" t="s">
        <v>387</v>
      </c>
    </row>
    <row r="306" spans="1:2" x14ac:dyDescent="0.2">
      <c r="A306" s="159">
        <v>1279463</v>
      </c>
      <c r="B306" s="159" t="s">
        <v>1780</v>
      </c>
    </row>
    <row r="307" spans="1:2" x14ac:dyDescent="0.2">
      <c r="A307" s="159">
        <v>1279464</v>
      </c>
      <c r="B307" s="159" t="s">
        <v>339</v>
      </c>
    </row>
    <row r="308" spans="1:2" x14ac:dyDescent="0.2">
      <c r="A308" s="159">
        <v>1279467</v>
      </c>
      <c r="B308" s="159" t="s">
        <v>309</v>
      </c>
    </row>
    <row r="309" spans="1:2" x14ac:dyDescent="0.2">
      <c r="A309" s="159">
        <v>1279469</v>
      </c>
      <c r="B309" s="159" t="s">
        <v>229</v>
      </c>
    </row>
    <row r="310" spans="1:2" x14ac:dyDescent="0.2">
      <c r="A310" s="159">
        <v>1279470</v>
      </c>
      <c r="B310" s="159" t="s">
        <v>354</v>
      </c>
    </row>
    <row r="311" spans="1:2" x14ac:dyDescent="0.2">
      <c r="A311" s="159">
        <v>1279473</v>
      </c>
      <c r="B311" s="159" t="s">
        <v>355</v>
      </c>
    </row>
    <row r="312" spans="1:2" x14ac:dyDescent="0.2">
      <c r="A312" s="159">
        <v>1279482</v>
      </c>
      <c r="B312" s="159" t="s">
        <v>185</v>
      </c>
    </row>
    <row r="313" spans="1:2" x14ac:dyDescent="0.2">
      <c r="A313" s="159">
        <v>1279485</v>
      </c>
      <c r="B313" s="159" t="s">
        <v>186</v>
      </c>
    </row>
    <row r="314" spans="1:2" x14ac:dyDescent="0.2">
      <c r="A314" s="159">
        <v>1279486</v>
      </c>
      <c r="B314" s="159" t="s">
        <v>259</v>
      </c>
    </row>
    <row r="315" spans="1:2" x14ac:dyDescent="0.2">
      <c r="A315" s="159">
        <v>1279492</v>
      </c>
      <c r="B315" s="159" t="s">
        <v>206</v>
      </c>
    </row>
    <row r="316" spans="1:2" x14ac:dyDescent="0.2">
      <c r="A316" s="159">
        <v>1279493</v>
      </c>
      <c r="B316" s="159" t="s">
        <v>150</v>
      </c>
    </row>
    <row r="317" spans="1:2" x14ac:dyDescent="0.2">
      <c r="A317" s="159">
        <v>1279494</v>
      </c>
      <c r="B317" s="159" t="s">
        <v>156</v>
      </c>
    </row>
    <row r="318" spans="1:2" x14ac:dyDescent="0.2">
      <c r="A318" s="159">
        <v>1279497</v>
      </c>
      <c r="B318" s="159" t="s">
        <v>230</v>
      </c>
    </row>
    <row r="319" spans="1:2" x14ac:dyDescent="0.2">
      <c r="A319" s="159">
        <v>1279498</v>
      </c>
      <c r="B319" s="159" t="s">
        <v>124</v>
      </c>
    </row>
    <row r="320" spans="1:2" x14ac:dyDescent="0.2">
      <c r="A320" s="159">
        <v>1279501</v>
      </c>
      <c r="B320" s="159" t="s">
        <v>91</v>
      </c>
    </row>
    <row r="321" spans="1:2" x14ac:dyDescent="0.2">
      <c r="A321" s="159">
        <v>1279506</v>
      </c>
      <c r="B321" s="159" t="s">
        <v>292</v>
      </c>
    </row>
    <row r="322" spans="1:2" x14ac:dyDescent="0.2">
      <c r="A322" s="159">
        <v>1279508</v>
      </c>
      <c r="B322" s="159" t="s">
        <v>367</v>
      </c>
    </row>
    <row r="323" spans="1:2" x14ac:dyDescent="0.2">
      <c r="A323" s="159">
        <v>1279509</v>
      </c>
      <c r="B323" s="159" t="s">
        <v>368</v>
      </c>
    </row>
    <row r="324" spans="1:2" x14ac:dyDescent="0.2">
      <c r="A324" s="159">
        <v>1279514</v>
      </c>
      <c r="B324" s="159" t="s">
        <v>322</v>
      </c>
    </row>
    <row r="325" spans="1:2" x14ac:dyDescent="0.2">
      <c r="A325" s="159">
        <v>1279517</v>
      </c>
      <c r="B325" s="159" t="s">
        <v>207</v>
      </c>
    </row>
    <row r="326" spans="1:2" x14ac:dyDescent="0.2">
      <c r="A326" s="159">
        <v>1279519</v>
      </c>
      <c r="B326" s="159" t="s">
        <v>71</v>
      </c>
    </row>
    <row r="327" spans="1:2" x14ac:dyDescent="0.2">
      <c r="A327" s="159">
        <v>1279520</v>
      </c>
      <c r="B327" s="159" t="s">
        <v>1792</v>
      </c>
    </row>
    <row r="328" spans="1:2" x14ac:dyDescent="0.2">
      <c r="A328" s="159">
        <v>1279523</v>
      </c>
      <c r="B328" s="159" t="s">
        <v>369</v>
      </c>
    </row>
    <row r="329" spans="1:2" x14ac:dyDescent="0.2">
      <c r="A329" s="159">
        <v>1279524</v>
      </c>
      <c r="B329" s="159" t="s">
        <v>1794</v>
      </c>
    </row>
    <row r="330" spans="1:2" x14ac:dyDescent="0.2">
      <c r="A330" s="159">
        <v>1279527</v>
      </c>
      <c r="B330" s="159" t="s">
        <v>72</v>
      </c>
    </row>
    <row r="331" spans="1:2" x14ac:dyDescent="0.2">
      <c r="A331" s="159">
        <v>1279535</v>
      </c>
      <c r="B331" s="159" t="s">
        <v>109</v>
      </c>
    </row>
    <row r="332" spans="1:2" x14ac:dyDescent="0.2">
      <c r="A332" s="159">
        <v>1279536</v>
      </c>
      <c r="B332" s="159" t="s">
        <v>187</v>
      </c>
    </row>
    <row r="333" spans="1:2" x14ac:dyDescent="0.2">
      <c r="A333" s="159">
        <v>1279540</v>
      </c>
      <c r="B333" s="159" t="s">
        <v>164</v>
      </c>
    </row>
    <row r="334" spans="1:2" x14ac:dyDescent="0.2">
      <c r="A334" s="159">
        <v>1279541</v>
      </c>
      <c r="B334" s="159" t="s">
        <v>125</v>
      </c>
    </row>
    <row r="335" spans="1:2" x14ac:dyDescent="0.2">
      <c r="A335" s="159">
        <v>1279544</v>
      </c>
      <c r="B335" s="159" t="s">
        <v>231</v>
      </c>
    </row>
    <row r="336" spans="1:2" x14ac:dyDescent="0.2">
      <c r="A336" s="159">
        <v>1279545</v>
      </c>
      <c r="B336" s="159" t="s">
        <v>260</v>
      </c>
    </row>
    <row r="337" spans="1:2" x14ac:dyDescent="0.2">
      <c r="A337" s="159">
        <v>1279546</v>
      </c>
      <c r="B337" s="159" t="s">
        <v>1795</v>
      </c>
    </row>
    <row r="338" spans="1:2" x14ac:dyDescent="0.2">
      <c r="A338" s="159">
        <v>1279549</v>
      </c>
      <c r="B338" s="159" t="s">
        <v>157</v>
      </c>
    </row>
    <row r="339" spans="1:2" x14ac:dyDescent="0.2">
      <c r="A339" s="159">
        <v>1279550</v>
      </c>
      <c r="B339" s="159" t="s">
        <v>92</v>
      </c>
    </row>
    <row r="340" spans="1:2" x14ac:dyDescent="0.2">
      <c r="A340" s="159">
        <v>1279562</v>
      </c>
      <c r="B340" s="159" t="s">
        <v>1797</v>
      </c>
    </row>
    <row r="341" spans="1:2" x14ac:dyDescent="0.2">
      <c r="A341" s="159">
        <v>1279568</v>
      </c>
      <c r="B341" s="159" t="s">
        <v>208</v>
      </c>
    </row>
    <row r="342" spans="1:2" x14ac:dyDescent="0.2">
      <c r="A342" s="159">
        <v>1279570</v>
      </c>
      <c r="B342" s="159" t="s">
        <v>293</v>
      </c>
    </row>
    <row r="343" spans="1:2" x14ac:dyDescent="0.2">
      <c r="A343" s="159">
        <v>1279572</v>
      </c>
      <c r="B343" s="159" t="s">
        <v>356</v>
      </c>
    </row>
    <row r="344" spans="1:2" x14ac:dyDescent="0.2">
      <c r="A344" s="159">
        <v>1279579</v>
      </c>
      <c r="B344" s="159" t="s">
        <v>261</v>
      </c>
    </row>
    <row r="345" spans="1:2" x14ac:dyDescent="0.2">
      <c r="A345" s="159">
        <v>1279581</v>
      </c>
      <c r="B345" s="159" t="s">
        <v>388</v>
      </c>
    </row>
    <row r="346" spans="1:2" x14ac:dyDescent="0.2">
      <c r="A346" s="159">
        <v>1279583</v>
      </c>
      <c r="B346" s="159" t="s">
        <v>141</v>
      </c>
    </row>
    <row r="347" spans="1:2" x14ac:dyDescent="0.2">
      <c r="A347" s="159">
        <v>1279589</v>
      </c>
      <c r="B347" s="159" t="s">
        <v>126</v>
      </c>
    </row>
    <row r="348" spans="1:2" x14ac:dyDescent="0.2">
      <c r="A348" s="159">
        <v>1279591</v>
      </c>
      <c r="B348" s="159" t="s">
        <v>357</v>
      </c>
    </row>
    <row r="349" spans="1:2" x14ac:dyDescent="0.2">
      <c r="A349" s="159">
        <v>1279601</v>
      </c>
      <c r="B349" s="159" t="s">
        <v>158</v>
      </c>
    </row>
    <row r="350" spans="1:2" x14ac:dyDescent="0.2">
      <c r="A350" s="159">
        <v>1279606</v>
      </c>
      <c r="B350" s="159" t="s">
        <v>294</v>
      </c>
    </row>
    <row r="351" spans="1:2" x14ac:dyDescent="0.2">
      <c r="A351" s="159">
        <v>1279610</v>
      </c>
      <c r="B351" s="159" t="s">
        <v>358</v>
      </c>
    </row>
    <row r="352" spans="1:2" x14ac:dyDescent="0.2">
      <c r="A352" s="159">
        <v>1279615</v>
      </c>
      <c r="B352" s="159" t="s">
        <v>142</v>
      </c>
    </row>
    <row r="353" spans="1:2" x14ac:dyDescent="0.2">
      <c r="A353" s="159">
        <v>1279617</v>
      </c>
      <c r="B353" s="159" t="s">
        <v>323</v>
      </c>
    </row>
    <row r="354" spans="1:2" x14ac:dyDescent="0.2">
      <c r="A354" s="159">
        <v>1279621</v>
      </c>
      <c r="B354" s="159" t="s">
        <v>340</v>
      </c>
    </row>
    <row r="355" spans="1:2" x14ac:dyDescent="0.2">
      <c r="A355" s="159">
        <v>1279622</v>
      </c>
      <c r="B355" s="159" t="s">
        <v>676</v>
      </c>
    </row>
    <row r="356" spans="1:2" x14ac:dyDescent="0.2">
      <c r="A356" s="159">
        <v>1279623</v>
      </c>
      <c r="B356" s="159" t="s">
        <v>1800</v>
      </c>
    </row>
    <row r="357" spans="1:2" x14ac:dyDescent="0.2">
      <c r="A357" s="159">
        <v>1279624</v>
      </c>
      <c r="B357" s="159" t="s">
        <v>73</v>
      </c>
    </row>
    <row r="358" spans="1:2" x14ac:dyDescent="0.2">
      <c r="A358" s="159">
        <v>1279626</v>
      </c>
      <c r="B358" s="159" t="s">
        <v>151</v>
      </c>
    </row>
    <row r="359" spans="1:2" x14ac:dyDescent="0.2">
      <c r="A359" s="159">
        <v>1279630</v>
      </c>
      <c r="B359" s="159" t="s">
        <v>209</v>
      </c>
    </row>
    <row r="360" spans="1:2" x14ac:dyDescent="0.2">
      <c r="A360" s="159">
        <v>1279633</v>
      </c>
      <c r="B360" s="159" t="s">
        <v>232</v>
      </c>
    </row>
    <row r="361" spans="1:2" x14ac:dyDescent="0.2">
      <c r="A361" s="159">
        <v>1279638</v>
      </c>
      <c r="B361" s="159" t="s">
        <v>468</v>
      </c>
    </row>
    <row r="362" spans="1:2" x14ac:dyDescent="0.2">
      <c r="A362" s="159">
        <v>1279642</v>
      </c>
      <c r="B362" s="159" t="s">
        <v>210</v>
      </c>
    </row>
    <row r="363" spans="1:2" x14ac:dyDescent="0.2">
      <c r="A363" s="159">
        <v>1279647</v>
      </c>
      <c r="B363" s="159" t="s">
        <v>74</v>
      </c>
    </row>
    <row r="364" spans="1:2" x14ac:dyDescent="0.2">
      <c r="A364" s="159">
        <v>1279649</v>
      </c>
      <c r="B364" s="159" t="s">
        <v>233</v>
      </c>
    </row>
    <row r="365" spans="1:2" x14ac:dyDescent="0.2">
      <c r="A365" s="159">
        <v>1279651</v>
      </c>
      <c r="B365" s="159" t="s">
        <v>247</v>
      </c>
    </row>
    <row r="366" spans="1:2" x14ac:dyDescent="0.2">
      <c r="A366" s="159">
        <v>1279652</v>
      </c>
      <c r="B366" s="159" t="s">
        <v>127</v>
      </c>
    </row>
    <row r="367" spans="1:2" x14ac:dyDescent="0.2">
      <c r="A367" s="159">
        <v>1279654</v>
      </c>
      <c r="B367" s="159" t="s">
        <v>310</v>
      </c>
    </row>
    <row r="368" spans="1:2" x14ac:dyDescent="0.2">
      <c r="A368" s="159">
        <v>1279656</v>
      </c>
      <c r="B368" s="159" t="s">
        <v>370</v>
      </c>
    </row>
    <row r="369" spans="1:2" x14ac:dyDescent="0.2">
      <c r="A369" s="159">
        <v>1279658</v>
      </c>
      <c r="B369" s="159" t="s">
        <v>262</v>
      </c>
    </row>
    <row r="370" spans="1:2" x14ac:dyDescent="0.2">
      <c r="A370" s="159">
        <v>1279661</v>
      </c>
      <c r="B370" s="159" t="s">
        <v>389</v>
      </c>
    </row>
    <row r="371" spans="1:2" x14ac:dyDescent="0.2">
      <c r="A371" s="159">
        <v>1279663</v>
      </c>
      <c r="B371" s="159" t="s">
        <v>75</v>
      </c>
    </row>
    <row r="372" spans="1:2" x14ac:dyDescent="0.2">
      <c r="A372" s="159">
        <v>1279668</v>
      </c>
      <c r="B372" s="159" t="s">
        <v>93</v>
      </c>
    </row>
    <row r="373" spans="1:2" x14ac:dyDescent="0.2">
      <c r="A373" s="159">
        <v>1279670</v>
      </c>
      <c r="B373" s="159" t="s">
        <v>94</v>
      </c>
    </row>
    <row r="374" spans="1:2" x14ac:dyDescent="0.2">
      <c r="A374" s="159">
        <v>1279673</v>
      </c>
      <c r="B374" s="159" t="s">
        <v>390</v>
      </c>
    </row>
    <row r="375" spans="1:2" x14ac:dyDescent="0.2">
      <c r="A375" s="159">
        <v>1279676</v>
      </c>
      <c r="B375" s="159" t="s">
        <v>211</v>
      </c>
    </row>
    <row r="376" spans="1:2" x14ac:dyDescent="0.2">
      <c r="A376" s="159">
        <v>1279683</v>
      </c>
      <c r="B376" s="159" t="s">
        <v>165</v>
      </c>
    </row>
    <row r="377" spans="1:2" x14ac:dyDescent="0.2">
      <c r="A377" s="159">
        <v>1279685</v>
      </c>
      <c r="B377" s="159" t="s">
        <v>263</v>
      </c>
    </row>
    <row r="378" spans="1:2" x14ac:dyDescent="0.2">
      <c r="A378" s="159">
        <v>1279694</v>
      </c>
      <c r="B378" s="159" t="s">
        <v>295</v>
      </c>
    </row>
    <row r="379" spans="1:2" x14ac:dyDescent="0.2">
      <c r="A379" s="159">
        <v>1279697</v>
      </c>
      <c r="B379" s="159" t="s">
        <v>311</v>
      </c>
    </row>
    <row r="380" spans="1:2" x14ac:dyDescent="0.2">
      <c r="A380" s="159">
        <v>1279699</v>
      </c>
      <c r="B380" s="159" t="s">
        <v>144</v>
      </c>
    </row>
    <row r="381" spans="1:2" x14ac:dyDescent="0.2">
      <c r="A381" s="159">
        <v>1279700</v>
      </c>
      <c r="B381" s="159" t="s">
        <v>324</v>
      </c>
    </row>
    <row r="382" spans="1:2" x14ac:dyDescent="0.2">
      <c r="A382" s="159">
        <v>1279703</v>
      </c>
      <c r="B382" s="159" t="s">
        <v>212</v>
      </c>
    </row>
    <row r="383" spans="1:2" x14ac:dyDescent="0.2">
      <c r="A383" s="159">
        <v>1279704</v>
      </c>
      <c r="B383" s="159" t="s">
        <v>341</v>
      </c>
    </row>
    <row r="384" spans="1:2" x14ac:dyDescent="0.2">
      <c r="A384" s="159">
        <v>1279708</v>
      </c>
      <c r="B384" s="159" t="s">
        <v>312</v>
      </c>
    </row>
    <row r="385" spans="1:2" x14ac:dyDescent="0.2">
      <c r="A385" s="159">
        <v>1279710</v>
      </c>
      <c r="B385" s="159" t="s">
        <v>76</v>
      </c>
    </row>
    <row r="386" spans="1:2" x14ac:dyDescent="0.2">
      <c r="A386" s="159">
        <v>1279712</v>
      </c>
      <c r="B386" s="159" t="s">
        <v>391</v>
      </c>
    </row>
    <row r="387" spans="1:2" x14ac:dyDescent="0.2">
      <c r="A387" s="159">
        <v>1279713</v>
      </c>
      <c r="B387" s="159" t="s">
        <v>264</v>
      </c>
    </row>
    <row r="388" spans="1:2" x14ac:dyDescent="0.2">
      <c r="A388" s="159">
        <v>1279714</v>
      </c>
      <c r="B388" s="159" t="s">
        <v>313</v>
      </c>
    </row>
    <row r="389" spans="1:2" x14ac:dyDescent="0.2">
      <c r="A389" s="159">
        <v>1279716</v>
      </c>
      <c r="B389" s="159" t="s">
        <v>314</v>
      </c>
    </row>
    <row r="390" spans="1:2" x14ac:dyDescent="0.2">
      <c r="A390" s="159">
        <v>1279717</v>
      </c>
      <c r="B390" s="159" t="s">
        <v>371</v>
      </c>
    </row>
    <row r="391" spans="1:2" x14ac:dyDescent="0.2">
      <c r="A391" s="159">
        <v>1279718</v>
      </c>
      <c r="B391" s="159" t="s">
        <v>296</v>
      </c>
    </row>
    <row r="392" spans="1:2" x14ac:dyDescent="0.2">
      <c r="A392" s="159">
        <v>1279719</v>
      </c>
      <c r="B392" s="159" t="s">
        <v>297</v>
      </c>
    </row>
    <row r="393" spans="1:2" x14ac:dyDescent="0.2">
      <c r="A393" s="159">
        <v>1279723</v>
      </c>
      <c r="B393" s="159" t="s">
        <v>359</v>
      </c>
    </row>
    <row r="394" spans="1:2" x14ac:dyDescent="0.2">
      <c r="A394" s="159">
        <v>1279725</v>
      </c>
      <c r="B394" s="159" t="s">
        <v>265</v>
      </c>
    </row>
    <row r="395" spans="1:2" x14ac:dyDescent="0.2">
      <c r="A395" s="159">
        <v>1279726</v>
      </c>
      <c r="B395" s="159" t="s">
        <v>392</v>
      </c>
    </row>
    <row r="396" spans="1:2" x14ac:dyDescent="0.2">
      <c r="A396" s="159">
        <v>1279729</v>
      </c>
      <c r="B396" s="159" t="s">
        <v>393</v>
      </c>
    </row>
    <row r="397" spans="1:2" x14ac:dyDescent="0.2">
      <c r="A397" s="159">
        <v>1279731</v>
      </c>
      <c r="B397" s="159" t="s">
        <v>372</v>
      </c>
    </row>
    <row r="398" spans="1:2" x14ac:dyDescent="0.2">
      <c r="A398" s="159">
        <v>1279732</v>
      </c>
      <c r="B398" s="159" t="s">
        <v>266</v>
      </c>
    </row>
    <row r="399" spans="1:2" x14ac:dyDescent="0.2">
      <c r="A399" s="159">
        <v>1279733</v>
      </c>
      <c r="B399" s="159" t="s">
        <v>394</v>
      </c>
    </row>
    <row r="400" spans="1:2" x14ac:dyDescent="0.2">
      <c r="A400" s="159">
        <v>1279739</v>
      </c>
      <c r="B400" s="159" t="s">
        <v>267</v>
      </c>
    </row>
    <row r="401" spans="1:2" x14ac:dyDescent="0.2">
      <c r="A401" s="159">
        <v>1279740</v>
      </c>
      <c r="B401" s="159" t="s">
        <v>315</v>
      </c>
    </row>
    <row r="402" spans="1:2" x14ac:dyDescent="0.2">
      <c r="A402" s="159">
        <v>1279748</v>
      </c>
      <c r="B402" s="159" t="s">
        <v>395</v>
      </c>
    </row>
    <row r="403" spans="1:2" x14ac:dyDescent="0.2">
      <c r="A403" s="159">
        <v>1279750</v>
      </c>
      <c r="B403" s="159" t="s">
        <v>396</v>
      </c>
    </row>
    <row r="404" spans="1:2" x14ac:dyDescent="0.2">
      <c r="A404" s="159">
        <v>1279753</v>
      </c>
      <c r="B404" s="159" t="s">
        <v>397</v>
      </c>
    </row>
    <row r="405" spans="1:2" x14ac:dyDescent="0.2">
      <c r="A405" s="159">
        <v>1279755</v>
      </c>
      <c r="B405" s="159" t="s">
        <v>398</v>
      </c>
    </row>
    <row r="406" spans="1:2" x14ac:dyDescent="0.2">
      <c r="A406" s="159">
        <v>1279760</v>
      </c>
      <c r="B406" s="159" t="s">
        <v>399</v>
      </c>
    </row>
    <row r="407" spans="1:2" x14ac:dyDescent="0.2">
      <c r="A407" s="159">
        <v>1279761</v>
      </c>
      <c r="B407" s="159" t="s">
        <v>400</v>
      </c>
    </row>
    <row r="408" spans="1:2" x14ac:dyDescent="0.2">
      <c r="A408" s="159">
        <v>1279763</v>
      </c>
      <c r="B408" s="159" t="s">
        <v>401</v>
      </c>
    </row>
    <row r="409" spans="1:2" x14ac:dyDescent="0.2">
      <c r="A409" s="159">
        <v>1279770</v>
      </c>
      <c r="B409" s="159" t="s">
        <v>402</v>
      </c>
    </row>
    <row r="410" spans="1:2" x14ac:dyDescent="0.2">
      <c r="A410" s="159">
        <v>1279771</v>
      </c>
      <c r="B410" s="159" t="s">
        <v>403</v>
      </c>
    </row>
    <row r="411" spans="1:2" x14ac:dyDescent="0.2">
      <c r="A411" s="159">
        <v>1279772</v>
      </c>
      <c r="B411" s="159" t="s">
        <v>404</v>
      </c>
    </row>
    <row r="412" spans="1:2" x14ac:dyDescent="0.2">
      <c r="A412" s="159">
        <v>1279773</v>
      </c>
      <c r="B412" s="159" t="s">
        <v>405</v>
      </c>
    </row>
    <row r="413" spans="1:2" x14ac:dyDescent="0.2">
      <c r="A413" s="159">
        <v>1279775</v>
      </c>
      <c r="B413" s="159" t="s">
        <v>316</v>
      </c>
    </row>
    <row r="414" spans="1:2" x14ac:dyDescent="0.2">
      <c r="A414" s="159">
        <v>1279778</v>
      </c>
      <c r="B414" s="159" t="s">
        <v>152</v>
      </c>
    </row>
    <row r="415" spans="1:2" x14ac:dyDescent="0.2">
      <c r="A415" s="159">
        <v>1279779</v>
      </c>
      <c r="B415" s="159" t="s">
        <v>406</v>
      </c>
    </row>
    <row r="416" spans="1:2" x14ac:dyDescent="0.2">
      <c r="A416" s="159">
        <v>1279782</v>
      </c>
      <c r="B416" s="159" t="s">
        <v>128</v>
      </c>
    </row>
    <row r="417" spans="1:2" x14ac:dyDescent="0.2">
      <c r="A417" s="159">
        <v>1279785</v>
      </c>
      <c r="B417" s="159" t="s">
        <v>77</v>
      </c>
    </row>
    <row r="418" spans="1:2" x14ac:dyDescent="0.2">
      <c r="A418" s="159">
        <v>1279787</v>
      </c>
      <c r="B418" s="159" t="s">
        <v>129</v>
      </c>
    </row>
    <row r="419" spans="1:2" x14ac:dyDescent="0.2">
      <c r="A419" s="159">
        <v>1279788</v>
      </c>
      <c r="B419" s="159" t="s">
        <v>407</v>
      </c>
    </row>
    <row r="420" spans="1:2" x14ac:dyDescent="0.2">
      <c r="A420" s="159">
        <v>1279797</v>
      </c>
      <c r="B420" s="159" t="s">
        <v>408</v>
      </c>
    </row>
    <row r="421" spans="1:2" x14ac:dyDescent="0.2">
      <c r="A421" s="159">
        <v>1279804</v>
      </c>
      <c r="B421" s="159" t="s">
        <v>409</v>
      </c>
    </row>
    <row r="422" spans="1:2" x14ac:dyDescent="0.2">
      <c r="A422" s="159">
        <v>1279805</v>
      </c>
      <c r="B422" s="159" t="s">
        <v>473</v>
      </c>
    </row>
    <row r="423" spans="1:2" x14ac:dyDescent="0.2">
      <c r="A423" s="159">
        <v>1279809</v>
      </c>
      <c r="B423" s="159" t="s">
        <v>410</v>
      </c>
    </row>
    <row r="424" spans="1:2" x14ac:dyDescent="0.2">
      <c r="A424" s="159">
        <v>1279814</v>
      </c>
      <c r="B424" s="159" t="s">
        <v>411</v>
      </c>
    </row>
    <row r="425" spans="1:2" x14ac:dyDescent="0.2">
      <c r="A425" s="159">
        <v>1279819</v>
      </c>
      <c r="B425" s="159" t="s">
        <v>412</v>
      </c>
    </row>
    <row r="426" spans="1:2" x14ac:dyDescent="0.2">
      <c r="A426" s="159">
        <v>1279821</v>
      </c>
      <c r="B426" s="159" t="s">
        <v>343</v>
      </c>
    </row>
    <row r="427" spans="1:2" x14ac:dyDescent="0.2">
      <c r="A427" s="159">
        <v>1279825</v>
      </c>
      <c r="B427" s="159" t="s">
        <v>413</v>
      </c>
    </row>
    <row r="428" spans="1:2" x14ac:dyDescent="0.2">
      <c r="A428" s="159">
        <v>1279826</v>
      </c>
      <c r="B428" s="159" t="s">
        <v>414</v>
      </c>
    </row>
    <row r="429" spans="1:2" x14ac:dyDescent="0.2">
      <c r="A429" s="159">
        <v>1279832</v>
      </c>
      <c r="B429" s="159" t="s">
        <v>415</v>
      </c>
    </row>
    <row r="430" spans="1:2" x14ac:dyDescent="0.2">
      <c r="A430" s="159">
        <v>1279833</v>
      </c>
      <c r="B430" s="159" t="s">
        <v>416</v>
      </c>
    </row>
    <row r="431" spans="1:2" x14ac:dyDescent="0.2">
      <c r="A431" s="159">
        <v>1279834</v>
      </c>
      <c r="B431" s="159" t="s">
        <v>417</v>
      </c>
    </row>
    <row r="432" spans="1:2" x14ac:dyDescent="0.2">
      <c r="A432" s="159">
        <v>1279835</v>
      </c>
      <c r="B432" s="159" t="s">
        <v>418</v>
      </c>
    </row>
    <row r="433" spans="1:2" x14ac:dyDescent="0.2">
      <c r="A433" s="159">
        <v>1279837</v>
      </c>
      <c r="B433" s="159" t="s">
        <v>419</v>
      </c>
    </row>
    <row r="434" spans="1:2" x14ac:dyDescent="0.2">
      <c r="A434" s="159">
        <v>1279842</v>
      </c>
      <c r="B434" s="159" t="s">
        <v>420</v>
      </c>
    </row>
    <row r="435" spans="1:2" x14ac:dyDescent="0.2">
      <c r="A435" s="159">
        <v>1279845</v>
      </c>
      <c r="B435" s="159" t="s">
        <v>421</v>
      </c>
    </row>
    <row r="436" spans="1:2" x14ac:dyDescent="0.2">
      <c r="A436" s="159">
        <v>1279847</v>
      </c>
      <c r="B436" s="159" t="s">
        <v>422</v>
      </c>
    </row>
    <row r="437" spans="1:2" x14ac:dyDescent="0.2">
      <c r="A437" s="159">
        <v>1279849</v>
      </c>
      <c r="B437" s="159" t="s">
        <v>423</v>
      </c>
    </row>
    <row r="438" spans="1:2" x14ac:dyDescent="0.2">
      <c r="A438" s="159">
        <v>1279852</v>
      </c>
      <c r="B438" s="159" t="s">
        <v>424</v>
      </c>
    </row>
    <row r="439" spans="1:2" x14ac:dyDescent="0.2">
      <c r="A439" s="159">
        <v>1279853</v>
      </c>
      <c r="B439" s="159" t="s">
        <v>425</v>
      </c>
    </row>
    <row r="440" spans="1:2" x14ac:dyDescent="0.2">
      <c r="A440" s="159">
        <v>1279855</v>
      </c>
      <c r="B440" s="159" t="s">
        <v>426</v>
      </c>
    </row>
    <row r="441" spans="1:2" x14ac:dyDescent="0.2">
      <c r="A441" s="159">
        <v>1279856</v>
      </c>
      <c r="B441" s="159" t="s">
        <v>427</v>
      </c>
    </row>
    <row r="442" spans="1:2" x14ac:dyDescent="0.2">
      <c r="A442" s="159">
        <v>1279857</v>
      </c>
      <c r="B442" s="159" t="s">
        <v>428</v>
      </c>
    </row>
    <row r="443" spans="1:2" x14ac:dyDescent="0.2">
      <c r="A443" s="159">
        <v>1279859</v>
      </c>
      <c r="B443" s="159" t="s">
        <v>429</v>
      </c>
    </row>
    <row r="444" spans="1:2" x14ac:dyDescent="0.2">
      <c r="A444" s="159">
        <v>1279860</v>
      </c>
      <c r="B444" s="159" t="s">
        <v>430</v>
      </c>
    </row>
    <row r="445" spans="1:2" x14ac:dyDescent="0.2">
      <c r="A445" s="159">
        <v>1279863</v>
      </c>
      <c r="B445" s="159" t="s">
        <v>431</v>
      </c>
    </row>
    <row r="446" spans="1:2" x14ac:dyDescent="0.2">
      <c r="A446" s="159">
        <v>1279864</v>
      </c>
      <c r="B446" s="159" t="s">
        <v>1990</v>
      </c>
    </row>
    <row r="447" spans="1:2" x14ac:dyDescent="0.2">
      <c r="A447" s="159">
        <v>1279865</v>
      </c>
      <c r="B447" s="159" t="s">
        <v>433</v>
      </c>
    </row>
    <row r="448" spans="1:2" x14ac:dyDescent="0.2">
      <c r="A448" s="159">
        <v>1279867</v>
      </c>
      <c r="B448" s="159" t="s">
        <v>434</v>
      </c>
    </row>
    <row r="449" spans="1:2" x14ac:dyDescent="0.2">
      <c r="A449" s="159">
        <v>1279868</v>
      </c>
      <c r="B449" s="159" t="s">
        <v>477</v>
      </c>
    </row>
    <row r="450" spans="1:2" x14ac:dyDescent="0.2">
      <c r="A450" s="159">
        <v>1279871</v>
      </c>
      <c r="B450" s="159" t="s">
        <v>435</v>
      </c>
    </row>
    <row r="451" spans="1:2" x14ac:dyDescent="0.2">
      <c r="A451" s="159">
        <v>1279872</v>
      </c>
      <c r="B451" s="159" t="s">
        <v>436</v>
      </c>
    </row>
    <row r="452" spans="1:2" x14ac:dyDescent="0.2">
      <c r="A452" s="159">
        <v>1279873</v>
      </c>
      <c r="B452" s="159" t="s">
        <v>2019</v>
      </c>
    </row>
    <row r="453" spans="1:2" x14ac:dyDescent="0.2">
      <c r="A453" s="159">
        <v>1279874</v>
      </c>
      <c r="B453" s="159" t="s">
        <v>2024</v>
      </c>
    </row>
    <row r="454" spans="1:2" x14ac:dyDescent="0.2">
      <c r="A454" s="159">
        <v>1279875</v>
      </c>
      <c r="B454" s="159" t="s">
        <v>2036</v>
      </c>
    </row>
    <row r="455" spans="1:2" x14ac:dyDescent="0.2">
      <c r="A455" s="159">
        <v>1279876</v>
      </c>
      <c r="B455" s="159" t="s">
        <v>2037</v>
      </c>
    </row>
    <row r="456" spans="1:2" x14ac:dyDescent="0.2">
      <c r="A456" s="159">
        <v>1279877</v>
      </c>
      <c r="B456" s="159" t="s">
        <v>2039</v>
      </c>
    </row>
    <row r="457" spans="1:2" x14ac:dyDescent="0.2">
      <c r="A457" s="159">
        <v>1279883</v>
      </c>
      <c r="B457" s="159" t="s">
        <v>471</v>
      </c>
    </row>
    <row r="458" spans="1:2" x14ac:dyDescent="0.2">
      <c r="A458" s="159">
        <v>1279884</v>
      </c>
      <c r="B458" s="159" t="s">
        <v>476</v>
      </c>
    </row>
    <row r="459" spans="1:2" x14ac:dyDescent="0.2">
      <c r="A459" s="159">
        <v>1279885</v>
      </c>
      <c r="B459" s="159" t="s">
        <v>480</v>
      </c>
    </row>
    <row r="460" spans="1:2" x14ac:dyDescent="0.2">
      <c r="A460" s="159">
        <v>1279886</v>
      </c>
      <c r="B460" s="159" t="s">
        <v>475</v>
      </c>
    </row>
    <row r="461" spans="1:2" x14ac:dyDescent="0.2">
      <c r="A461" s="159">
        <v>1279887</v>
      </c>
      <c r="B461" s="159" t="s">
        <v>474</v>
      </c>
    </row>
    <row r="462" spans="1:2" x14ac:dyDescent="0.2">
      <c r="A462" s="159">
        <v>1279892</v>
      </c>
      <c r="B462" s="159" t="s">
        <v>478</v>
      </c>
    </row>
    <row r="463" spans="1:2" x14ac:dyDescent="0.2">
      <c r="A463" s="159">
        <v>1279893</v>
      </c>
      <c r="B463" s="159" t="s">
        <v>479</v>
      </c>
    </row>
    <row r="464" spans="1:2" x14ac:dyDescent="0.2">
      <c r="A464" s="159">
        <v>1279901</v>
      </c>
      <c r="B464" s="159" t="s">
        <v>2076</v>
      </c>
    </row>
    <row r="465" spans="1:2" x14ac:dyDescent="0.2">
      <c r="A465" s="159">
        <v>1279902</v>
      </c>
      <c r="B465" s="159" t="s">
        <v>470</v>
      </c>
    </row>
    <row r="466" spans="1:2" x14ac:dyDescent="0.2">
      <c r="A466" s="159">
        <v>1279908</v>
      </c>
      <c r="B466" s="159" t="s">
        <v>2077</v>
      </c>
    </row>
    <row r="467" spans="1:2" x14ac:dyDescent="0.2">
      <c r="A467" s="159">
        <v>1279909</v>
      </c>
      <c r="B467" s="159" t="s">
        <v>483</v>
      </c>
    </row>
    <row r="468" spans="1:2" x14ac:dyDescent="0.2">
      <c r="A468" s="159">
        <v>1279910</v>
      </c>
      <c r="B468" s="159" t="s">
        <v>481</v>
      </c>
    </row>
    <row r="469" spans="1:2" x14ac:dyDescent="0.2">
      <c r="A469" s="159">
        <v>1279911</v>
      </c>
      <c r="B469" s="159" t="s">
        <v>485</v>
      </c>
    </row>
    <row r="470" spans="1:2" x14ac:dyDescent="0.2">
      <c r="A470" s="159">
        <v>1279912</v>
      </c>
      <c r="B470" s="159" t="s">
        <v>488</v>
      </c>
    </row>
    <row r="471" spans="1:2" x14ac:dyDescent="0.2">
      <c r="A471" s="159">
        <v>1279913</v>
      </c>
      <c r="B471" s="159" t="s">
        <v>486</v>
      </c>
    </row>
    <row r="472" spans="1:2" x14ac:dyDescent="0.2">
      <c r="A472" s="159">
        <v>1279915</v>
      </c>
      <c r="B472" s="159" t="s">
        <v>484</v>
      </c>
    </row>
    <row r="473" spans="1:2" x14ac:dyDescent="0.2">
      <c r="A473" s="159">
        <v>1279916</v>
      </c>
      <c r="B473" s="159" t="s">
        <v>573</v>
      </c>
    </row>
    <row r="474" spans="1:2" x14ac:dyDescent="0.2">
      <c r="A474" s="159">
        <v>1279920</v>
      </c>
      <c r="B474" s="159" t="s">
        <v>490</v>
      </c>
    </row>
    <row r="475" spans="1:2" x14ac:dyDescent="0.2">
      <c r="A475" s="159">
        <v>1279922</v>
      </c>
      <c r="B475" s="159" t="s">
        <v>2096</v>
      </c>
    </row>
    <row r="476" spans="1:2" x14ac:dyDescent="0.2">
      <c r="A476" s="159">
        <v>1279925</v>
      </c>
      <c r="B476" s="159" t="s">
        <v>487</v>
      </c>
    </row>
    <row r="477" spans="1:2" x14ac:dyDescent="0.2">
      <c r="A477" s="159">
        <v>1279928</v>
      </c>
      <c r="B477" s="159" t="s">
        <v>2097</v>
      </c>
    </row>
    <row r="478" spans="1:2" x14ac:dyDescent="0.2">
      <c r="A478" s="159">
        <v>1279929</v>
      </c>
      <c r="B478" s="159" t="s">
        <v>489</v>
      </c>
    </row>
    <row r="479" spans="1:2" x14ac:dyDescent="0.2">
      <c r="A479" s="159">
        <v>1279936</v>
      </c>
      <c r="B479" s="159" t="s">
        <v>504</v>
      </c>
    </row>
    <row r="480" spans="1:2" x14ac:dyDescent="0.2">
      <c r="A480" s="159">
        <v>1279937</v>
      </c>
      <c r="B480" s="159" t="s">
        <v>505</v>
      </c>
    </row>
    <row r="481" spans="1:2" x14ac:dyDescent="0.2">
      <c r="A481" s="159">
        <v>1279939</v>
      </c>
      <c r="B481" s="159" t="s">
        <v>2100</v>
      </c>
    </row>
    <row r="482" spans="1:2" x14ac:dyDescent="0.2">
      <c r="A482" s="159">
        <v>1279940</v>
      </c>
      <c r="B482" s="159" t="s">
        <v>646</v>
      </c>
    </row>
    <row r="483" spans="1:2" x14ac:dyDescent="0.2">
      <c r="A483" s="159">
        <v>1279942</v>
      </c>
      <c r="B483" s="159" t="s">
        <v>503</v>
      </c>
    </row>
    <row r="484" spans="1:2" x14ac:dyDescent="0.2">
      <c r="A484" s="159">
        <v>1279945</v>
      </c>
      <c r="B484" s="159" t="s">
        <v>506</v>
      </c>
    </row>
    <row r="485" spans="1:2" x14ac:dyDescent="0.2">
      <c r="A485" s="159">
        <v>1279948</v>
      </c>
      <c r="B485" s="159" t="s">
        <v>516</v>
      </c>
    </row>
    <row r="486" spans="1:2" x14ac:dyDescent="0.2">
      <c r="A486" s="159">
        <v>1279950</v>
      </c>
      <c r="B486" s="159" t="s">
        <v>567</v>
      </c>
    </row>
    <row r="487" spans="1:2" x14ac:dyDescent="0.2">
      <c r="A487" s="159">
        <v>1279951</v>
      </c>
      <c r="B487" s="159" t="s">
        <v>569</v>
      </c>
    </row>
    <row r="488" spans="1:2" x14ac:dyDescent="0.2">
      <c r="A488" s="159">
        <v>1279953</v>
      </c>
      <c r="B488" s="159" t="s">
        <v>570</v>
      </c>
    </row>
    <row r="489" spans="1:2" x14ac:dyDescent="0.2">
      <c r="A489" s="159">
        <v>1279957</v>
      </c>
      <c r="B489" s="159" t="s">
        <v>575</v>
      </c>
    </row>
    <row r="490" spans="1:2" x14ac:dyDescent="0.2">
      <c r="A490" s="159">
        <v>1279958</v>
      </c>
      <c r="B490" s="159" t="s">
        <v>577</v>
      </c>
    </row>
    <row r="491" spans="1:2" x14ac:dyDescent="0.2">
      <c r="A491" s="159">
        <v>1279959</v>
      </c>
      <c r="B491" s="159" t="s">
        <v>568</v>
      </c>
    </row>
    <row r="492" spans="1:2" x14ac:dyDescent="0.2">
      <c r="A492" s="159">
        <v>1279960</v>
      </c>
      <c r="B492" s="159" t="s">
        <v>576</v>
      </c>
    </row>
    <row r="493" spans="1:2" x14ac:dyDescent="0.2">
      <c r="A493" s="159">
        <v>1279968</v>
      </c>
      <c r="B493" s="159" t="s">
        <v>578</v>
      </c>
    </row>
    <row r="494" spans="1:2" x14ac:dyDescent="0.2">
      <c r="A494" s="159">
        <v>1279969</v>
      </c>
      <c r="B494" s="159" t="s">
        <v>571</v>
      </c>
    </row>
    <row r="495" spans="1:2" x14ac:dyDescent="0.2">
      <c r="A495" s="159">
        <v>1279970</v>
      </c>
      <c r="B495" s="159" t="s">
        <v>572</v>
      </c>
    </row>
    <row r="496" spans="1:2" x14ac:dyDescent="0.2">
      <c r="A496" s="159">
        <v>1279971</v>
      </c>
      <c r="B496" s="159" t="s">
        <v>574</v>
      </c>
    </row>
    <row r="497" spans="1:2" x14ac:dyDescent="0.2">
      <c r="A497" s="159">
        <v>1279972</v>
      </c>
      <c r="B497" s="159" t="s">
        <v>677</v>
      </c>
    </row>
    <row r="498" spans="1:2" x14ac:dyDescent="0.2">
      <c r="A498" s="159">
        <v>1279974</v>
      </c>
      <c r="B498" s="159" t="s">
        <v>2167</v>
      </c>
    </row>
    <row r="499" spans="1:2" x14ac:dyDescent="0.2">
      <c r="A499" s="159">
        <v>1279975</v>
      </c>
      <c r="B499" s="159" t="s">
        <v>649</v>
      </c>
    </row>
    <row r="500" spans="1:2" x14ac:dyDescent="0.2">
      <c r="A500" s="159">
        <v>1279976</v>
      </c>
      <c r="B500" s="159" t="s">
        <v>650</v>
      </c>
    </row>
    <row r="501" spans="1:2" x14ac:dyDescent="0.2">
      <c r="A501" s="159">
        <v>1279977</v>
      </c>
      <c r="B501" s="159" t="s">
        <v>651</v>
      </c>
    </row>
    <row r="502" spans="1:2" x14ac:dyDescent="0.2">
      <c r="A502" s="159">
        <v>1279979</v>
      </c>
      <c r="B502" s="159" t="s">
        <v>652</v>
      </c>
    </row>
    <row r="503" spans="1:2" x14ac:dyDescent="0.2">
      <c r="A503" s="159">
        <v>1279980</v>
      </c>
      <c r="B503" s="159" t="s">
        <v>653</v>
      </c>
    </row>
    <row r="504" spans="1:2" x14ac:dyDescent="0.2">
      <c r="A504" s="159">
        <v>1279983</v>
      </c>
      <c r="B504" s="159" t="s">
        <v>654</v>
      </c>
    </row>
    <row r="505" spans="1:2" x14ac:dyDescent="0.2">
      <c r="A505" s="159">
        <v>1279984</v>
      </c>
      <c r="B505" s="159" t="s">
        <v>655</v>
      </c>
    </row>
    <row r="506" spans="1:2" x14ac:dyDescent="0.2">
      <c r="A506" s="159">
        <v>1279985</v>
      </c>
      <c r="B506" s="159" t="s">
        <v>2168</v>
      </c>
    </row>
    <row r="507" spans="1:2" x14ac:dyDescent="0.2">
      <c r="A507" s="159">
        <v>1279987</v>
      </c>
      <c r="B507" s="159" t="s">
        <v>656</v>
      </c>
    </row>
    <row r="508" spans="1:2" x14ac:dyDescent="0.2">
      <c r="A508" s="159">
        <v>1279988</v>
      </c>
      <c r="B508" s="159" t="s">
        <v>645</v>
      </c>
    </row>
    <row r="509" spans="1:2" x14ac:dyDescent="0.2">
      <c r="A509" s="159">
        <v>1279989</v>
      </c>
      <c r="B509" s="159" t="s">
        <v>658</v>
      </c>
    </row>
    <row r="510" spans="1:2" x14ac:dyDescent="0.2">
      <c r="A510" s="159">
        <v>1279990</v>
      </c>
      <c r="B510" s="159" t="s">
        <v>665</v>
      </c>
    </row>
    <row r="511" spans="1:2" x14ac:dyDescent="0.2">
      <c r="A511" s="159">
        <v>1279992</v>
      </c>
      <c r="B511" s="159" t="s">
        <v>659</v>
      </c>
    </row>
    <row r="512" spans="1:2" x14ac:dyDescent="0.2">
      <c r="A512" s="159">
        <v>1279993</v>
      </c>
      <c r="B512" s="159" t="s">
        <v>662</v>
      </c>
    </row>
    <row r="513" spans="1:2" x14ac:dyDescent="0.2">
      <c r="A513" s="159">
        <v>1279994</v>
      </c>
      <c r="B513" s="159" t="s">
        <v>660</v>
      </c>
    </row>
    <row r="514" spans="1:2" x14ac:dyDescent="0.2">
      <c r="A514" s="159">
        <v>1279995</v>
      </c>
      <c r="B514" s="159" t="s">
        <v>657</v>
      </c>
    </row>
    <row r="515" spans="1:2" x14ac:dyDescent="0.2">
      <c r="A515" s="159">
        <v>1279996</v>
      </c>
      <c r="B515" s="159" t="s">
        <v>661</v>
      </c>
    </row>
    <row r="516" spans="1:2" x14ac:dyDescent="0.2">
      <c r="A516" s="159">
        <v>1279997</v>
      </c>
      <c r="B516" s="159" t="s">
        <v>664</v>
      </c>
    </row>
    <row r="517" spans="1:2" x14ac:dyDescent="0.2">
      <c r="A517" s="159">
        <v>1279998</v>
      </c>
      <c r="B517" s="159" t="s">
        <v>2180</v>
      </c>
    </row>
    <row r="518" spans="1:2" x14ac:dyDescent="0.2">
      <c r="A518" s="159">
        <v>1279999</v>
      </c>
      <c r="B518" s="159" t="s">
        <v>663</v>
      </c>
    </row>
    <row r="519" spans="1:2" x14ac:dyDescent="0.2">
      <c r="A519" s="159">
        <v>1280001</v>
      </c>
      <c r="B519" s="159" t="s">
        <v>666</v>
      </c>
    </row>
    <row r="520" spans="1:2" x14ac:dyDescent="0.2">
      <c r="A520" s="159">
        <v>1280002</v>
      </c>
      <c r="B520" s="159" t="s">
        <v>667</v>
      </c>
    </row>
    <row r="521" spans="1:2" x14ac:dyDescent="0.2">
      <c r="A521" s="159">
        <v>1280003</v>
      </c>
      <c r="B521" s="159" t="s">
        <v>2182</v>
      </c>
    </row>
    <row r="522" spans="1:2" x14ac:dyDescent="0.2">
      <c r="A522" s="159">
        <v>1280005</v>
      </c>
      <c r="B522" s="159" t="s">
        <v>669</v>
      </c>
    </row>
    <row r="523" spans="1:2" x14ac:dyDescent="0.2">
      <c r="A523" s="159">
        <v>1280006</v>
      </c>
      <c r="B523" s="159" t="s">
        <v>668</v>
      </c>
    </row>
    <row r="524" spans="1:2" x14ac:dyDescent="0.2">
      <c r="A524" s="159">
        <v>1280008</v>
      </c>
      <c r="B524" s="159" t="s">
        <v>678</v>
      </c>
    </row>
    <row r="525" spans="1:2" x14ac:dyDescent="0.2">
      <c r="A525" s="159">
        <v>1280009</v>
      </c>
      <c r="B525" s="159" t="s">
        <v>679</v>
      </c>
    </row>
    <row r="526" spans="1:2" x14ac:dyDescent="0.2">
      <c r="A526" s="159">
        <v>1280011</v>
      </c>
      <c r="B526" s="159" t="s">
        <v>725</v>
      </c>
    </row>
    <row r="527" spans="1:2" x14ac:dyDescent="0.2">
      <c r="A527" s="159">
        <v>1280012</v>
      </c>
      <c r="B527" s="159" t="s">
        <v>727</v>
      </c>
    </row>
    <row r="528" spans="1:2" x14ac:dyDescent="0.2">
      <c r="A528" s="159">
        <v>1280013</v>
      </c>
      <c r="B528" s="159" t="s">
        <v>726</v>
      </c>
    </row>
    <row r="529" spans="1:2" x14ac:dyDescent="0.2">
      <c r="A529" s="159">
        <v>1280015</v>
      </c>
      <c r="B529" s="159" t="s">
        <v>728</v>
      </c>
    </row>
    <row r="530" spans="1:2" x14ac:dyDescent="0.2">
      <c r="A530" s="159">
        <v>1280016</v>
      </c>
      <c r="B530" s="159" t="s">
        <v>2183</v>
      </c>
    </row>
    <row r="531" spans="1:2" x14ac:dyDescent="0.2">
      <c r="A531" s="159">
        <v>1280018</v>
      </c>
      <c r="B531" s="159" t="s">
        <v>2184</v>
      </c>
    </row>
    <row r="532" spans="1:2" x14ac:dyDescent="0.2">
      <c r="A532" s="159">
        <v>1280019</v>
      </c>
      <c r="B532" s="159" t="s">
        <v>2185</v>
      </c>
    </row>
    <row r="533" spans="1:2" x14ac:dyDescent="0.2">
      <c r="A533" s="159">
        <v>1280021</v>
      </c>
      <c r="B533" s="159" t="s">
        <v>2186</v>
      </c>
    </row>
    <row r="534" spans="1:2" x14ac:dyDescent="0.2">
      <c r="A534" s="159">
        <v>1280023</v>
      </c>
      <c r="B534" s="159" t="s">
        <v>2187</v>
      </c>
    </row>
    <row r="535" spans="1:2" x14ac:dyDescent="0.2">
      <c r="A535" s="159">
        <v>1280024</v>
      </c>
      <c r="B535" s="159" t="s">
        <v>2188</v>
      </c>
    </row>
    <row r="536" spans="1:2" x14ac:dyDescent="0.2">
      <c r="A536" s="159">
        <v>1280026</v>
      </c>
      <c r="B536" s="159" t="s">
        <v>2195</v>
      </c>
    </row>
    <row r="537" spans="1:2" x14ac:dyDescent="0.2">
      <c r="A537" s="159">
        <v>1280027</v>
      </c>
      <c r="B537" s="159" t="s">
        <v>2196</v>
      </c>
    </row>
    <row r="538" spans="1:2" x14ac:dyDescent="0.2">
      <c r="A538" s="159">
        <v>1286315</v>
      </c>
      <c r="B538" s="159" t="s">
        <v>159</v>
      </c>
    </row>
    <row r="539" spans="1:2" x14ac:dyDescent="0.2">
      <c r="A539" s="159">
        <v>1288021</v>
      </c>
      <c r="B539" s="159" t="s">
        <v>101</v>
      </c>
    </row>
    <row r="540" spans="1:2" x14ac:dyDescent="0.2">
      <c r="A540" s="159">
        <v>1288205</v>
      </c>
      <c r="B540" s="159" t="s">
        <v>2262</v>
      </c>
    </row>
    <row r="541" spans="1:2" x14ac:dyDescent="0.2">
      <c r="A541" s="159">
        <v>1288711</v>
      </c>
      <c r="B541" s="159" t="s">
        <v>160</v>
      </c>
    </row>
    <row r="542" spans="1:2" x14ac:dyDescent="0.2">
      <c r="A542" s="159">
        <v>1288790</v>
      </c>
      <c r="B542" s="159" t="s">
        <v>145</v>
      </c>
    </row>
    <row r="543" spans="1:2" x14ac:dyDescent="0.2">
      <c r="A543" s="159">
        <v>1288950</v>
      </c>
      <c r="B543" s="159" t="s">
        <v>146</v>
      </c>
    </row>
    <row r="544" spans="1:2" x14ac:dyDescent="0.2">
      <c r="A544" s="159">
        <v>1289494</v>
      </c>
      <c r="B544" s="159" t="s">
        <v>156</v>
      </c>
    </row>
    <row r="545" spans="1:2" x14ac:dyDescent="0.2">
      <c r="A545" s="159">
        <v>1289540</v>
      </c>
      <c r="B545" s="159" t="s">
        <v>164</v>
      </c>
    </row>
    <row r="546" spans="1:2" x14ac:dyDescent="0.2">
      <c r="A546" s="159">
        <v>1289683</v>
      </c>
      <c r="B546" s="159" t="s">
        <v>165</v>
      </c>
    </row>
    <row r="547" spans="1:2" x14ac:dyDescent="0.2">
      <c r="A547" s="159">
        <v>1289778</v>
      </c>
      <c r="B547" s="159" t="s">
        <v>152</v>
      </c>
    </row>
    <row r="548" spans="1:2" x14ac:dyDescent="0.2">
      <c r="A548" s="159">
        <v>1379026</v>
      </c>
      <c r="B548" s="159" t="s">
        <v>1475</v>
      </c>
    </row>
    <row r="549" spans="1:2" x14ac:dyDescent="0.2">
      <c r="A549" s="159">
        <v>1379708</v>
      </c>
      <c r="B549" s="159" t="s">
        <v>312</v>
      </c>
    </row>
    <row r="550" spans="1:2" x14ac:dyDescent="0.2">
      <c r="A550" s="159">
        <v>1678790</v>
      </c>
      <c r="B550" s="159" t="s">
        <v>643</v>
      </c>
    </row>
    <row r="551" spans="1:2" x14ac:dyDescent="0.2">
      <c r="A551" s="159">
        <v>10000001</v>
      </c>
      <c r="B551" s="159" t="s">
        <v>919</v>
      </c>
    </row>
    <row r="552" spans="1:2" x14ac:dyDescent="0.2">
      <c r="A552" s="159">
        <v>10007368</v>
      </c>
      <c r="B552" s="159" t="s">
        <v>78</v>
      </c>
    </row>
    <row r="553" spans="1:2" x14ac:dyDescent="0.2">
      <c r="A553" s="159">
        <v>10009419</v>
      </c>
      <c r="B553" s="159" t="s">
        <v>920</v>
      </c>
    </row>
    <row r="554" spans="1:2" x14ac:dyDescent="0.2">
      <c r="A554" s="159">
        <v>10010521</v>
      </c>
      <c r="B554" s="159" t="s">
        <v>647</v>
      </c>
    </row>
    <row r="555" spans="1:2" x14ac:dyDescent="0.2">
      <c r="A555" s="159">
        <v>10011681</v>
      </c>
      <c r="B555" s="159" t="s">
        <v>922</v>
      </c>
    </row>
    <row r="556" spans="1:2" x14ac:dyDescent="0.2">
      <c r="A556" s="159">
        <v>10014469</v>
      </c>
      <c r="B556" s="159" t="s">
        <v>234</v>
      </c>
    </row>
    <row r="557" spans="1:2" x14ac:dyDescent="0.2">
      <c r="A557" s="159">
        <v>10014957</v>
      </c>
      <c r="B557" s="159" t="s">
        <v>923</v>
      </c>
    </row>
    <row r="558" spans="1:2" x14ac:dyDescent="0.2">
      <c r="A558" s="159">
        <v>10015742</v>
      </c>
      <c r="B558" s="159" t="s">
        <v>925</v>
      </c>
    </row>
    <row r="559" spans="1:2" x14ac:dyDescent="0.2">
      <c r="A559" s="159">
        <v>10015934</v>
      </c>
      <c r="B559" s="159" t="s">
        <v>926</v>
      </c>
    </row>
    <row r="560" spans="1:2" x14ac:dyDescent="0.2">
      <c r="A560" s="159">
        <v>10016004</v>
      </c>
      <c r="B560" s="159" t="s">
        <v>298</v>
      </c>
    </row>
    <row r="561" spans="1:2" x14ac:dyDescent="0.2">
      <c r="A561" s="159">
        <v>10016033</v>
      </c>
      <c r="B561" s="159" t="s">
        <v>928</v>
      </c>
    </row>
    <row r="562" spans="1:2" x14ac:dyDescent="0.2">
      <c r="A562" s="159">
        <v>10016095</v>
      </c>
      <c r="B562" s="159" t="s">
        <v>317</v>
      </c>
    </row>
    <row r="563" spans="1:2" x14ac:dyDescent="0.2">
      <c r="A563" s="159">
        <v>10016141</v>
      </c>
      <c r="B563" s="159" t="s">
        <v>299</v>
      </c>
    </row>
    <row r="564" spans="1:2" x14ac:dyDescent="0.2">
      <c r="A564" s="159">
        <v>10016315</v>
      </c>
      <c r="B564" s="159" t="s">
        <v>159</v>
      </c>
    </row>
    <row r="565" spans="1:2" x14ac:dyDescent="0.2">
      <c r="A565" s="159">
        <v>10016643</v>
      </c>
      <c r="B565" s="159" t="s">
        <v>360</v>
      </c>
    </row>
    <row r="566" spans="1:2" x14ac:dyDescent="0.2">
      <c r="A566" s="159">
        <v>10017039</v>
      </c>
      <c r="B566" s="159" t="s">
        <v>300</v>
      </c>
    </row>
    <row r="567" spans="1:2" x14ac:dyDescent="0.2">
      <c r="A567" s="159">
        <v>10018001</v>
      </c>
      <c r="B567" s="159" t="s">
        <v>930</v>
      </c>
    </row>
    <row r="568" spans="1:2" x14ac:dyDescent="0.2">
      <c r="A568" s="159">
        <v>10018002</v>
      </c>
      <c r="B568" s="159" t="s">
        <v>932</v>
      </c>
    </row>
    <row r="569" spans="1:2" x14ac:dyDescent="0.2">
      <c r="A569" s="159">
        <v>10018100</v>
      </c>
      <c r="B569" s="159" t="s">
        <v>936</v>
      </c>
    </row>
    <row r="570" spans="1:2" x14ac:dyDescent="0.2">
      <c r="A570" s="159">
        <v>10020707</v>
      </c>
      <c r="B570" s="159" t="s">
        <v>381</v>
      </c>
    </row>
    <row r="571" spans="1:2" x14ac:dyDescent="0.2">
      <c r="A571" s="159">
        <v>10030529</v>
      </c>
      <c r="B571" s="159" t="s">
        <v>969</v>
      </c>
    </row>
    <row r="572" spans="1:2" x14ac:dyDescent="0.2">
      <c r="A572" s="159">
        <v>10030699</v>
      </c>
      <c r="B572" s="159" t="s">
        <v>970</v>
      </c>
    </row>
    <row r="573" spans="1:2" x14ac:dyDescent="0.2">
      <c r="A573" s="159">
        <v>10030776</v>
      </c>
      <c r="B573" s="159" t="s">
        <v>985</v>
      </c>
    </row>
    <row r="574" spans="1:2" x14ac:dyDescent="0.2">
      <c r="A574" s="159">
        <v>10049997</v>
      </c>
      <c r="B574" s="159" t="s">
        <v>986</v>
      </c>
    </row>
    <row r="575" spans="1:2" x14ac:dyDescent="0.2">
      <c r="A575" s="159">
        <v>10049999</v>
      </c>
      <c r="B575" s="159" t="s">
        <v>987</v>
      </c>
    </row>
    <row r="576" spans="1:2" x14ac:dyDescent="0.2">
      <c r="A576" s="159">
        <v>10058356</v>
      </c>
      <c r="B576" s="159" t="s">
        <v>133</v>
      </c>
    </row>
    <row r="577" spans="1:2" x14ac:dyDescent="0.2">
      <c r="A577" s="159">
        <v>10058792</v>
      </c>
      <c r="B577" s="159" t="s">
        <v>1019</v>
      </c>
    </row>
    <row r="578" spans="1:2" x14ac:dyDescent="0.2">
      <c r="A578" s="159">
        <v>10059147</v>
      </c>
      <c r="B578" s="159" t="s">
        <v>86</v>
      </c>
    </row>
    <row r="579" spans="1:2" x14ac:dyDescent="0.2">
      <c r="A579" s="159">
        <v>10059253</v>
      </c>
      <c r="B579" s="159" t="s">
        <v>148</v>
      </c>
    </row>
    <row r="580" spans="1:2" x14ac:dyDescent="0.2">
      <c r="A580" s="159">
        <v>10059324</v>
      </c>
      <c r="B580" s="159" t="s">
        <v>1061</v>
      </c>
    </row>
    <row r="581" spans="1:2" x14ac:dyDescent="0.2">
      <c r="A581" s="159">
        <v>10059601</v>
      </c>
      <c r="B581" s="159" t="s">
        <v>158</v>
      </c>
    </row>
    <row r="582" spans="1:2" x14ac:dyDescent="0.2">
      <c r="A582" s="159">
        <v>10060924</v>
      </c>
      <c r="B582" s="159" t="s">
        <v>382</v>
      </c>
    </row>
    <row r="583" spans="1:2" x14ac:dyDescent="0.2">
      <c r="A583" s="159">
        <v>10061782</v>
      </c>
      <c r="B583" s="159" t="s">
        <v>97</v>
      </c>
    </row>
    <row r="584" spans="1:2" x14ac:dyDescent="0.2">
      <c r="A584" s="159">
        <v>10062158</v>
      </c>
      <c r="B584" s="159" t="s">
        <v>325</v>
      </c>
    </row>
    <row r="585" spans="1:2" x14ac:dyDescent="0.2">
      <c r="A585" s="159">
        <v>10064019</v>
      </c>
      <c r="B585" s="159" t="s">
        <v>188</v>
      </c>
    </row>
    <row r="586" spans="1:2" x14ac:dyDescent="0.2">
      <c r="A586" s="159">
        <v>10069386</v>
      </c>
      <c r="B586" s="159" t="s">
        <v>1098</v>
      </c>
    </row>
    <row r="587" spans="1:2" x14ac:dyDescent="0.2">
      <c r="A587" s="159">
        <v>10069397</v>
      </c>
      <c r="B587" s="159" t="s">
        <v>1099</v>
      </c>
    </row>
    <row r="588" spans="1:2" x14ac:dyDescent="0.2">
      <c r="A588" s="159">
        <v>10071391</v>
      </c>
      <c r="B588" s="159" t="s">
        <v>301</v>
      </c>
    </row>
    <row r="589" spans="1:2" x14ac:dyDescent="0.2">
      <c r="A589" s="159">
        <v>10071399</v>
      </c>
      <c r="B589" s="159" t="s">
        <v>1103</v>
      </c>
    </row>
    <row r="590" spans="1:2" x14ac:dyDescent="0.2">
      <c r="A590" s="159">
        <v>10073417</v>
      </c>
      <c r="B590" s="159" t="s">
        <v>1104</v>
      </c>
    </row>
    <row r="591" spans="1:2" x14ac:dyDescent="0.2">
      <c r="A591" s="159">
        <v>10077009</v>
      </c>
      <c r="B591" s="159" t="s">
        <v>168</v>
      </c>
    </row>
    <row r="592" spans="1:2" x14ac:dyDescent="0.2">
      <c r="A592" s="159">
        <v>10077040</v>
      </c>
      <c r="B592" s="159" t="s">
        <v>213</v>
      </c>
    </row>
    <row r="593" spans="1:2" x14ac:dyDescent="0.2">
      <c r="A593" s="159">
        <v>10077055</v>
      </c>
      <c r="B593" s="159" t="s">
        <v>274</v>
      </c>
    </row>
    <row r="594" spans="1:2" x14ac:dyDescent="0.2">
      <c r="A594" s="159">
        <v>10077093</v>
      </c>
      <c r="B594" s="159" t="s">
        <v>98</v>
      </c>
    </row>
    <row r="595" spans="1:2" x14ac:dyDescent="0.2">
      <c r="A595" s="159">
        <v>10077095</v>
      </c>
      <c r="B595" s="159" t="s">
        <v>99</v>
      </c>
    </row>
    <row r="596" spans="1:2" x14ac:dyDescent="0.2">
      <c r="A596" s="159">
        <v>10077119</v>
      </c>
      <c r="B596" s="159" t="s">
        <v>60</v>
      </c>
    </row>
    <row r="597" spans="1:2" x14ac:dyDescent="0.2">
      <c r="A597" s="159">
        <v>10077155</v>
      </c>
      <c r="B597" s="159" t="s">
        <v>275</v>
      </c>
    </row>
    <row r="598" spans="1:2" x14ac:dyDescent="0.2">
      <c r="A598" s="159">
        <v>10077181</v>
      </c>
      <c r="B598" s="159" t="s">
        <v>1134</v>
      </c>
    </row>
    <row r="599" spans="1:2" x14ac:dyDescent="0.2">
      <c r="A599" s="159">
        <v>10077207</v>
      </c>
      <c r="B599" s="159" t="s">
        <v>342</v>
      </c>
    </row>
    <row r="600" spans="1:2" x14ac:dyDescent="0.2">
      <c r="A600" s="159">
        <v>10077216</v>
      </c>
      <c r="B600" s="159" t="s">
        <v>302</v>
      </c>
    </row>
    <row r="601" spans="1:2" x14ac:dyDescent="0.2">
      <c r="A601" s="159">
        <v>10077232</v>
      </c>
      <c r="B601" s="159" t="s">
        <v>189</v>
      </c>
    </row>
    <row r="602" spans="1:2" x14ac:dyDescent="0.2">
      <c r="A602" s="159">
        <v>10077241</v>
      </c>
      <c r="B602" s="159" t="s">
        <v>1135</v>
      </c>
    </row>
    <row r="603" spans="1:2" x14ac:dyDescent="0.2">
      <c r="A603" s="159">
        <v>10077244</v>
      </c>
      <c r="B603" s="159" t="s">
        <v>170</v>
      </c>
    </row>
    <row r="604" spans="1:2" x14ac:dyDescent="0.2">
      <c r="A604" s="159">
        <v>10077247</v>
      </c>
      <c r="B604" s="159" t="s">
        <v>1138</v>
      </c>
    </row>
    <row r="605" spans="1:2" x14ac:dyDescent="0.2">
      <c r="A605" s="159">
        <v>10077248</v>
      </c>
      <c r="B605" s="159" t="s">
        <v>111</v>
      </c>
    </row>
    <row r="606" spans="1:2" x14ac:dyDescent="0.2">
      <c r="A606" s="159">
        <v>10077302</v>
      </c>
      <c r="B606" s="159" t="s">
        <v>190</v>
      </c>
    </row>
    <row r="607" spans="1:2" x14ac:dyDescent="0.2">
      <c r="A607" s="159">
        <v>10077316</v>
      </c>
      <c r="B607" s="159" t="s">
        <v>326</v>
      </c>
    </row>
    <row r="608" spans="1:2" x14ac:dyDescent="0.2">
      <c r="A608" s="159">
        <v>10077333</v>
      </c>
      <c r="B608" s="159" t="s">
        <v>1141</v>
      </c>
    </row>
    <row r="609" spans="1:2" x14ac:dyDescent="0.2">
      <c r="A609" s="159">
        <v>10077355</v>
      </c>
      <c r="B609" s="159" t="s">
        <v>303</v>
      </c>
    </row>
    <row r="610" spans="1:2" x14ac:dyDescent="0.2">
      <c r="A610" s="159">
        <v>10077378</v>
      </c>
      <c r="B610" s="159" t="s">
        <v>361</v>
      </c>
    </row>
    <row r="611" spans="1:2" x14ac:dyDescent="0.2">
      <c r="A611" s="159">
        <v>10077388</v>
      </c>
      <c r="B611" s="159" t="s">
        <v>276</v>
      </c>
    </row>
    <row r="612" spans="1:2" x14ac:dyDescent="0.2">
      <c r="A612" s="159">
        <v>10077394</v>
      </c>
      <c r="B612" s="159" t="s">
        <v>215</v>
      </c>
    </row>
    <row r="613" spans="1:2" x14ac:dyDescent="0.2">
      <c r="A613" s="159">
        <v>10077432</v>
      </c>
      <c r="B613" s="159" t="s">
        <v>171</v>
      </c>
    </row>
    <row r="614" spans="1:2" x14ac:dyDescent="0.2">
      <c r="A614" s="159">
        <v>10077495</v>
      </c>
      <c r="B614" s="159" t="s">
        <v>191</v>
      </c>
    </row>
    <row r="615" spans="1:2" x14ac:dyDescent="0.2">
      <c r="A615" s="159">
        <v>10077512</v>
      </c>
      <c r="B615" s="159" t="s">
        <v>248</v>
      </c>
    </row>
    <row r="616" spans="1:2" x14ac:dyDescent="0.2">
      <c r="A616" s="159">
        <v>10077522</v>
      </c>
      <c r="B616" s="159" t="s">
        <v>100</v>
      </c>
    </row>
    <row r="617" spans="1:2" x14ac:dyDescent="0.2">
      <c r="A617" s="159">
        <v>10077544</v>
      </c>
      <c r="B617" s="159" t="s">
        <v>61</v>
      </c>
    </row>
    <row r="618" spans="1:2" x14ac:dyDescent="0.2">
      <c r="A618" s="159">
        <v>10077546</v>
      </c>
      <c r="B618" s="159" t="s">
        <v>1144</v>
      </c>
    </row>
    <row r="619" spans="1:2" x14ac:dyDescent="0.2">
      <c r="A619" s="159">
        <v>10077578</v>
      </c>
      <c r="B619" s="159" t="s">
        <v>1145</v>
      </c>
    </row>
    <row r="620" spans="1:2" x14ac:dyDescent="0.2">
      <c r="A620" s="159">
        <v>10077612</v>
      </c>
      <c r="B620" s="159" t="s">
        <v>172</v>
      </c>
    </row>
    <row r="621" spans="1:2" x14ac:dyDescent="0.2">
      <c r="A621" s="159">
        <v>10077634</v>
      </c>
      <c r="B621" s="159" t="s">
        <v>1146</v>
      </c>
    </row>
    <row r="622" spans="1:2" x14ac:dyDescent="0.2">
      <c r="A622" s="159">
        <v>10077663</v>
      </c>
      <c r="B622" s="159" t="s">
        <v>344</v>
      </c>
    </row>
    <row r="623" spans="1:2" x14ac:dyDescent="0.2">
      <c r="A623" s="159">
        <v>10077695</v>
      </c>
      <c r="B623" s="159" t="s">
        <v>1148</v>
      </c>
    </row>
    <row r="624" spans="1:2" x14ac:dyDescent="0.2">
      <c r="A624" s="159">
        <v>10077714</v>
      </c>
      <c r="B624" s="159" t="s">
        <v>1149</v>
      </c>
    </row>
    <row r="625" spans="1:2" x14ac:dyDescent="0.2">
      <c r="A625" s="159">
        <v>10077755</v>
      </c>
      <c r="B625" s="159" t="s">
        <v>1151</v>
      </c>
    </row>
    <row r="626" spans="1:2" x14ac:dyDescent="0.2">
      <c r="A626" s="159">
        <v>10077823</v>
      </c>
      <c r="B626" s="159" t="s">
        <v>1154</v>
      </c>
    </row>
    <row r="627" spans="1:2" x14ac:dyDescent="0.2">
      <c r="A627" s="159">
        <v>10077841</v>
      </c>
      <c r="B627" s="159" t="s">
        <v>132</v>
      </c>
    </row>
    <row r="628" spans="1:2" x14ac:dyDescent="0.2">
      <c r="A628" s="159">
        <v>10077892</v>
      </c>
      <c r="B628" s="159" t="s">
        <v>216</v>
      </c>
    </row>
    <row r="629" spans="1:2" x14ac:dyDescent="0.2">
      <c r="A629" s="159">
        <v>10077953</v>
      </c>
      <c r="B629" s="159" t="s">
        <v>345</v>
      </c>
    </row>
    <row r="630" spans="1:2" x14ac:dyDescent="0.2">
      <c r="A630" s="159">
        <v>10078010</v>
      </c>
      <c r="B630" s="159" t="s">
        <v>277</v>
      </c>
    </row>
    <row r="631" spans="1:2" x14ac:dyDescent="0.2">
      <c r="A631" s="159">
        <v>10078021</v>
      </c>
      <c r="B631" s="159" t="s">
        <v>101</v>
      </c>
    </row>
    <row r="632" spans="1:2" x14ac:dyDescent="0.2">
      <c r="A632" s="159">
        <v>10078022</v>
      </c>
      <c r="B632" s="159" t="s">
        <v>1224</v>
      </c>
    </row>
    <row r="633" spans="1:2" x14ac:dyDescent="0.2">
      <c r="A633" s="159">
        <v>10078025</v>
      </c>
      <c r="B633" s="159" t="s">
        <v>1225</v>
      </c>
    </row>
    <row r="634" spans="1:2" x14ac:dyDescent="0.2">
      <c r="A634" s="159">
        <v>10078055</v>
      </c>
      <c r="B634" s="159" t="s">
        <v>192</v>
      </c>
    </row>
    <row r="635" spans="1:2" x14ac:dyDescent="0.2">
      <c r="A635" s="159">
        <v>10078077</v>
      </c>
      <c r="B635" s="159" t="s">
        <v>62</v>
      </c>
    </row>
    <row r="636" spans="1:2" x14ac:dyDescent="0.2">
      <c r="A636" s="159">
        <v>10078105</v>
      </c>
      <c r="B636" s="159" t="s">
        <v>112</v>
      </c>
    </row>
    <row r="637" spans="1:2" x14ac:dyDescent="0.2">
      <c r="A637" s="159">
        <v>10078119</v>
      </c>
      <c r="B637" s="159" t="s">
        <v>305</v>
      </c>
    </row>
    <row r="638" spans="1:2" x14ac:dyDescent="0.2">
      <c r="A638" s="159">
        <v>10078130</v>
      </c>
      <c r="B638" s="159" t="s">
        <v>1226</v>
      </c>
    </row>
    <row r="639" spans="1:2" x14ac:dyDescent="0.2">
      <c r="A639" s="159">
        <v>10078146</v>
      </c>
      <c r="B639" s="159" t="s">
        <v>235</v>
      </c>
    </row>
    <row r="640" spans="1:2" x14ac:dyDescent="0.2">
      <c r="A640" s="159">
        <v>10078155</v>
      </c>
      <c r="B640" s="159" t="s">
        <v>1227</v>
      </c>
    </row>
    <row r="641" spans="1:2" x14ac:dyDescent="0.2">
      <c r="A641" s="159">
        <v>10078166</v>
      </c>
      <c r="B641" s="159" t="s">
        <v>1228</v>
      </c>
    </row>
    <row r="642" spans="1:2" x14ac:dyDescent="0.2">
      <c r="A642" s="159">
        <v>10078172</v>
      </c>
      <c r="B642" s="159" t="s">
        <v>362</v>
      </c>
    </row>
    <row r="643" spans="1:2" x14ac:dyDescent="0.2">
      <c r="A643" s="159">
        <v>10078179</v>
      </c>
      <c r="B643" s="159" t="s">
        <v>327</v>
      </c>
    </row>
    <row r="644" spans="1:2" x14ac:dyDescent="0.2">
      <c r="A644" s="159">
        <v>10078186</v>
      </c>
      <c r="B644" s="159" t="s">
        <v>193</v>
      </c>
    </row>
    <row r="645" spans="1:2" x14ac:dyDescent="0.2">
      <c r="A645" s="159">
        <v>10078235</v>
      </c>
      <c r="B645" s="159" t="s">
        <v>346</v>
      </c>
    </row>
    <row r="646" spans="1:2" x14ac:dyDescent="0.2">
      <c r="A646" s="159">
        <v>10078238</v>
      </c>
      <c r="B646" s="159" t="s">
        <v>173</v>
      </c>
    </row>
    <row r="647" spans="1:2" x14ac:dyDescent="0.2">
      <c r="A647" s="159">
        <v>10078258</v>
      </c>
      <c r="B647" s="159" t="s">
        <v>363</v>
      </c>
    </row>
    <row r="648" spans="1:2" x14ac:dyDescent="0.2">
      <c r="A648" s="159">
        <v>10078311</v>
      </c>
      <c r="B648" s="159" t="s">
        <v>278</v>
      </c>
    </row>
    <row r="649" spans="1:2" x14ac:dyDescent="0.2">
      <c r="A649" s="159">
        <v>10078343</v>
      </c>
      <c r="B649" s="159" t="s">
        <v>1230</v>
      </c>
    </row>
    <row r="650" spans="1:2" x14ac:dyDescent="0.2">
      <c r="A650" s="159">
        <v>10078352</v>
      </c>
      <c r="B650" s="159" t="s">
        <v>194</v>
      </c>
    </row>
    <row r="651" spans="1:2" x14ac:dyDescent="0.2">
      <c r="A651" s="159">
        <v>10078356</v>
      </c>
      <c r="B651" s="159" t="s">
        <v>133</v>
      </c>
    </row>
    <row r="652" spans="1:2" x14ac:dyDescent="0.2">
      <c r="A652" s="159">
        <v>10078361</v>
      </c>
      <c r="B652" s="159" t="s">
        <v>79</v>
      </c>
    </row>
    <row r="653" spans="1:2" x14ac:dyDescent="0.2">
      <c r="A653" s="159">
        <v>10078377</v>
      </c>
      <c r="B653" s="159" t="s">
        <v>113</v>
      </c>
    </row>
    <row r="654" spans="1:2" x14ac:dyDescent="0.2">
      <c r="A654" s="159">
        <v>10078407</v>
      </c>
      <c r="B654" s="159" t="s">
        <v>1233</v>
      </c>
    </row>
    <row r="655" spans="1:2" x14ac:dyDescent="0.2">
      <c r="A655" s="159">
        <v>10078429</v>
      </c>
      <c r="B655" s="159" t="s">
        <v>80</v>
      </c>
    </row>
    <row r="656" spans="1:2" x14ac:dyDescent="0.2">
      <c r="A656" s="159">
        <v>10078436</v>
      </c>
      <c r="B656" s="159" t="s">
        <v>1236</v>
      </c>
    </row>
    <row r="657" spans="1:2" x14ac:dyDescent="0.2">
      <c r="A657" s="159">
        <v>10078439</v>
      </c>
      <c r="B657" s="159" t="s">
        <v>195</v>
      </c>
    </row>
    <row r="658" spans="1:2" x14ac:dyDescent="0.2">
      <c r="A658" s="159">
        <v>10078463</v>
      </c>
      <c r="B658" s="159" t="s">
        <v>1237</v>
      </c>
    </row>
    <row r="659" spans="1:2" x14ac:dyDescent="0.2">
      <c r="A659" s="159">
        <v>10078467</v>
      </c>
      <c r="B659" s="159" t="s">
        <v>249</v>
      </c>
    </row>
    <row r="660" spans="1:2" x14ac:dyDescent="0.2">
      <c r="A660" s="159">
        <v>10078484</v>
      </c>
      <c r="B660" s="159" t="s">
        <v>1238</v>
      </c>
    </row>
    <row r="661" spans="1:2" x14ac:dyDescent="0.2">
      <c r="A661" s="159">
        <v>10078517</v>
      </c>
      <c r="B661" s="159" t="s">
        <v>102</v>
      </c>
    </row>
    <row r="662" spans="1:2" x14ac:dyDescent="0.2">
      <c r="A662" s="159">
        <v>10078521</v>
      </c>
      <c r="B662" s="159" t="s">
        <v>1239</v>
      </c>
    </row>
    <row r="663" spans="1:2" x14ac:dyDescent="0.2">
      <c r="A663" s="159">
        <v>10078555</v>
      </c>
      <c r="B663" s="159" t="s">
        <v>250</v>
      </c>
    </row>
    <row r="664" spans="1:2" x14ac:dyDescent="0.2">
      <c r="A664" s="159">
        <v>10078557</v>
      </c>
      <c r="B664" s="159" t="s">
        <v>268</v>
      </c>
    </row>
    <row r="665" spans="1:2" x14ac:dyDescent="0.2">
      <c r="A665" s="159">
        <v>10078575</v>
      </c>
      <c r="B665" s="159" t="s">
        <v>1240</v>
      </c>
    </row>
    <row r="666" spans="1:2" x14ac:dyDescent="0.2">
      <c r="A666" s="159">
        <v>10078581</v>
      </c>
      <c r="B666" s="159" t="s">
        <v>1241</v>
      </c>
    </row>
    <row r="667" spans="1:2" x14ac:dyDescent="0.2">
      <c r="A667" s="159">
        <v>10078584</v>
      </c>
      <c r="B667" s="159" t="s">
        <v>1242</v>
      </c>
    </row>
    <row r="668" spans="1:2" x14ac:dyDescent="0.2">
      <c r="A668" s="159">
        <v>10078585</v>
      </c>
      <c r="B668" s="159" t="s">
        <v>1244</v>
      </c>
    </row>
    <row r="669" spans="1:2" x14ac:dyDescent="0.2">
      <c r="A669" s="159">
        <v>10078587</v>
      </c>
      <c r="B669" s="159" t="s">
        <v>1245</v>
      </c>
    </row>
    <row r="670" spans="1:2" x14ac:dyDescent="0.2">
      <c r="A670" s="159">
        <v>10078604</v>
      </c>
      <c r="B670" s="159" t="s">
        <v>218</v>
      </c>
    </row>
    <row r="671" spans="1:2" x14ac:dyDescent="0.2">
      <c r="A671" s="159">
        <v>10078615</v>
      </c>
      <c r="B671" s="159" t="s">
        <v>1246</v>
      </c>
    </row>
    <row r="672" spans="1:2" x14ac:dyDescent="0.2">
      <c r="A672" s="159">
        <v>10078657</v>
      </c>
      <c r="B672" s="159" t="s">
        <v>236</v>
      </c>
    </row>
    <row r="673" spans="1:2" x14ac:dyDescent="0.2">
      <c r="A673" s="159">
        <v>10078659</v>
      </c>
      <c r="B673" s="159" t="s">
        <v>306</v>
      </c>
    </row>
    <row r="674" spans="1:2" x14ac:dyDescent="0.2">
      <c r="A674" s="159">
        <v>10078668</v>
      </c>
      <c r="B674" s="159" t="s">
        <v>134</v>
      </c>
    </row>
    <row r="675" spans="1:2" x14ac:dyDescent="0.2">
      <c r="A675" s="159">
        <v>10078676</v>
      </c>
      <c r="B675" s="159" t="s">
        <v>1248</v>
      </c>
    </row>
    <row r="676" spans="1:2" x14ac:dyDescent="0.2">
      <c r="A676" s="159">
        <v>10078678</v>
      </c>
      <c r="B676" s="159" t="s">
        <v>280</v>
      </c>
    </row>
    <row r="677" spans="1:2" x14ac:dyDescent="0.2">
      <c r="A677" s="159">
        <v>10078689</v>
      </c>
      <c r="B677" s="159" t="s">
        <v>135</v>
      </c>
    </row>
    <row r="678" spans="1:2" x14ac:dyDescent="0.2">
      <c r="A678" s="159">
        <v>10078707</v>
      </c>
      <c r="B678" s="159" t="s">
        <v>1249</v>
      </c>
    </row>
    <row r="679" spans="1:2" x14ac:dyDescent="0.2">
      <c r="A679" s="159">
        <v>10078710</v>
      </c>
      <c r="B679" s="159" t="s">
        <v>1250</v>
      </c>
    </row>
    <row r="680" spans="1:2" x14ac:dyDescent="0.2">
      <c r="A680" s="159">
        <v>10078711</v>
      </c>
      <c r="B680" s="159" t="s">
        <v>1251</v>
      </c>
    </row>
    <row r="681" spans="1:2" x14ac:dyDescent="0.2">
      <c r="A681" s="159">
        <v>10078730</v>
      </c>
      <c r="B681" s="159" t="s">
        <v>114</v>
      </c>
    </row>
    <row r="682" spans="1:2" x14ac:dyDescent="0.2">
      <c r="A682" s="159">
        <v>10078731</v>
      </c>
      <c r="B682" s="159" t="s">
        <v>318</v>
      </c>
    </row>
    <row r="683" spans="1:2" x14ac:dyDescent="0.2">
      <c r="A683" s="159">
        <v>10078740</v>
      </c>
      <c r="B683" s="159" t="s">
        <v>143</v>
      </c>
    </row>
    <row r="684" spans="1:2" x14ac:dyDescent="0.2">
      <c r="A684" s="159">
        <v>10078742</v>
      </c>
      <c r="B684" s="159" t="s">
        <v>196</v>
      </c>
    </row>
    <row r="685" spans="1:2" x14ac:dyDescent="0.2">
      <c r="A685" s="159">
        <v>10078746</v>
      </c>
      <c r="B685" s="159" t="s">
        <v>115</v>
      </c>
    </row>
    <row r="686" spans="1:2" x14ac:dyDescent="0.2">
      <c r="A686" s="159">
        <v>10078753</v>
      </c>
      <c r="B686" s="159" t="s">
        <v>219</v>
      </c>
    </row>
    <row r="687" spans="1:2" x14ac:dyDescent="0.2">
      <c r="A687" s="159">
        <v>10078754</v>
      </c>
      <c r="B687" s="159" t="s">
        <v>63</v>
      </c>
    </row>
    <row r="688" spans="1:2" x14ac:dyDescent="0.2">
      <c r="A688" s="159">
        <v>10078757</v>
      </c>
      <c r="B688" s="159" t="s">
        <v>329</v>
      </c>
    </row>
    <row r="689" spans="1:2" x14ac:dyDescent="0.2">
      <c r="A689" s="159">
        <v>10078758</v>
      </c>
      <c r="B689" s="159" t="s">
        <v>1373</v>
      </c>
    </row>
    <row r="690" spans="1:2" x14ac:dyDescent="0.2">
      <c r="A690" s="159">
        <v>10078769</v>
      </c>
      <c r="B690" s="159" t="s">
        <v>1374</v>
      </c>
    </row>
    <row r="691" spans="1:2" x14ac:dyDescent="0.2">
      <c r="A691" s="159">
        <v>10078778</v>
      </c>
      <c r="B691" s="159" t="s">
        <v>270</v>
      </c>
    </row>
    <row r="692" spans="1:2" x14ac:dyDescent="0.2">
      <c r="A692" s="159">
        <v>10078783</v>
      </c>
      <c r="B692" s="159" t="s">
        <v>116</v>
      </c>
    </row>
    <row r="693" spans="1:2" x14ac:dyDescent="0.2">
      <c r="A693" s="159">
        <v>10078790</v>
      </c>
      <c r="B693" s="159" t="s">
        <v>145</v>
      </c>
    </row>
    <row r="694" spans="1:2" x14ac:dyDescent="0.2">
      <c r="A694" s="159">
        <v>10078792</v>
      </c>
      <c r="B694" s="159" t="s">
        <v>161</v>
      </c>
    </row>
    <row r="695" spans="1:2" x14ac:dyDescent="0.2">
      <c r="A695" s="159">
        <v>10078802</v>
      </c>
      <c r="B695" s="159" t="s">
        <v>64</v>
      </c>
    </row>
    <row r="696" spans="1:2" x14ac:dyDescent="0.2">
      <c r="A696" s="159">
        <v>10078806</v>
      </c>
      <c r="B696" s="159" t="s">
        <v>117</v>
      </c>
    </row>
    <row r="697" spans="1:2" x14ac:dyDescent="0.2">
      <c r="A697" s="159">
        <v>10078812</v>
      </c>
      <c r="B697" s="159" t="s">
        <v>137</v>
      </c>
    </row>
    <row r="698" spans="1:2" x14ac:dyDescent="0.2">
      <c r="A698" s="159">
        <v>10078839</v>
      </c>
      <c r="B698" s="159" t="s">
        <v>383</v>
      </c>
    </row>
    <row r="699" spans="1:2" x14ac:dyDescent="0.2">
      <c r="A699" s="159">
        <v>10078844</v>
      </c>
      <c r="B699" s="159" t="s">
        <v>1467</v>
      </c>
    </row>
    <row r="700" spans="1:2" x14ac:dyDescent="0.2">
      <c r="A700" s="159">
        <v>10078863</v>
      </c>
      <c r="B700" s="159" t="s">
        <v>81</v>
      </c>
    </row>
    <row r="701" spans="1:2" x14ac:dyDescent="0.2">
      <c r="A701" s="159">
        <v>10078884</v>
      </c>
      <c r="B701" s="159" t="s">
        <v>251</v>
      </c>
    </row>
    <row r="702" spans="1:2" x14ac:dyDescent="0.2">
      <c r="A702" s="159">
        <v>10078892</v>
      </c>
      <c r="B702" s="159" t="s">
        <v>118</v>
      </c>
    </row>
    <row r="703" spans="1:2" x14ac:dyDescent="0.2">
      <c r="A703" s="159">
        <v>10078896</v>
      </c>
      <c r="B703" s="159" t="s">
        <v>282</v>
      </c>
    </row>
    <row r="704" spans="1:2" x14ac:dyDescent="0.2">
      <c r="A704" s="159">
        <v>10078897</v>
      </c>
      <c r="B704" s="159" t="s">
        <v>82</v>
      </c>
    </row>
    <row r="705" spans="1:2" x14ac:dyDescent="0.2">
      <c r="A705" s="159">
        <v>10078905</v>
      </c>
      <c r="B705" s="159" t="s">
        <v>237</v>
      </c>
    </row>
    <row r="706" spans="1:2" x14ac:dyDescent="0.2">
      <c r="A706" s="159">
        <v>10078906</v>
      </c>
      <c r="B706" s="159" t="s">
        <v>1471</v>
      </c>
    </row>
    <row r="707" spans="1:2" x14ac:dyDescent="0.2">
      <c r="A707" s="159">
        <v>10078924</v>
      </c>
      <c r="B707" s="159" t="s">
        <v>198</v>
      </c>
    </row>
    <row r="708" spans="1:2" x14ac:dyDescent="0.2">
      <c r="A708" s="159">
        <v>10078926</v>
      </c>
      <c r="B708" s="159" t="s">
        <v>174</v>
      </c>
    </row>
    <row r="709" spans="1:2" x14ac:dyDescent="0.2">
      <c r="A709" s="159">
        <v>10078927</v>
      </c>
      <c r="B709" s="159" t="s">
        <v>220</v>
      </c>
    </row>
    <row r="710" spans="1:2" x14ac:dyDescent="0.2">
      <c r="A710" s="159">
        <v>10078936</v>
      </c>
      <c r="B710" s="159" t="s">
        <v>221</v>
      </c>
    </row>
    <row r="711" spans="1:2" x14ac:dyDescent="0.2">
      <c r="A711" s="159">
        <v>10078940</v>
      </c>
      <c r="B711" s="159" t="s">
        <v>222</v>
      </c>
    </row>
    <row r="712" spans="1:2" x14ac:dyDescent="0.2">
      <c r="A712" s="159">
        <v>10078947</v>
      </c>
      <c r="B712" s="159" t="s">
        <v>1472</v>
      </c>
    </row>
    <row r="713" spans="1:2" x14ac:dyDescent="0.2">
      <c r="A713" s="159">
        <v>10078950</v>
      </c>
      <c r="B713" s="159" t="s">
        <v>146</v>
      </c>
    </row>
    <row r="714" spans="1:2" x14ac:dyDescent="0.2">
      <c r="A714" s="159">
        <v>10078951</v>
      </c>
      <c r="B714" s="159" t="s">
        <v>364</v>
      </c>
    </row>
    <row r="715" spans="1:2" x14ac:dyDescent="0.2">
      <c r="A715" s="159">
        <v>10078980</v>
      </c>
      <c r="B715" s="159" t="s">
        <v>84</v>
      </c>
    </row>
    <row r="716" spans="1:2" x14ac:dyDescent="0.2">
      <c r="A716" s="159">
        <v>10078987</v>
      </c>
      <c r="B716" s="159" t="s">
        <v>238</v>
      </c>
    </row>
    <row r="717" spans="1:2" x14ac:dyDescent="0.2">
      <c r="A717" s="159">
        <v>10079000</v>
      </c>
      <c r="B717" s="159" t="s">
        <v>103</v>
      </c>
    </row>
    <row r="718" spans="1:2" x14ac:dyDescent="0.2">
      <c r="A718" s="159">
        <v>10079002</v>
      </c>
      <c r="B718" s="159" t="s">
        <v>307</v>
      </c>
    </row>
    <row r="719" spans="1:2" x14ac:dyDescent="0.2">
      <c r="A719" s="159">
        <v>10079007</v>
      </c>
      <c r="B719" s="159" t="s">
        <v>199</v>
      </c>
    </row>
    <row r="720" spans="1:2" x14ac:dyDescent="0.2">
      <c r="A720" s="159">
        <v>10079010</v>
      </c>
      <c r="B720" s="159" t="s">
        <v>85</v>
      </c>
    </row>
    <row r="721" spans="1:2" x14ac:dyDescent="0.2">
      <c r="A721" s="159">
        <v>10079023</v>
      </c>
      <c r="B721" s="159" t="s">
        <v>223</v>
      </c>
    </row>
    <row r="722" spans="1:2" x14ac:dyDescent="0.2">
      <c r="A722" s="159">
        <v>10079026</v>
      </c>
      <c r="B722" s="159" t="s">
        <v>1475</v>
      </c>
    </row>
    <row r="723" spans="1:2" x14ac:dyDescent="0.2">
      <c r="A723" s="159">
        <v>10079041</v>
      </c>
      <c r="B723" s="159" t="s">
        <v>1476</v>
      </c>
    </row>
    <row r="724" spans="1:2" x14ac:dyDescent="0.2">
      <c r="A724" s="159">
        <v>10079042</v>
      </c>
      <c r="B724" s="159" t="s">
        <v>283</v>
      </c>
    </row>
    <row r="725" spans="1:2" x14ac:dyDescent="0.2">
      <c r="A725" s="159">
        <v>10079049</v>
      </c>
      <c r="B725" s="159" t="s">
        <v>469</v>
      </c>
    </row>
    <row r="726" spans="1:2" x14ac:dyDescent="0.2">
      <c r="A726" s="159">
        <v>10079058</v>
      </c>
      <c r="B726" s="159" t="s">
        <v>1477</v>
      </c>
    </row>
    <row r="727" spans="1:2" x14ac:dyDescent="0.2">
      <c r="A727" s="159">
        <v>10079074</v>
      </c>
      <c r="B727" s="159" t="s">
        <v>1478</v>
      </c>
    </row>
    <row r="728" spans="1:2" x14ac:dyDescent="0.2">
      <c r="A728" s="159">
        <v>10079081</v>
      </c>
      <c r="B728" s="159" t="s">
        <v>65</v>
      </c>
    </row>
    <row r="729" spans="1:2" x14ac:dyDescent="0.2">
      <c r="A729" s="159">
        <v>10079084</v>
      </c>
      <c r="B729" s="159" t="s">
        <v>1482</v>
      </c>
    </row>
    <row r="730" spans="1:2" x14ac:dyDescent="0.2">
      <c r="A730" s="159">
        <v>10079086</v>
      </c>
      <c r="B730" s="159" t="s">
        <v>331</v>
      </c>
    </row>
    <row r="731" spans="1:2" x14ac:dyDescent="0.2">
      <c r="A731" s="159">
        <v>10079089</v>
      </c>
      <c r="B731" s="159" t="s">
        <v>200</v>
      </c>
    </row>
    <row r="732" spans="1:2" x14ac:dyDescent="0.2">
      <c r="A732" s="159">
        <v>10079110</v>
      </c>
      <c r="B732" s="159" t="s">
        <v>119</v>
      </c>
    </row>
    <row r="733" spans="1:2" x14ac:dyDescent="0.2">
      <c r="A733" s="159">
        <v>10079127</v>
      </c>
      <c r="B733" s="159" t="s">
        <v>175</v>
      </c>
    </row>
    <row r="734" spans="1:2" x14ac:dyDescent="0.2">
      <c r="A734" s="159">
        <v>10079130</v>
      </c>
      <c r="B734" s="159" t="s">
        <v>154</v>
      </c>
    </row>
    <row r="735" spans="1:2" x14ac:dyDescent="0.2">
      <c r="A735" s="159">
        <v>10079132</v>
      </c>
      <c r="B735" s="159" t="s">
        <v>104</v>
      </c>
    </row>
    <row r="736" spans="1:2" x14ac:dyDescent="0.2">
      <c r="A736" s="159">
        <v>10079134</v>
      </c>
      <c r="B736" s="159" t="s">
        <v>332</v>
      </c>
    </row>
    <row r="737" spans="1:2" x14ac:dyDescent="0.2">
      <c r="A737" s="159">
        <v>10079135</v>
      </c>
      <c r="B737" s="159" t="s">
        <v>252</v>
      </c>
    </row>
    <row r="738" spans="1:2" x14ac:dyDescent="0.2">
      <c r="A738" s="159">
        <v>10079136</v>
      </c>
      <c r="B738" s="159" t="s">
        <v>176</v>
      </c>
    </row>
    <row r="739" spans="1:2" x14ac:dyDescent="0.2">
      <c r="A739" s="159">
        <v>10079137</v>
      </c>
      <c r="B739" s="159" t="s">
        <v>66</v>
      </c>
    </row>
    <row r="740" spans="1:2" x14ac:dyDescent="0.2">
      <c r="A740" s="159">
        <v>10079139</v>
      </c>
      <c r="B740" s="159" t="s">
        <v>385</v>
      </c>
    </row>
    <row r="741" spans="1:2" x14ac:dyDescent="0.2">
      <c r="A741" s="159">
        <v>10079140</v>
      </c>
      <c r="B741" s="159" t="s">
        <v>67</v>
      </c>
    </row>
    <row r="742" spans="1:2" x14ac:dyDescent="0.2">
      <c r="A742" s="159">
        <v>10079142</v>
      </c>
      <c r="B742" s="159" t="s">
        <v>284</v>
      </c>
    </row>
    <row r="743" spans="1:2" x14ac:dyDescent="0.2">
      <c r="A743" s="159">
        <v>10079145</v>
      </c>
      <c r="B743" s="159" t="s">
        <v>201</v>
      </c>
    </row>
    <row r="744" spans="1:2" x14ac:dyDescent="0.2">
      <c r="A744" s="159">
        <v>10079146</v>
      </c>
      <c r="B744" s="159" t="s">
        <v>120</v>
      </c>
    </row>
    <row r="745" spans="1:2" x14ac:dyDescent="0.2">
      <c r="A745" s="159">
        <v>10079147</v>
      </c>
      <c r="B745" s="159" t="s">
        <v>1558</v>
      </c>
    </row>
    <row r="746" spans="1:2" x14ac:dyDescent="0.2">
      <c r="A746" s="159">
        <v>10079149</v>
      </c>
      <c r="B746" s="159" t="s">
        <v>202</v>
      </c>
    </row>
    <row r="747" spans="1:2" x14ac:dyDescent="0.2">
      <c r="A747" s="159">
        <v>10079150</v>
      </c>
      <c r="B747" s="159" t="s">
        <v>347</v>
      </c>
    </row>
    <row r="748" spans="1:2" x14ac:dyDescent="0.2">
      <c r="A748" s="159">
        <v>10079152</v>
      </c>
      <c r="B748" s="159" t="s">
        <v>1573</v>
      </c>
    </row>
    <row r="749" spans="1:2" x14ac:dyDescent="0.2">
      <c r="A749" s="159">
        <v>10079154</v>
      </c>
      <c r="B749" s="159" t="s">
        <v>1574</v>
      </c>
    </row>
    <row r="750" spans="1:2" x14ac:dyDescent="0.2">
      <c r="A750" s="159">
        <v>10079155</v>
      </c>
      <c r="B750" s="159" t="s">
        <v>271</v>
      </c>
    </row>
    <row r="751" spans="1:2" x14ac:dyDescent="0.2">
      <c r="A751" s="159">
        <v>10079157</v>
      </c>
      <c r="B751" s="159" t="s">
        <v>1589</v>
      </c>
    </row>
    <row r="752" spans="1:2" x14ac:dyDescent="0.2">
      <c r="A752" s="159">
        <v>10079158</v>
      </c>
      <c r="B752" s="159" t="s">
        <v>177</v>
      </c>
    </row>
    <row r="753" spans="1:2" x14ac:dyDescent="0.2">
      <c r="A753" s="159">
        <v>10079160</v>
      </c>
      <c r="B753" s="159" t="s">
        <v>241</v>
      </c>
    </row>
    <row r="754" spans="1:2" x14ac:dyDescent="0.2">
      <c r="A754" s="159">
        <v>10079163</v>
      </c>
      <c r="B754" s="159" t="s">
        <v>348</v>
      </c>
    </row>
    <row r="755" spans="1:2" x14ac:dyDescent="0.2">
      <c r="A755" s="159">
        <v>10079164</v>
      </c>
      <c r="B755" s="159" t="s">
        <v>1590</v>
      </c>
    </row>
    <row r="756" spans="1:2" x14ac:dyDescent="0.2">
      <c r="A756" s="159">
        <v>10079169</v>
      </c>
      <c r="B756" s="159" t="s">
        <v>224</v>
      </c>
    </row>
    <row r="757" spans="1:2" x14ac:dyDescent="0.2">
      <c r="A757" s="159">
        <v>10079170</v>
      </c>
      <c r="B757" s="159" t="s">
        <v>68</v>
      </c>
    </row>
    <row r="758" spans="1:2" x14ac:dyDescent="0.2">
      <c r="A758" s="159">
        <v>10079171</v>
      </c>
      <c r="B758" s="159" t="s">
        <v>253</v>
      </c>
    </row>
    <row r="759" spans="1:2" x14ac:dyDescent="0.2">
      <c r="A759" s="159">
        <v>10079176</v>
      </c>
      <c r="B759" s="159" t="s">
        <v>1631</v>
      </c>
    </row>
    <row r="760" spans="1:2" x14ac:dyDescent="0.2">
      <c r="A760" s="159">
        <v>10079178</v>
      </c>
      <c r="B760" s="159" t="s">
        <v>349</v>
      </c>
    </row>
    <row r="761" spans="1:2" x14ac:dyDescent="0.2">
      <c r="A761" s="159">
        <v>10079183</v>
      </c>
      <c r="B761" s="159" t="s">
        <v>1632</v>
      </c>
    </row>
    <row r="762" spans="1:2" x14ac:dyDescent="0.2">
      <c r="A762" s="159">
        <v>10079185</v>
      </c>
      <c r="B762" s="159" t="s">
        <v>242</v>
      </c>
    </row>
    <row r="763" spans="1:2" x14ac:dyDescent="0.2">
      <c r="A763" s="159">
        <v>10079186</v>
      </c>
      <c r="B763" s="159" t="s">
        <v>1633</v>
      </c>
    </row>
    <row r="764" spans="1:2" x14ac:dyDescent="0.2">
      <c r="A764" s="159">
        <v>10079187</v>
      </c>
      <c r="B764" s="159" t="s">
        <v>308</v>
      </c>
    </row>
    <row r="765" spans="1:2" x14ac:dyDescent="0.2">
      <c r="A765" s="159">
        <v>10079193</v>
      </c>
      <c r="B765" s="159" t="s">
        <v>107</v>
      </c>
    </row>
    <row r="766" spans="1:2" x14ac:dyDescent="0.2">
      <c r="A766" s="159">
        <v>10079200</v>
      </c>
      <c r="B766" s="159" t="s">
        <v>225</v>
      </c>
    </row>
    <row r="767" spans="1:2" x14ac:dyDescent="0.2">
      <c r="A767" s="159">
        <v>10079201</v>
      </c>
      <c r="B767" s="159" t="s">
        <v>254</v>
      </c>
    </row>
    <row r="768" spans="1:2" x14ac:dyDescent="0.2">
      <c r="A768" s="159">
        <v>10079209</v>
      </c>
      <c r="B768" s="159" t="s">
        <v>1634</v>
      </c>
    </row>
    <row r="769" spans="1:2" x14ac:dyDescent="0.2">
      <c r="A769" s="159">
        <v>10079210</v>
      </c>
      <c r="B769" s="159" t="s">
        <v>121</v>
      </c>
    </row>
    <row r="770" spans="1:2" x14ac:dyDescent="0.2">
      <c r="A770" s="159">
        <v>10079211</v>
      </c>
      <c r="B770" s="159" t="s">
        <v>319</v>
      </c>
    </row>
    <row r="771" spans="1:2" x14ac:dyDescent="0.2">
      <c r="A771" s="159">
        <v>10079218</v>
      </c>
      <c r="B771" s="159" t="s">
        <v>1635</v>
      </c>
    </row>
    <row r="772" spans="1:2" x14ac:dyDescent="0.2">
      <c r="A772" s="159">
        <v>10079220</v>
      </c>
      <c r="B772" s="159" t="s">
        <v>243</v>
      </c>
    </row>
    <row r="773" spans="1:2" x14ac:dyDescent="0.2">
      <c r="A773" s="159">
        <v>10079224</v>
      </c>
      <c r="B773" s="159" t="s">
        <v>1643</v>
      </c>
    </row>
    <row r="774" spans="1:2" x14ac:dyDescent="0.2">
      <c r="A774" s="159">
        <v>10079225</v>
      </c>
      <c r="B774" s="159" t="s">
        <v>69</v>
      </c>
    </row>
    <row r="775" spans="1:2" x14ac:dyDescent="0.2">
      <c r="A775" s="159">
        <v>10079232</v>
      </c>
      <c r="B775" s="159" t="s">
        <v>472</v>
      </c>
    </row>
    <row r="776" spans="1:2" x14ac:dyDescent="0.2">
      <c r="A776" s="159">
        <v>10079234</v>
      </c>
      <c r="B776" s="159" t="s">
        <v>1644</v>
      </c>
    </row>
    <row r="777" spans="1:2" x14ac:dyDescent="0.2">
      <c r="A777" s="159">
        <v>10079235</v>
      </c>
      <c r="B777" s="159" t="s">
        <v>147</v>
      </c>
    </row>
    <row r="778" spans="1:2" x14ac:dyDescent="0.2">
      <c r="A778" s="159">
        <v>10079237</v>
      </c>
      <c r="B778" s="159" t="s">
        <v>1668</v>
      </c>
    </row>
    <row r="779" spans="1:2" x14ac:dyDescent="0.2">
      <c r="A779" s="159">
        <v>10079238</v>
      </c>
      <c r="B779" s="159" t="s">
        <v>70</v>
      </c>
    </row>
    <row r="780" spans="1:2" x14ac:dyDescent="0.2">
      <c r="A780" s="159">
        <v>10079239</v>
      </c>
      <c r="B780" s="159" t="s">
        <v>87</v>
      </c>
    </row>
    <row r="781" spans="1:2" x14ac:dyDescent="0.2">
      <c r="A781" s="159">
        <v>10079244</v>
      </c>
      <c r="B781" s="159" t="s">
        <v>138</v>
      </c>
    </row>
    <row r="782" spans="1:2" x14ac:dyDescent="0.2">
      <c r="A782" s="159">
        <v>10079251</v>
      </c>
      <c r="B782" s="159" t="s">
        <v>350</v>
      </c>
    </row>
    <row r="783" spans="1:2" x14ac:dyDescent="0.2">
      <c r="A783" s="159">
        <v>10079252</v>
      </c>
      <c r="B783" s="159" t="s">
        <v>386</v>
      </c>
    </row>
    <row r="784" spans="1:2" x14ac:dyDescent="0.2">
      <c r="A784" s="159">
        <v>10079253</v>
      </c>
      <c r="B784" s="159" t="s">
        <v>148</v>
      </c>
    </row>
    <row r="785" spans="1:2" x14ac:dyDescent="0.2">
      <c r="A785" s="159">
        <v>10079254</v>
      </c>
      <c r="B785" s="159" t="s">
        <v>244</v>
      </c>
    </row>
    <row r="786" spans="1:2" x14ac:dyDescent="0.2">
      <c r="A786" s="159">
        <v>10079258</v>
      </c>
      <c r="B786" s="159" t="s">
        <v>365</v>
      </c>
    </row>
    <row r="787" spans="1:2" x14ac:dyDescent="0.2">
      <c r="A787" s="159">
        <v>10079262</v>
      </c>
      <c r="B787" s="159" t="s">
        <v>178</v>
      </c>
    </row>
    <row r="788" spans="1:2" x14ac:dyDescent="0.2">
      <c r="A788" s="159">
        <v>10079268</v>
      </c>
      <c r="B788" s="159" t="s">
        <v>272</v>
      </c>
    </row>
    <row r="789" spans="1:2" x14ac:dyDescent="0.2">
      <c r="A789" s="159">
        <v>10079271</v>
      </c>
      <c r="B789" s="159" t="s">
        <v>285</v>
      </c>
    </row>
    <row r="790" spans="1:2" x14ac:dyDescent="0.2">
      <c r="A790" s="159">
        <v>10079274</v>
      </c>
      <c r="B790" s="159" t="s">
        <v>1687</v>
      </c>
    </row>
    <row r="791" spans="1:2" x14ac:dyDescent="0.2">
      <c r="A791" s="159">
        <v>10079282</v>
      </c>
      <c r="B791" s="159" t="s">
        <v>166</v>
      </c>
    </row>
    <row r="792" spans="1:2" x14ac:dyDescent="0.2">
      <c r="A792" s="159">
        <v>10079283</v>
      </c>
      <c r="B792" s="159" t="s">
        <v>1689</v>
      </c>
    </row>
    <row r="793" spans="1:2" x14ac:dyDescent="0.2">
      <c r="A793" s="159">
        <v>10079285</v>
      </c>
      <c r="B793" s="159" t="s">
        <v>1690</v>
      </c>
    </row>
    <row r="794" spans="1:2" x14ac:dyDescent="0.2">
      <c r="A794" s="159">
        <v>10079286</v>
      </c>
      <c r="B794" s="159" t="s">
        <v>335</v>
      </c>
    </row>
    <row r="795" spans="1:2" x14ac:dyDescent="0.2">
      <c r="A795" s="159">
        <v>10079290</v>
      </c>
      <c r="B795" s="159" t="s">
        <v>1692</v>
      </c>
    </row>
    <row r="796" spans="1:2" x14ac:dyDescent="0.2">
      <c r="A796" s="159">
        <v>10079291</v>
      </c>
      <c r="B796" s="159" t="s">
        <v>1693</v>
      </c>
    </row>
    <row r="797" spans="1:2" x14ac:dyDescent="0.2">
      <c r="A797" s="159">
        <v>10079292</v>
      </c>
      <c r="B797" s="159" t="s">
        <v>1694</v>
      </c>
    </row>
    <row r="798" spans="1:2" x14ac:dyDescent="0.2">
      <c r="A798" s="159">
        <v>10079293</v>
      </c>
      <c r="B798" s="159" t="s">
        <v>366</v>
      </c>
    </row>
    <row r="799" spans="1:2" x14ac:dyDescent="0.2">
      <c r="A799" s="159">
        <v>10079295</v>
      </c>
      <c r="B799" s="159" t="s">
        <v>273</v>
      </c>
    </row>
    <row r="800" spans="1:2" x14ac:dyDescent="0.2">
      <c r="A800" s="159">
        <v>10079297</v>
      </c>
      <c r="B800" s="159" t="s">
        <v>1695</v>
      </c>
    </row>
    <row r="801" spans="1:2" x14ac:dyDescent="0.2">
      <c r="A801" s="159">
        <v>10079299</v>
      </c>
      <c r="B801" s="159" t="s">
        <v>482</v>
      </c>
    </row>
    <row r="802" spans="1:2" x14ac:dyDescent="0.2">
      <c r="A802" s="159">
        <v>10079300</v>
      </c>
      <c r="B802" s="159" t="s">
        <v>1706</v>
      </c>
    </row>
    <row r="803" spans="1:2" x14ac:dyDescent="0.2">
      <c r="A803" s="159">
        <v>10079304</v>
      </c>
      <c r="B803" s="159" t="s">
        <v>226</v>
      </c>
    </row>
    <row r="804" spans="1:2" x14ac:dyDescent="0.2">
      <c r="A804" s="159">
        <v>10079305</v>
      </c>
      <c r="B804" s="159" t="s">
        <v>140</v>
      </c>
    </row>
    <row r="805" spans="1:2" x14ac:dyDescent="0.2">
      <c r="A805" s="159">
        <v>10079315</v>
      </c>
      <c r="B805" s="159" t="s">
        <v>336</v>
      </c>
    </row>
    <row r="806" spans="1:2" x14ac:dyDescent="0.2">
      <c r="A806" s="159">
        <v>10079317</v>
      </c>
      <c r="B806" s="159" t="s">
        <v>1744</v>
      </c>
    </row>
    <row r="807" spans="1:2" x14ac:dyDescent="0.2">
      <c r="A807" s="159">
        <v>10079323</v>
      </c>
      <c r="B807" s="159" t="s">
        <v>1745</v>
      </c>
    </row>
    <row r="808" spans="1:2" x14ac:dyDescent="0.2">
      <c r="A808" s="159">
        <v>10079324</v>
      </c>
      <c r="B808" s="159" t="s">
        <v>163</v>
      </c>
    </row>
    <row r="809" spans="1:2" x14ac:dyDescent="0.2">
      <c r="A809" s="159">
        <v>10079329</v>
      </c>
      <c r="B809" s="159" t="s">
        <v>1748</v>
      </c>
    </row>
    <row r="810" spans="1:2" x14ac:dyDescent="0.2">
      <c r="A810" s="159">
        <v>10079330</v>
      </c>
      <c r="B810" s="159" t="s">
        <v>287</v>
      </c>
    </row>
    <row r="811" spans="1:2" x14ac:dyDescent="0.2">
      <c r="A811" s="159">
        <v>10079331</v>
      </c>
      <c r="B811" s="159" t="s">
        <v>227</v>
      </c>
    </row>
    <row r="812" spans="1:2" x14ac:dyDescent="0.2">
      <c r="A812" s="159">
        <v>10079333</v>
      </c>
      <c r="B812" s="159" t="s">
        <v>1749</v>
      </c>
    </row>
    <row r="813" spans="1:2" x14ac:dyDescent="0.2">
      <c r="A813" s="159">
        <v>10079334</v>
      </c>
      <c r="B813" s="159" t="s">
        <v>351</v>
      </c>
    </row>
    <row r="814" spans="1:2" x14ac:dyDescent="0.2">
      <c r="A814" s="159">
        <v>10079336</v>
      </c>
      <c r="B814" s="159" t="s">
        <v>179</v>
      </c>
    </row>
    <row r="815" spans="1:2" x14ac:dyDescent="0.2">
      <c r="A815" s="159">
        <v>10079338</v>
      </c>
      <c r="B815" s="159" t="s">
        <v>228</v>
      </c>
    </row>
    <row r="816" spans="1:2" x14ac:dyDescent="0.2">
      <c r="A816" s="159">
        <v>10079343</v>
      </c>
      <c r="B816" s="159" t="s">
        <v>180</v>
      </c>
    </row>
    <row r="817" spans="1:2" x14ac:dyDescent="0.2">
      <c r="A817" s="159">
        <v>10079345</v>
      </c>
      <c r="B817" s="159" t="s">
        <v>255</v>
      </c>
    </row>
    <row r="818" spans="1:2" x14ac:dyDescent="0.2">
      <c r="A818" s="159">
        <v>10079348</v>
      </c>
      <c r="B818" s="159" t="s">
        <v>1751</v>
      </c>
    </row>
    <row r="819" spans="1:2" x14ac:dyDescent="0.2">
      <c r="A819" s="159">
        <v>10079349</v>
      </c>
      <c r="B819" s="159" t="s">
        <v>203</v>
      </c>
    </row>
    <row r="820" spans="1:2" x14ac:dyDescent="0.2">
      <c r="A820" s="159">
        <v>10079352</v>
      </c>
      <c r="B820" s="159" t="s">
        <v>204</v>
      </c>
    </row>
    <row r="821" spans="1:2" x14ac:dyDescent="0.2">
      <c r="A821" s="159">
        <v>10079362</v>
      </c>
      <c r="B821" s="159" t="s">
        <v>245</v>
      </c>
    </row>
    <row r="822" spans="1:2" x14ac:dyDescent="0.2">
      <c r="A822" s="159">
        <v>10079366</v>
      </c>
      <c r="B822" s="159" t="s">
        <v>288</v>
      </c>
    </row>
    <row r="823" spans="1:2" x14ac:dyDescent="0.2">
      <c r="A823" s="159">
        <v>10079374</v>
      </c>
      <c r="B823" s="159" t="s">
        <v>1752</v>
      </c>
    </row>
    <row r="824" spans="1:2" x14ac:dyDescent="0.2">
      <c r="A824" s="159">
        <v>10079378</v>
      </c>
      <c r="B824" s="159" t="s">
        <v>289</v>
      </c>
    </row>
    <row r="825" spans="1:2" x14ac:dyDescent="0.2">
      <c r="A825" s="159">
        <v>10079380</v>
      </c>
      <c r="B825" s="159" t="s">
        <v>256</v>
      </c>
    </row>
    <row r="826" spans="1:2" x14ac:dyDescent="0.2">
      <c r="A826" s="159">
        <v>10079382</v>
      </c>
      <c r="B826" s="159" t="s">
        <v>181</v>
      </c>
    </row>
    <row r="827" spans="1:2" x14ac:dyDescent="0.2">
      <c r="A827" s="159">
        <v>10079385</v>
      </c>
      <c r="B827" s="159" t="s">
        <v>1753</v>
      </c>
    </row>
    <row r="828" spans="1:2" x14ac:dyDescent="0.2">
      <c r="A828" s="159">
        <v>10079386</v>
      </c>
      <c r="B828" s="159" t="s">
        <v>96</v>
      </c>
    </row>
    <row r="829" spans="1:2" x14ac:dyDescent="0.2">
      <c r="A829" s="159">
        <v>10079391</v>
      </c>
      <c r="B829" s="159" t="s">
        <v>1754</v>
      </c>
    </row>
    <row r="830" spans="1:2" x14ac:dyDescent="0.2">
      <c r="A830" s="159">
        <v>10079397</v>
      </c>
      <c r="B830" s="159" t="s">
        <v>337</v>
      </c>
    </row>
    <row r="831" spans="1:2" x14ac:dyDescent="0.2">
      <c r="A831" s="159">
        <v>10079398</v>
      </c>
      <c r="B831" s="159" t="s">
        <v>352</v>
      </c>
    </row>
    <row r="832" spans="1:2" x14ac:dyDescent="0.2">
      <c r="A832" s="159">
        <v>10079399</v>
      </c>
      <c r="B832" s="159" t="s">
        <v>1755</v>
      </c>
    </row>
    <row r="833" spans="1:2" x14ac:dyDescent="0.2">
      <c r="A833" s="159">
        <v>10079400</v>
      </c>
      <c r="B833" s="159" t="s">
        <v>1756</v>
      </c>
    </row>
    <row r="834" spans="1:2" x14ac:dyDescent="0.2">
      <c r="A834" s="159">
        <v>10079401</v>
      </c>
      <c r="B834" s="159" t="s">
        <v>338</v>
      </c>
    </row>
    <row r="835" spans="1:2" x14ac:dyDescent="0.2">
      <c r="A835" s="159">
        <v>10079408</v>
      </c>
      <c r="B835" s="159" t="s">
        <v>1757</v>
      </c>
    </row>
    <row r="836" spans="1:2" x14ac:dyDescent="0.2">
      <c r="A836" s="159">
        <v>10079413</v>
      </c>
      <c r="B836" s="159" t="s">
        <v>183</v>
      </c>
    </row>
    <row r="837" spans="1:2" x14ac:dyDescent="0.2">
      <c r="A837" s="159">
        <v>10079417</v>
      </c>
      <c r="B837" s="159" t="s">
        <v>88</v>
      </c>
    </row>
    <row r="838" spans="1:2" x14ac:dyDescent="0.2">
      <c r="A838" s="159">
        <v>10079419</v>
      </c>
      <c r="B838" s="159" t="s">
        <v>353</v>
      </c>
    </row>
    <row r="839" spans="1:2" x14ac:dyDescent="0.2">
      <c r="A839" s="159">
        <v>10079427</v>
      </c>
      <c r="B839" s="159" t="s">
        <v>149</v>
      </c>
    </row>
    <row r="840" spans="1:2" x14ac:dyDescent="0.2">
      <c r="A840" s="159">
        <v>10079435</v>
      </c>
      <c r="B840" s="159" t="s">
        <v>1759</v>
      </c>
    </row>
    <row r="841" spans="1:2" x14ac:dyDescent="0.2">
      <c r="A841" s="159">
        <v>10079439</v>
      </c>
      <c r="B841" s="159" t="s">
        <v>290</v>
      </c>
    </row>
    <row r="842" spans="1:2" x14ac:dyDescent="0.2">
      <c r="A842" s="159">
        <v>10079442</v>
      </c>
      <c r="B842" s="159" t="s">
        <v>89</v>
      </c>
    </row>
    <row r="843" spans="1:2" x14ac:dyDescent="0.2">
      <c r="A843" s="159">
        <v>10079447</v>
      </c>
      <c r="B843" s="159" t="s">
        <v>246</v>
      </c>
    </row>
    <row r="844" spans="1:2" x14ac:dyDescent="0.2">
      <c r="A844" s="159">
        <v>10079449</v>
      </c>
      <c r="B844" s="159" t="s">
        <v>291</v>
      </c>
    </row>
    <row r="845" spans="1:2" x14ac:dyDescent="0.2">
      <c r="A845" s="159">
        <v>10079450</v>
      </c>
      <c r="B845" s="159" t="s">
        <v>258</v>
      </c>
    </row>
    <row r="846" spans="1:2" x14ac:dyDescent="0.2">
      <c r="A846" s="159">
        <v>10079451</v>
      </c>
      <c r="B846" s="159" t="s">
        <v>90</v>
      </c>
    </row>
    <row r="847" spans="1:2" x14ac:dyDescent="0.2">
      <c r="A847" s="159">
        <v>10079453</v>
      </c>
      <c r="B847" s="159" t="s">
        <v>1779</v>
      </c>
    </row>
    <row r="848" spans="1:2" x14ac:dyDescent="0.2">
      <c r="A848" s="159">
        <v>10079456</v>
      </c>
      <c r="B848" s="159" t="s">
        <v>205</v>
      </c>
    </row>
    <row r="849" spans="1:2" x14ac:dyDescent="0.2">
      <c r="A849" s="159">
        <v>10079457</v>
      </c>
      <c r="B849" s="159" t="s">
        <v>387</v>
      </c>
    </row>
    <row r="850" spans="1:2" x14ac:dyDescent="0.2">
      <c r="A850" s="159">
        <v>10079463</v>
      </c>
      <c r="B850" s="159" t="s">
        <v>1780</v>
      </c>
    </row>
    <row r="851" spans="1:2" x14ac:dyDescent="0.2">
      <c r="A851" s="159">
        <v>10079464</v>
      </c>
      <c r="B851" s="159" t="s">
        <v>339</v>
      </c>
    </row>
    <row r="852" spans="1:2" x14ac:dyDescent="0.2">
      <c r="A852" s="159">
        <v>10079467</v>
      </c>
      <c r="B852" s="159" t="s">
        <v>309</v>
      </c>
    </row>
    <row r="853" spans="1:2" x14ac:dyDescent="0.2">
      <c r="A853" s="159">
        <v>10079469</v>
      </c>
      <c r="B853" s="159" t="s">
        <v>1781</v>
      </c>
    </row>
    <row r="854" spans="1:2" x14ac:dyDescent="0.2">
      <c r="A854" s="159">
        <v>10079470</v>
      </c>
      <c r="B854" s="159" t="s">
        <v>354</v>
      </c>
    </row>
    <row r="855" spans="1:2" x14ac:dyDescent="0.2">
      <c r="A855" s="159">
        <v>10079473</v>
      </c>
      <c r="B855" s="159" t="s">
        <v>355</v>
      </c>
    </row>
    <row r="856" spans="1:2" x14ac:dyDescent="0.2">
      <c r="A856" s="159">
        <v>10079482</v>
      </c>
      <c r="B856" s="159" t="s">
        <v>185</v>
      </c>
    </row>
    <row r="857" spans="1:2" x14ac:dyDescent="0.2">
      <c r="A857" s="159">
        <v>10079485</v>
      </c>
      <c r="B857" s="159" t="s">
        <v>1782</v>
      </c>
    </row>
    <row r="858" spans="1:2" x14ac:dyDescent="0.2">
      <c r="A858" s="159">
        <v>10079486</v>
      </c>
      <c r="B858" s="159" t="s">
        <v>259</v>
      </c>
    </row>
    <row r="859" spans="1:2" x14ac:dyDescent="0.2">
      <c r="A859" s="159">
        <v>10079492</v>
      </c>
      <c r="B859" s="159" t="s">
        <v>206</v>
      </c>
    </row>
    <row r="860" spans="1:2" x14ac:dyDescent="0.2">
      <c r="A860" s="159">
        <v>10079493</v>
      </c>
      <c r="B860" s="159" t="s">
        <v>150</v>
      </c>
    </row>
    <row r="861" spans="1:2" x14ac:dyDescent="0.2">
      <c r="A861" s="159">
        <v>10079494</v>
      </c>
      <c r="B861" s="159" t="s">
        <v>1783</v>
      </c>
    </row>
    <row r="862" spans="1:2" x14ac:dyDescent="0.2">
      <c r="A862" s="159">
        <v>10079497</v>
      </c>
      <c r="B862" s="159" t="s">
        <v>230</v>
      </c>
    </row>
    <row r="863" spans="1:2" x14ac:dyDescent="0.2">
      <c r="A863" s="159">
        <v>10079498</v>
      </c>
      <c r="B863" s="159" t="s">
        <v>124</v>
      </c>
    </row>
    <row r="864" spans="1:2" x14ac:dyDescent="0.2">
      <c r="A864" s="159">
        <v>10079501</v>
      </c>
      <c r="B864" s="159" t="s">
        <v>91</v>
      </c>
    </row>
    <row r="865" spans="1:2" x14ac:dyDescent="0.2">
      <c r="A865" s="159">
        <v>10079506</v>
      </c>
      <c r="B865" s="159" t="s">
        <v>292</v>
      </c>
    </row>
    <row r="866" spans="1:2" x14ac:dyDescent="0.2">
      <c r="A866" s="159">
        <v>10079508</v>
      </c>
      <c r="B866" s="159" t="s">
        <v>367</v>
      </c>
    </row>
    <row r="867" spans="1:2" x14ac:dyDescent="0.2">
      <c r="A867" s="159">
        <v>10079509</v>
      </c>
      <c r="B867" s="159" t="s">
        <v>368</v>
      </c>
    </row>
    <row r="868" spans="1:2" x14ac:dyDescent="0.2">
      <c r="A868" s="159">
        <v>10079514</v>
      </c>
      <c r="B868" s="159" t="s">
        <v>322</v>
      </c>
    </row>
    <row r="869" spans="1:2" x14ac:dyDescent="0.2">
      <c r="A869" s="159">
        <v>10079517</v>
      </c>
      <c r="B869" s="159" t="s">
        <v>207</v>
      </c>
    </row>
    <row r="870" spans="1:2" x14ac:dyDescent="0.2">
      <c r="A870" s="159">
        <v>10079519</v>
      </c>
      <c r="B870" s="159" t="s">
        <v>71</v>
      </c>
    </row>
    <row r="871" spans="1:2" x14ac:dyDescent="0.2">
      <c r="A871" s="159">
        <v>10079520</v>
      </c>
      <c r="B871" s="159" t="s">
        <v>1792</v>
      </c>
    </row>
    <row r="872" spans="1:2" x14ac:dyDescent="0.2">
      <c r="A872" s="159">
        <v>10079523</v>
      </c>
      <c r="B872" s="159" t="s">
        <v>1793</v>
      </c>
    </row>
    <row r="873" spans="1:2" x14ac:dyDescent="0.2">
      <c r="A873" s="159">
        <v>10079524</v>
      </c>
      <c r="B873" s="159" t="s">
        <v>1794</v>
      </c>
    </row>
    <row r="874" spans="1:2" x14ac:dyDescent="0.2">
      <c r="A874" s="159">
        <v>10079527</v>
      </c>
      <c r="B874" s="159" t="s">
        <v>72</v>
      </c>
    </row>
    <row r="875" spans="1:2" x14ac:dyDescent="0.2">
      <c r="A875" s="159">
        <v>10079535</v>
      </c>
      <c r="B875" s="159" t="s">
        <v>109</v>
      </c>
    </row>
    <row r="876" spans="1:2" x14ac:dyDescent="0.2">
      <c r="A876" s="159">
        <v>10079536</v>
      </c>
      <c r="B876" s="159" t="s">
        <v>187</v>
      </c>
    </row>
    <row r="877" spans="1:2" x14ac:dyDescent="0.2">
      <c r="A877" s="159">
        <v>10079540</v>
      </c>
      <c r="B877" s="159" t="s">
        <v>164</v>
      </c>
    </row>
    <row r="878" spans="1:2" x14ac:dyDescent="0.2">
      <c r="A878" s="159">
        <v>10079541</v>
      </c>
      <c r="B878" s="159" t="s">
        <v>125</v>
      </c>
    </row>
    <row r="879" spans="1:2" x14ac:dyDescent="0.2">
      <c r="A879" s="159">
        <v>10079544</v>
      </c>
      <c r="B879" s="159" t="s">
        <v>231</v>
      </c>
    </row>
    <row r="880" spans="1:2" x14ac:dyDescent="0.2">
      <c r="A880" s="159">
        <v>10079545</v>
      </c>
      <c r="B880" s="159" t="s">
        <v>260</v>
      </c>
    </row>
    <row r="881" spans="1:2" x14ac:dyDescent="0.2">
      <c r="A881" s="159">
        <v>10079546</v>
      </c>
      <c r="B881" s="159" t="s">
        <v>1795</v>
      </c>
    </row>
    <row r="882" spans="1:2" x14ac:dyDescent="0.2">
      <c r="A882" s="159">
        <v>10079549</v>
      </c>
      <c r="B882" s="159" t="s">
        <v>157</v>
      </c>
    </row>
    <row r="883" spans="1:2" x14ac:dyDescent="0.2">
      <c r="A883" s="159">
        <v>10079550</v>
      </c>
      <c r="B883" s="159" t="s">
        <v>92</v>
      </c>
    </row>
    <row r="884" spans="1:2" x14ac:dyDescent="0.2">
      <c r="A884" s="159">
        <v>10079562</v>
      </c>
      <c r="B884" s="159" t="s">
        <v>1797</v>
      </c>
    </row>
    <row r="885" spans="1:2" x14ac:dyDescent="0.2">
      <c r="A885" s="159">
        <v>10079568</v>
      </c>
      <c r="B885" s="159" t="s">
        <v>208</v>
      </c>
    </row>
    <row r="886" spans="1:2" x14ac:dyDescent="0.2">
      <c r="A886" s="159">
        <v>10079570</v>
      </c>
      <c r="B886" s="159" t="s">
        <v>293</v>
      </c>
    </row>
    <row r="887" spans="1:2" x14ac:dyDescent="0.2">
      <c r="A887" s="159">
        <v>10079572</v>
      </c>
      <c r="B887" s="159" t="s">
        <v>356</v>
      </c>
    </row>
    <row r="888" spans="1:2" x14ac:dyDescent="0.2">
      <c r="A888" s="159">
        <v>10079579</v>
      </c>
      <c r="B888" s="159" t="s">
        <v>261</v>
      </c>
    </row>
    <row r="889" spans="1:2" x14ac:dyDescent="0.2">
      <c r="A889" s="159">
        <v>10079581</v>
      </c>
      <c r="B889" s="159" t="s">
        <v>1798</v>
      </c>
    </row>
    <row r="890" spans="1:2" x14ac:dyDescent="0.2">
      <c r="A890" s="159">
        <v>10079583</v>
      </c>
      <c r="B890" s="159" t="s">
        <v>141</v>
      </c>
    </row>
    <row r="891" spans="1:2" x14ac:dyDescent="0.2">
      <c r="A891" s="159">
        <v>10079589</v>
      </c>
      <c r="B891" s="159" t="s">
        <v>126</v>
      </c>
    </row>
    <row r="892" spans="1:2" x14ac:dyDescent="0.2">
      <c r="A892" s="159">
        <v>10079591</v>
      </c>
      <c r="B892" s="159" t="s">
        <v>357</v>
      </c>
    </row>
    <row r="893" spans="1:2" x14ac:dyDescent="0.2">
      <c r="A893" s="159">
        <v>10079601</v>
      </c>
      <c r="B893" s="159" t="s">
        <v>158</v>
      </c>
    </row>
    <row r="894" spans="1:2" x14ac:dyDescent="0.2">
      <c r="A894" s="159">
        <v>10079606</v>
      </c>
      <c r="B894" s="159" t="s">
        <v>294</v>
      </c>
    </row>
    <row r="895" spans="1:2" x14ac:dyDescent="0.2">
      <c r="A895" s="159">
        <v>10079610</v>
      </c>
      <c r="B895" s="159" t="s">
        <v>358</v>
      </c>
    </row>
    <row r="896" spans="1:2" x14ac:dyDescent="0.2">
      <c r="A896" s="159">
        <v>10079615</v>
      </c>
      <c r="B896" s="159" t="s">
        <v>142</v>
      </c>
    </row>
    <row r="897" spans="1:2" x14ac:dyDescent="0.2">
      <c r="A897" s="159">
        <v>10079617</v>
      </c>
      <c r="B897" s="159" t="s">
        <v>323</v>
      </c>
    </row>
    <row r="898" spans="1:2" x14ac:dyDescent="0.2">
      <c r="A898" s="159">
        <v>10079621</v>
      </c>
      <c r="B898" s="159" t="s">
        <v>340</v>
      </c>
    </row>
    <row r="899" spans="1:2" x14ac:dyDescent="0.2">
      <c r="A899" s="159">
        <v>10079622</v>
      </c>
      <c r="B899" s="159" t="s">
        <v>1799</v>
      </c>
    </row>
    <row r="900" spans="1:2" x14ac:dyDescent="0.2">
      <c r="A900" s="159">
        <v>10079623</v>
      </c>
      <c r="B900" s="159" t="s">
        <v>1800</v>
      </c>
    </row>
    <row r="901" spans="1:2" x14ac:dyDescent="0.2">
      <c r="A901" s="159">
        <v>10079624</v>
      </c>
      <c r="B901" s="159" t="s">
        <v>73</v>
      </c>
    </row>
    <row r="902" spans="1:2" x14ac:dyDescent="0.2">
      <c r="A902" s="159">
        <v>10079626</v>
      </c>
      <c r="B902" s="159" t="s">
        <v>151</v>
      </c>
    </row>
    <row r="903" spans="1:2" x14ac:dyDescent="0.2">
      <c r="A903" s="159">
        <v>10079630</v>
      </c>
      <c r="B903" s="159" t="s">
        <v>209</v>
      </c>
    </row>
    <row r="904" spans="1:2" x14ac:dyDescent="0.2">
      <c r="A904" s="159">
        <v>10079633</v>
      </c>
      <c r="B904" s="159" t="s">
        <v>232</v>
      </c>
    </row>
    <row r="905" spans="1:2" x14ac:dyDescent="0.2">
      <c r="A905" s="159">
        <v>10079638</v>
      </c>
      <c r="B905" s="159" t="s">
        <v>468</v>
      </c>
    </row>
    <row r="906" spans="1:2" x14ac:dyDescent="0.2">
      <c r="A906" s="159">
        <v>10079642</v>
      </c>
      <c r="B906" s="159" t="s">
        <v>210</v>
      </c>
    </row>
    <row r="907" spans="1:2" x14ac:dyDescent="0.2">
      <c r="A907" s="159">
        <v>10079647</v>
      </c>
      <c r="B907" s="159" t="s">
        <v>74</v>
      </c>
    </row>
    <row r="908" spans="1:2" x14ac:dyDescent="0.2">
      <c r="A908" s="159">
        <v>10079649</v>
      </c>
      <c r="B908" s="159" t="s">
        <v>233</v>
      </c>
    </row>
    <row r="909" spans="1:2" x14ac:dyDescent="0.2">
      <c r="A909" s="159">
        <v>10079651</v>
      </c>
      <c r="B909" s="159" t="s">
        <v>1821</v>
      </c>
    </row>
    <row r="910" spans="1:2" x14ac:dyDescent="0.2">
      <c r="A910" s="159">
        <v>10079652</v>
      </c>
      <c r="B910" s="159" t="s">
        <v>127</v>
      </c>
    </row>
    <row r="911" spans="1:2" x14ac:dyDescent="0.2">
      <c r="A911" s="159">
        <v>10079654</v>
      </c>
      <c r="B911" s="159" t="s">
        <v>310</v>
      </c>
    </row>
    <row r="912" spans="1:2" x14ac:dyDescent="0.2">
      <c r="A912" s="159">
        <v>10079656</v>
      </c>
      <c r="B912" s="159" t="s">
        <v>370</v>
      </c>
    </row>
    <row r="913" spans="1:2" x14ac:dyDescent="0.2">
      <c r="A913" s="159">
        <v>10079658</v>
      </c>
      <c r="B913" s="159" t="s">
        <v>262</v>
      </c>
    </row>
    <row r="914" spans="1:2" x14ac:dyDescent="0.2">
      <c r="A914" s="159">
        <v>10079661</v>
      </c>
      <c r="B914" s="159" t="s">
        <v>389</v>
      </c>
    </row>
    <row r="915" spans="1:2" x14ac:dyDescent="0.2">
      <c r="A915" s="159">
        <v>10079663</v>
      </c>
      <c r="B915" s="159" t="s">
        <v>75</v>
      </c>
    </row>
    <row r="916" spans="1:2" x14ac:dyDescent="0.2">
      <c r="A916" s="159">
        <v>10079668</v>
      </c>
      <c r="B916" s="159" t="s">
        <v>93</v>
      </c>
    </row>
    <row r="917" spans="1:2" x14ac:dyDescent="0.2">
      <c r="A917" s="159">
        <v>10079670</v>
      </c>
      <c r="B917" s="159" t="s">
        <v>94</v>
      </c>
    </row>
    <row r="918" spans="1:2" x14ac:dyDescent="0.2">
      <c r="A918" s="159">
        <v>10079673</v>
      </c>
      <c r="B918" s="159" t="s">
        <v>390</v>
      </c>
    </row>
    <row r="919" spans="1:2" x14ac:dyDescent="0.2">
      <c r="A919" s="159">
        <v>10079676</v>
      </c>
      <c r="B919" s="159" t="s">
        <v>211</v>
      </c>
    </row>
    <row r="920" spans="1:2" x14ac:dyDescent="0.2">
      <c r="A920" s="159">
        <v>10079683</v>
      </c>
      <c r="B920" s="159" t="s">
        <v>165</v>
      </c>
    </row>
    <row r="921" spans="1:2" x14ac:dyDescent="0.2">
      <c r="A921" s="159">
        <v>10079685</v>
      </c>
      <c r="B921" s="159" t="s">
        <v>263</v>
      </c>
    </row>
    <row r="922" spans="1:2" x14ac:dyDescent="0.2">
      <c r="A922" s="159">
        <v>10079694</v>
      </c>
      <c r="B922" s="159" t="s">
        <v>295</v>
      </c>
    </row>
    <row r="923" spans="1:2" x14ac:dyDescent="0.2">
      <c r="A923" s="159">
        <v>10079697</v>
      </c>
      <c r="B923" s="159" t="s">
        <v>311</v>
      </c>
    </row>
    <row r="924" spans="1:2" x14ac:dyDescent="0.2">
      <c r="A924" s="159">
        <v>10079699</v>
      </c>
      <c r="B924" s="159" t="s">
        <v>144</v>
      </c>
    </row>
    <row r="925" spans="1:2" x14ac:dyDescent="0.2">
      <c r="A925" s="159">
        <v>10079700</v>
      </c>
      <c r="B925" s="159" t="s">
        <v>324</v>
      </c>
    </row>
    <row r="926" spans="1:2" x14ac:dyDescent="0.2">
      <c r="A926" s="159">
        <v>10079703</v>
      </c>
      <c r="B926" s="159" t="s">
        <v>212</v>
      </c>
    </row>
    <row r="927" spans="1:2" x14ac:dyDescent="0.2">
      <c r="A927" s="159">
        <v>10079708</v>
      </c>
      <c r="B927" s="159" t="s">
        <v>312</v>
      </c>
    </row>
    <row r="928" spans="1:2" x14ac:dyDescent="0.2">
      <c r="A928" s="159">
        <v>10079710</v>
      </c>
      <c r="B928" s="159" t="s">
        <v>76</v>
      </c>
    </row>
    <row r="929" spans="1:2" x14ac:dyDescent="0.2">
      <c r="A929" s="159">
        <v>10079712</v>
      </c>
      <c r="B929" s="159" t="s">
        <v>391</v>
      </c>
    </row>
    <row r="930" spans="1:2" x14ac:dyDescent="0.2">
      <c r="A930" s="159">
        <v>10079713</v>
      </c>
      <c r="B930" s="159" t="s">
        <v>264</v>
      </c>
    </row>
    <row r="931" spans="1:2" x14ac:dyDescent="0.2">
      <c r="A931" s="159">
        <v>10079714</v>
      </c>
      <c r="B931" s="159" t="s">
        <v>313</v>
      </c>
    </row>
    <row r="932" spans="1:2" x14ac:dyDescent="0.2">
      <c r="A932" s="159">
        <v>10079716</v>
      </c>
      <c r="B932" s="159" t="s">
        <v>314</v>
      </c>
    </row>
    <row r="933" spans="1:2" x14ac:dyDescent="0.2">
      <c r="A933" s="159">
        <v>10079717</v>
      </c>
      <c r="B933" s="159" t="s">
        <v>371</v>
      </c>
    </row>
    <row r="934" spans="1:2" x14ac:dyDescent="0.2">
      <c r="A934" s="159">
        <v>10079719</v>
      </c>
      <c r="B934" s="159" t="s">
        <v>297</v>
      </c>
    </row>
    <row r="935" spans="1:2" x14ac:dyDescent="0.2">
      <c r="A935" s="159">
        <v>10079723</v>
      </c>
      <c r="B935" s="159" t="s">
        <v>359</v>
      </c>
    </row>
    <row r="936" spans="1:2" x14ac:dyDescent="0.2">
      <c r="A936" s="159">
        <v>10079725</v>
      </c>
      <c r="B936" s="159" t="s">
        <v>265</v>
      </c>
    </row>
    <row r="937" spans="1:2" x14ac:dyDescent="0.2">
      <c r="A937" s="159">
        <v>10079726</v>
      </c>
      <c r="B937" s="159" t="s">
        <v>1889</v>
      </c>
    </row>
    <row r="938" spans="1:2" x14ac:dyDescent="0.2">
      <c r="A938" s="159">
        <v>10079729</v>
      </c>
      <c r="B938" s="159" t="s">
        <v>393</v>
      </c>
    </row>
    <row r="939" spans="1:2" x14ac:dyDescent="0.2">
      <c r="A939" s="159">
        <v>10079731</v>
      </c>
      <c r="B939" s="159" t="s">
        <v>372</v>
      </c>
    </row>
    <row r="940" spans="1:2" x14ac:dyDescent="0.2">
      <c r="A940" s="159">
        <v>10079732</v>
      </c>
      <c r="B940" s="159" t="s">
        <v>266</v>
      </c>
    </row>
    <row r="941" spans="1:2" x14ac:dyDescent="0.2">
      <c r="A941" s="159">
        <v>10079733</v>
      </c>
      <c r="B941" s="159" t="s">
        <v>394</v>
      </c>
    </row>
    <row r="942" spans="1:2" x14ac:dyDescent="0.2">
      <c r="A942" s="159">
        <v>10079739</v>
      </c>
      <c r="B942" s="159" t="s">
        <v>267</v>
      </c>
    </row>
    <row r="943" spans="1:2" x14ac:dyDescent="0.2">
      <c r="A943" s="159">
        <v>10079740</v>
      </c>
      <c r="B943" s="159" t="s">
        <v>315</v>
      </c>
    </row>
    <row r="944" spans="1:2" x14ac:dyDescent="0.2">
      <c r="A944" s="159">
        <v>10079748</v>
      </c>
      <c r="B944" s="159" t="s">
        <v>395</v>
      </c>
    </row>
    <row r="945" spans="1:2" x14ac:dyDescent="0.2">
      <c r="A945" s="159">
        <v>10079750</v>
      </c>
      <c r="B945" s="159" t="s">
        <v>396</v>
      </c>
    </row>
    <row r="946" spans="1:2" x14ac:dyDescent="0.2">
      <c r="A946" s="159">
        <v>10079753</v>
      </c>
      <c r="B946" s="159" t="s">
        <v>397</v>
      </c>
    </row>
    <row r="947" spans="1:2" x14ac:dyDescent="0.2">
      <c r="A947" s="159">
        <v>10079755</v>
      </c>
      <c r="B947" s="159" t="s">
        <v>398</v>
      </c>
    </row>
    <row r="948" spans="1:2" x14ac:dyDescent="0.2">
      <c r="A948" s="159">
        <v>10079760</v>
      </c>
      <c r="B948" s="159" t="s">
        <v>399</v>
      </c>
    </row>
    <row r="949" spans="1:2" x14ac:dyDescent="0.2">
      <c r="A949" s="159">
        <v>10079761</v>
      </c>
      <c r="B949" s="159" t="s">
        <v>400</v>
      </c>
    </row>
    <row r="950" spans="1:2" x14ac:dyDescent="0.2">
      <c r="A950" s="159">
        <v>10079763</v>
      </c>
      <c r="B950" s="159" t="s">
        <v>401</v>
      </c>
    </row>
    <row r="951" spans="1:2" x14ac:dyDescent="0.2">
      <c r="A951" s="159">
        <v>10079770</v>
      </c>
      <c r="B951" s="159" t="s">
        <v>402</v>
      </c>
    </row>
    <row r="952" spans="1:2" x14ac:dyDescent="0.2">
      <c r="A952" s="159">
        <v>10079771</v>
      </c>
      <c r="B952" s="159" t="s">
        <v>403</v>
      </c>
    </row>
    <row r="953" spans="1:2" x14ac:dyDescent="0.2">
      <c r="A953" s="159">
        <v>10079772</v>
      </c>
      <c r="B953" s="159" t="s">
        <v>404</v>
      </c>
    </row>
    <row r="954" spans="1:2" x14ac:dyDescent="0.2">
      <c r="A954" s="159">
        <v>10079773</v>
      </c>
      <c r="B954" s="159" t="s">
        <v>405</v>
      </c>
    </row>
    <row r="955" spans="1:2" x14ac:dyDescent="0.2">
      <c r="A955" s="159">
        <v>10079775</v>
      </c>
      <c r="B955" s="159" t="s">
        <v>316</v>
      </c>
    </row>
    <row r="956" spans="1:2" x14ac:dyDescent="0.2">
      <c r="A956" s="159">
        <v>10079778</v>
      </c>
      <c r="B956" s="159" t="s">
        <v>152</v>
      </c>
    </row>
    <row r="957" spans="1:2" x14ac:dyDescent="0.2">
      <c r="A957" s="159">
        <v>10079779</v>
      </c>
      <c r="B957" s="159" t="s">
        <v>406</v>
      </c>
    </row>
    <row r="958" spans="1:2" x14ac:dyDescent="0.2">
      <c r="A958" s="159">
        <v>10079782</v>
      </c>
      <c r="B958" s="159" t="s">
        <v>128</v>
      </c>
    </row>
    <row r="959" spans="1:2" x14ac:dyDescent="0.2">
      <c r="A959" s="159">
        <v>10079785</v>
      </c>
      <c r="B959" s="159" t="s">
        <v>77</v>
      </c>
    </row>
    <row r="960" spans="1:2" x14ac:dyDescent="0.2">
      <c r="A960" s="159">
        <v>10079787</v>
      </c>
      <c r="B960" s="159" t="s">
        <v>129</v>
      </c>
    </row>
    <row r="961" spans="1:2" x14ac:dyDescent="0.2">
      <c r="A961" s="159">
        <v>10079788</v>
      </c>
      <c r="B961" s="159" t="s">
        <v>407</v>
      </c>
    </row>
    <row r="962" spans="1:2" x14ac:dyDescent="0.2">
      <c r="A962" s="159">
        <v>10079797</v>
      </c>
      <c r="B962" s="159" t="s">
        <v>408</v>
      </c>
    </row>
    <row r="963" spans="1:2" x14ac:dyDescent="0.2">
      <c r="A963" s="159">
        <v>10079804</v>
      </c>
      <c r="B963" s="159" t="s">
        <v>409</v>
      </c>
    </row>
    <row r="964" spans="1:2" x14ac:dyDescent="0.2">
      <c r="A964" s="159">
        <v>10079805</v>
      </c>
      <c r="B964" s="159" t="s">
        <v>473</v>
      </c>
    </row>
    <row r="965" spans="1:2" x14ac:dyDescent="0.2">
      <c r="A965" s="159">
        <v>10079809</v>
      </c>
      <c r="B965" s="159" t="s">
        <v>410</v>
      </c>
    </row>
    <row r="966" spans="1:2" x14ac:dyDescent="0.2">
      <c r="A966" s="159">
        <v>10079814</v>
      </c>
      <c r="B966" s="159" t="s">
        <v>411</v>
      </c>
    </row>
    <row r="967" spans="1:2" x14ac:dyDescent="0.2">
      <c r="A967" s="159">
        <v>10079819</v>
      </c>
      <c r="B967" s="159" t="s">
        <v>412</v>
      </c>
    </row>
    <row r="968" spans="1:2" x14ac:dyDescent="0.2">
      <c r="A968" s="159">
        <v>10079821</v>
      </c>
      <c r="B968" s="159" t="s">
        <v>343</v>
      </c>
    </row>
    <row r="969" spans="1:2" x14ac:dyDescent="0.2">
      <c r="A969" s="159">
        <v>10079825</v>
      </c>
      <c r="B969" s="159" t="s">
        <v>413</v>
      </c>
    </row>
    <row r="970" spans="1:2" x14ac:dyDescent="0.2">
      <c r="A970" s="159">
        <v>10079826</v>
      </c>
      <c r="B970" s="159" t="s">
        <v>414</v>
      </c>
    </row>
    <row r="971" spans="1:2" x14ac:dyDescent="0.2">
      <c r="A971" s="159">
        <v>10079832</v>
      </c>
      <c r="B971" s="159" t="s">
        <v>415</v>
      </c>
    </row>
    <row r="972" spans="1:2" x14ac:dyDescent="0.2">
      <c r="A972" s="159">
        <v>10079833</v>
      </c>
      <c r="B972" s="159" t="s">
        <v>1953</v>
      </c>
    </row>
    <row r="973" spans="1:2" x14ac:dyDescent="0.2">
      <c r="A973" s="159">
        <v>10079834</v>
      </c>
      <c r="B973" s="159" t="s">
        <v>417</v>
      </c>
    </row>
    <row r="974" spans="1:2" x14ac:dyDescent="0.2">
      <c r="A974" s="159">
        <v>10079837</v>
      </c>
      <c r="B974" s="159" t="s">
        <v>419</v>
      </c>
    </row>
    <row r="975" spans="1:2" x14ac:dyDescent="0.2">
      <c r="A975" s="159">
        <v>10079842</v>
      </c>
      <c r="B975" s="159" t="s">
        <v>420</v>
      </c>
    </row>
    <row r="976" spans="1:2" x14ac:dyDescent="0.2">
      <c r="A976" s="159">
        <v>10079845</v>
      </c>
      <c r="B976" s="159" t="s">
        <v>421</v>
      </c>
    </row>
    <row r="977" spans="1:2" x14ac:dyDescent="0.2">
      <c r="A977" s="159">
        <v>10079847</v>
      </c>
      <c r="B977" s="159" t="s">
        <v>422</v>
      </c>
    </row>
    <row r="978" spans="1:2" x14ac:dyDescent="0.2">
      <c r="A978" s="159">
        <v>10079849</v>
      </c>
      <c r="B978" s="159" t="s">
        <v>423</v>
      </c>
    </row>
    <row r="979" spans="1:2" x14ac:dyDescent="0.2">
      <c r="A979" s="159">
        <v>10079853</v>
      </c>
      <c r="B979" s="159" t="s">
        <v>425</v>
      </c>
    </row>
    <row r="980" spans="1:2" x14ac:dyDescent="0.2">
      <c r="A980" s="159">
        <v>10079855</v>
      </c>
      <c r="B980" s="159" t="s">
        <v>426</v>
      </c>
    </row>
    <row r="981" spans="1:2" x14ac:dyDescent="0.2">
      <c r="A981" s="159">
        <v>10079856</v>
      </c>
      <c r="B981" s="159" t="s">
        <v>427</v>
      </c>
    </row>
    <row r="982" spans="1:2" x14ac:dyDescent="0.2">
      <c r="A982" s="159">
        <v>10079857</v>
      </c>
      <c r="B982" s="159" t="s">
        <v>428</v>
      </c>
    </row>
    <row r="983" spans="1:2" x14ac:dyDescent="0.2">
      <c r="A983" s="159">
        <v>10079859</v>
      </c>
      <c r="B983" s="159" t="s">
        <v>429</v>
      </c>
    </row>
    <row r="984" spans="1:2" x14ac:dyDescent="0.2">
      <c r="A984" s="159">
        <v>10079860</v>
      </c>
      <c r="B984" s="159" t="s">
        <v>430</v>
      </c>
    </row>
    <row r="985" spans="1:2" x14ac:dyDescent="0.2">
      <c r="A985" s="159">
        <v>10079863</v>
      </c>
      <c r="B985" s="159" t="s">
        <v>431</v>
      </c>
    </row>
    <row r="986" spans="1:2" x14ac:dyDescent="0.2">
      <c r="A986" s="159">
        <v>10079864</v>
      </c>
      <c r="B986" s="159" t="s">
        <v>432</v>
      </c>
    </row>
    <row r="987" spans="1:2" x14ac:dyDescent="0.2">
      <c r="A987" s="159">
        <v>10079865</v>
      </c>
      <c r="B987" s="159" t="s">
        <v>433</v>
      </c>
    </row>
    <row r="988" spans="1:2" x14ac:dyDescent="0.2">
      <c r="A988" s="159">
        <v>10079867</v>
      </c>
      <c r="B988" s="159" t="s">
        <v>434</v>
      </c>
    </row>
    <row r="989" spans="1:2" x14ac:dyDescent="0.2">
      <c r="A989" s="159">
        <v>10079868</v>
      </c>
      <c r="B989" s="159" t="s">
        <v>477</v>
      </c>
    </row>
    <row r="990" spans="1:2" x14ac:dyDescent="0.2">
      <c r="A990" s="159">
        <v>10079871</v>
      </c>
      <c r="B990" s="159" t="s">
        <v>435</v>
      </c>
    </row>
    <row r="991" spans="1:2" x14ac:dyDescent="0.2">
      <c r="A991" s="159">
        <v>10079872</v>
      </c>
      <c r="B991" s="159" t="s">
        <v>436</v>
      </c>
    </row>
    <row r="992" spans="1:2" x14ac:dyDescent="0.2">
      <c r="A992" s="159">
        <v>10079876</v>
      </c>
      <c r="B992" s="159" t="s">
        <v>2038</v>
      </c>
    </row>
    <row r="993" spans="1:2" x14ac:dyDescent="0.2">
      <c r="A993" s="159">
        <v>10079883</v>
      </c>
      <c r="B993" s="159" t="s">
        <v>471</v>
      </c>
    </row>
    <row r="994" spans="1:2" x14ac:dyDescent="0.2">
      <c r="A994" s="159">
        <v>10079884</v>
      </c>
      <c r="B994" s="159" t="s">
        <v>476</v>
      </c>
    </row>
    <row r="995" spans="1:2" x14ac:dyDescent="0.2">
      <c r="A995" s="159">
        <v>10079885</v>
      </c>
      <c r="B995" s="159" t="s">
        <v>2068</v>
      </c>
    </row>
    <row r="996" spans="1:2" x14ac:dyDescent="0.2">
      <c r="A996" s="159">
        <v>10079886</v>
      </c>
      <c r="B996" s="159" t="s">
        <v>475</v>
      </c>
    </row>
    <row r="997" spans="1:2" x14ac:dyDescent="0.2">
      <c r="A997" s="159">
        <v>10079887</v>
      </c>
      <c r="B997" s="159" t="s">
        <v>474</v>
      </c>
    </row>
    <row r="998" spans="1:2" x14ac:dyDescent="0.2">
      <c r="A998" s="159">
        <v>10079892</v>
      </c>
      <c r="B998" s="159" t="s">
        <v>478</v>
      </c>
    </row>
    <row r="999" spans="1:2" x14ac:dyDescent="0.2">
      <c r="A999" s="159">
        <v>10079893</v>
      </c>
      <c r="B999" s="159" t="s">
        <v>479</v>
      </c>
    </row>
    <row r="1000" spans="1:2" x14ac:dyDescent="0.2">
      <c r="A1000" s="159">
        <v>10079901</v>
      </c>
      <c r="B1000" s="159" t="s">
        <v>2076</v>
      </c>
    </row>
    <row r="1001" spans="1:2" x14ac:dyDescent="0.2">
      <c r="A1001" s="159">
        <v>10079902</v>
      </c>
      <c r="B1001" s="159" t="s">
        <v>470</v>
      </c>
    </row>
    <row r="1002" spans="1:2" x14ac:dyDescent="0.2">
      <c r="A1002" s="159">
        <v>10079908</v>
      </c>
      <c r="B1002" s="159" t="s">
        <v>2077</v>
      </c>
    </row>
    <row r="1003" spans="1:2" x14ac:dyDescent="0.2">
      <c r="A1003" s="159">
        <v>10079909</v>
      </c>
      <c r="B1003" s="159" t="s">
        <v>2078</v>
      </c>
    </row>
    <row r="1004" spans="1:2" x14ac:dyDescent="0.2">
      <c r="A1004" s="159">
        <v>10079910</v>
      </c>
      <c r="B1004" s="159" t="s">
        <v>481</v>
      </c>
    </row>
    <row r="1005" spans="1:2" x14ac:dyDescent="0.2">
      <c r="A1005" s="159">
        <v>10079911</v>
      </c>
      <c r="B1005" s="159" t="s">
        <v>485</v>
      </c>
    </row>
    <row r="1006" spans="1:2" x14ac:dyDescent="0.2">
      <c r="A1006" s="159">
        <v>10079912</v>
      </c>
      <c r="B1006" s="159" t="s">
        <v>488</v>
      </c>
    </row>
    <row r="1007" spans="1:2" x14ac:dyDescent="0.2">
      <c r="A1007" s="159">
        <v>10079913</v>
      </c>
      <c r="B1007" s="159" t="s">
        <v>486</v>
      </c>
    </row>
    <row r="1008" spans="1:2" x14ac:dyDescent="0.2">
      <c r="A1008" s="159">
        <v>10079915</v>
      </c>
      <c r="B1008" s="159" t="s">
        <v>484</v>
      </c>
    </row>
    <row r="1009" spans="1:2" x14ac:dyDescent="0.2">
      <c r="A1009" s="159">
        <v>10079916</v>
      </c>
      <c r="B1009" s="159" t="s">
        <v>573</v>
      </c>
    </row>
    <row r="1010" spans="1:2" x14ac:dyDescent="0.2">
      <c r="A1010" s="159">
        <v>10079920</v>
      </c>
      <c r="B1010" s="159" t="s">
        <v>490</v>
      </c>
    </row>
    <row r="1011" spans="1:2" x14ac:dyDescent="0.2">
      <c r="A1011" s="159">
        <v>10079925</v>
      </c>
      <c r="B1011" s="159" t="s">
        <v>487</v>
      </c>
    </row>
    <row r="1012" spans="1:2" x14ac:dyDescent="0.2">
      <c r="A1012" s="159">
        <v>10079929</v>
      </c>
      <c r="B1012" s="159" t="s">
        <v>489</v>
      </c>
    </row>
    <row r="1013" spans="1:2" x14ac:dyDescent="0.2">
      <c r="A1013" s="159">
        <v>10079936</v>
      </c>
      <c r="B1013" s="159" t="s">
        <v>504</v>
      </c>
    </row>
    <row r="1014" spans="1:2" x14ac:dyDescent="0.2">
      <c r="A1014" s="159">
        <v>10079937</v>
      </c>
      <c r="B1014" s="159" t="s">
        <v>505</v>
      </c>
    </row>
    <row r="1015" spans="1:2" x14ac:dyDescent="0.2">
      <c r="A1015" s="159">
        <v>10079939</v>
      </c>
      <c r="B1015" s="159" t="s">
        <v>2100</v>
      </c>
    </row>
    <row r="1016" spans="1:2" x14ac:dyDescent="0.2">
      <c r="A1016" s="159">
        <v>10079940</v>
      </c>
      <c r="B1016" s="159" t="s">
        <v>646</v>
      </c>
    </row>
    <row r="1017" spans="1:2" x14ac:dyDescent="0.2">
      <c r="A1017" s="159">
        <v>10079942</v>
      </c>
      <c r="B1017" s="159" t="s">
        <v>503</v>
      </c>
    </row>
    <row r="1018" spans="1:2" x14ac:dyDescent="0.2">
      <c r="A1018" s="159">
        <v>10079945</v>
      </c>
      <c r="B1018" s="159" t="s">
        <v>506</v>
      </c>
    </row>
    <row r="1019" spans="1:2" x14ac:dyDescent="0.2">
      <c r="A1019" s="159">
        <v>10079948</v>
      </c>
      <c r="B1019" s="159" t="s">
        <v>516</v>
      </c>
    </row>
    <row r="1020" spans="1:2" x14ac:dyDescent="0.2">
      <c r="A1020" s="159">
        <v>10079951</v>
      </c>
      <c r="B1020" s="159" t="s">
        <v>569</v>
      </c>
    </row>
    <row r="1021" spans="1:2" x14ac:dyDescent="0.2">
      <c r="A1021" s="159">
        <v>10079953</v>
      </c>
      <c r="B1021" s="159" t="s">
        <v>570</v>
      </c>
    </row>
    <row r="1022" spans="1:2" x14ac:dyDescent="0.2">
      <c r="A1022" s="159">
        <v>10079957</v>
      </c>
      <c r="B1022" s="159" t="s">
        <v>575</v>
      </c>
    </row>
    <row r="1023" spans="1:2" x14ac:dyDescent="0.2">
      <c r="A1023" s="159">
        <v>10079958</v>
      </c>
      <c r="B1023" s="159" t="s">
        <v>577</v>
      </c>
    </row>
    <row r="1024" spans="1:2" x14ac:dyDescent="0.2">
      <c r="A1024" s="159">
        <v>10079959</v>
      </c>
      <c r="B1024" s="159" t="s">
        <v>568</v>
      </c>
    </row>
    <row r="1025" spans="1:2" x14ac:dyDescent="0.2">
      <c r="A1025" s="159">
        <v>10079960</v>
      </c>
      <c r="B1025" s="159" t="s">
        <v>576</v>
      </c>
    </row>
    <row r="1026" spans="1:2" x14ac:dyDescent="0.2">
      <c r="A1026" s="159">
        <v>10079968</v>
      </c>
      <c r="B1026" s="159" t="s">
        <v>578</v>
      </c>
    </row>
    <row r="1027" spans="1:2" x14ac:dyDescent="0.2">
      <c r="A1027" s="159">
        <v>10079969</v>
      </c>
      <c r="B1027" s="159" t="s">
        <v>571</v>
      </c>
    </row>
    <row r="1028" spans="1:2" x14ac:dyDescent="0.2">
      <c r="A1028" s="159">
        <v>10079970</v>
      </c>
      <c r="B1028" s="159" t="s">
        <v>572</v>
      </c>
    </row>
    <row r="1029" spans="1:2" x14ac:dyDescent="0.2">
      <c r="A1029" s="159">
        <v>10079971</v>
      </c>
      <c r="B1029" s="159" t="s">
        <v>574</v>
      </c>
    </row>
    <row r="1030" spans="1:2" x14ac:dyDescent="0.2">
      <c r="A1030" s="159">
        <v>10079972</v>
      </c>
      <c r="B1030" s="159" t="s">
        <v>677</v>
      </c>
    </row>
    <row r="1031" spans="1:2" x14ac:dyDescent="0.2">
      <c r="A1031" s="159">
        <v>10079974</v>
      </c>
      <c r="B1031" s="159" t="s">
        <v>2167</v>
      </c>
    </row>
    <row r="1032" spans="1:2" x14ac:dyDescent="0.2">
      <c r="A1032" s="159">
        <v>10079975</v>
      </c>
      <c r="B1032" s="159" t="s">
        <v>649</v>
      </c>
    </row>
    <row r="1033" spans="1:2" x14ac:dyDescent="0.2">
      <c r="A1033" s="159">
        <v>10079976</v>
      </c>
      <c r="B1033" s="159" t="s">
        <v>650</v>
      </c>
    </row>
    <row r="1034" spans="1:2" x14ac:dyDescent="0.2">
      <c r="A1034" s="159">
        <v>10079977</v>
      </c>
      <c r="B1034" s="159" t="s">
        <v>651</v>
      </c>
    </row>
    <row r="1035" spans="1:2" x14ac:dyDescent="0.2">
      <c r="A1035" s="159">
        <v>10079979</v>
      </c>
      <c r="B1035" s="159" t="s">
        <v>652</v>
      </c>
    </row>
    <row r="1036" spans="1:2" x14ac:dyDescent="0.2">
      <c r="A1036" s="159">
        <v>10079980</v>
      </c>
      <c r="B1036" s="159" t="s">
        <v>653</v>
      </c>
    </row>
    <row r="1037" spans="1:2" x14ac:dyDescent="0.2">
      <c r="A1037" s="159">
        <v>10079983</v>
      </c>
      <c r="B1037" s="159" t="s">
        <v>654</v>
      </c>
    </row>
    <row r="1038" spans="1:2" x14ac:dyDescent="0.2">
      <c r="A1038" s="159">
        <v>10079984</v>
      </c>
      <c r="B1038" s="159" t="s">
        <v>655</v>
      </c>
    </row>
    <row r="1039" spans="1:2" x14ac:dyDescent="0.2">
      <c r="A1039" s="159">
        <v>10079985</v>
      </c>
      <c r="B1039" s="159" t="s">
        <v>2168</v>
      </c>
    </row>
    <row r="1040" spans="1:2" x14ac:dyDescent="0.2">
      <c r="A1040" s="159">
        <v>10079987</v>
      </c>
      <c r="B1040" s="159" t="s">
        <v>2169</v>
      </c>
    </row>
    <row r="1041" spans="1:2" x14ac:dyDescent="0.2">
      <c r="A1041" s="159">
        <v>10079988</v>
      </c>
      <c r="B1041" s="159" t="s">
        <v>645</v>
      </c>
    </row>
    <row r="1042" spans="1:2" x14ac:dyDescent="0.2">
      <c r="A1042" s="159">
        <v>10079989</v>
      </c>
      <c r="B1042" s="159" t="s">
        <v>2170</v>
      </c>
    </row>
    <row r="1043" spans="1:2" x14ac:dyDescent="0.2">
      <c r="A1043" s="159">
        <v>10079990</v>
      </c>
      <c r="B1043" s="159" t="s">
        <v>2171</v>
      </c>
    </row>
    <row r="1044" spans="1:2" x14ac:dyDescent="0.2">
      <c r="A1044" s="159">
        <v>10079992</v>
      </c>
      <c r="B1044" s="159" t="s">
        <v>2173</v>
      </c>
    </row>
    <row r="1045" spans="1:2" x14ac:dyDescent="0.2">
      <c r="A1045" s="159">
        <v>10079993</v>
      </c>
      <c r="B1045" s="159" t="s">
        <v>662</v>
      </c>
    </row>
    <row r="1046" spans="1:2" x14ac:dyDescent="0.2">
      <c r="A1046" s="159">
        <v>10079994</v>
      </c>
      <c r="B1046" s="159" t="s">
        <v>660</v>
      </c>
    </row>
    <row r="1047" spans="1:2" x14ac:dyDescent="0.2">
      <c r="A1047" s="159">
        <v>10079995</v>
      </c>
      <c r="B1047" s="159" t="s">
        <v>657</v>
      </c>
    </row>
    <row r="1048" spans="1:2" x14ac:dyDescent="0.2">
      <c r="A1048" s="159">
        <v>10079996</v>
      </c>
      <c r="B1048" s="159" t="s">
        <v>661</v>
      </c>
    </row>
    <row r="1049" spans="1:2" x14ac:dyDescent="0.2">
      <c r="A1049" s="159">
        <v>10079997</v>
      </c>
      <c r="B1049" s="159" t="s">
        <v>664</v>
      </c>
    </row>
    <row r="1050" spans="1:2" x14ac:dyDescent="0.2">
      <c r="A1050" s="159">
        <v>10079998</v>
      </c>
      <c r="B1050" s="159" t="s">
        <v>2180</v>
      </c>
    </row>
    <row r="1051" spans="1:2" x14ac:dyDescent="0.2">
      <c r="A1051" s="159">
        <v>10079999</v>
      </c>
      <c r="B1051" s="159" t="s">
        <v>663</v>
      </c>
    </row>
    <row r="1052" spans="1:2" x14ac:dyDescent="0.2">
      <c r="A1052" s="159">
        <v>10080001</v>
      </c>
      <c r="B1052" s="159" t="s">
        <v>666</v>
      </c>
    </row>
    <row r="1053" spans="1:2" x14ac:dyDescent="0.2">
      <c r="A1053" s="159">
        <v>10080002</v>
      </c>
      <c r="B1053" s="159" t="s">
        <v>2181</v>
      </c>
    </row>
    <row r="1054" spans="1:2" x14ac:dyDescent="0.2">
      <c r="A1054" s="159">
        <v>10080003</v>
      </c>
      <c r="B1054" s="159" t="s">
        <v>2182</v>
      </c>
    </row>
    <row r="1055" spans="1:2" x14ac:dyDescent="0.2">
      <c r="A1055" s="159">
        <v>10080005</v>
      </c>
      <c r="B1055" s="159" t="s">
        <v>669</v>
      </c>
    </row>
    <row r="1056" spans="1:2" x14ac:dyDescent="0.2">
      <c r="A1056" s="159">
        <v>10080006</v>
      </c>
      <c r="B1056" s="159" t="s">
        <v>668</v>
      </c>
    </row>
    <row r="1057" spans="1:2" x14ac:dyDescent="0.2">
      <c r="A1057" s="159">
        <v>10080008</v>
      </c>
      <c r="B1057" s="159" t="s">
        <v>678</v>
      </c>
    </row>
    <row r="1058" spans="1:2" x14ac:dyDescent="0.2">
      <c r="A1058" s="159">
        <v>10080009</v>
      </c>
      <c r="B1058" s="159" t="s">
        <v>679</v>
      </c>
    </row>
    <row r="1059" spans="1:2" x14ac:dyDescent="0.2">
      <c r="A1059" s="159">
        <v>10080011</v>
      </c>
      <c r="B1059" s="159" t="s">
        <v>725</v>
      </c>
    </row>
    <row r="1060" spans="1:2" x14ac:dyDescent="0.2">
      <c r="A1060" s="159">
        <v>10080012</v>
      </c>
      <c r="B1060" s="159" t="s">
        <v>727</v>
      </c>
    </row>
    <row r="1061" spans="1:2" x14ac:dyDescent="0.2">
      <c r="A1061" s="159">
        <v>10080013</v>
      </c>
      <c r="B1061" s="159" t="s">
        <v>726</v>
      </c>
    </row>
    <row r="1062" spans="1:2" x14ac:dyDescent="0.2">
      <c r="A1062" s="159">
        <v>10080015</v>
      </c>
      <c r="B1062" s="159" t="s">
        <v>728</v>
      </c>
    </row>
    <row r="1063" spans="1:2" x14ac:dyDescent="0.2">
      <c r="A1063" s="159">
        <v>10080016</v>
      </c>
      <c r="B1063" s="159" t="s">
        <v>2183</v>
      </c>
    </row>
    <row r="1064" spans="1:2" x14ac:dyDescent="0.2">
      <c r="A1064" s="159">
        <v>10080018</v>
      </c>
      <c r="B1064" s="159" t="s">
        <v>2184</v>
      </c>
    </row>
    <row r="1065" spans="1:2" x14ac:dyDescent="0.2">
      <c r="A1065" s="159">
        <v>10080019</v>
      </c>
      <c r="B1065" s="159" t="s">
        <v>2185</v>
      </c>
    </row>
    <row r="1066" spans="1:2" x14ac:dyDescent="0.2">
      <c r="A1066" s="159">
        <v>10080021</v>
      </c>
      <c r="B1066" s="159" t="s">
        <v>2186</v>
      </c>
    </row>
    <row r="1067" spans="1:2" x14ac:dyDescent="0.2">
      <c r="A1067" s="159">
        <v>10080023</v>
      </c>
      <c r="B1067" s="159" t="s">
        <v>2187</v>
      </c>
    </row>
    <row r="1068" spans="1:2" x14ac:dyDescent="0.2">
      <c r="A1068" s="159">
        <v>10080024</v>
      </c>
      <c r="B1068" s="159" t="s">
        <v>2188</v>
      </c>
    </row>
    <row r="1069" spans="1:2" x14ac:dyDescent="0.2">
      <c r="A1069" s="159">
        <v>10080026</v>
      </c>
      <c r="B1069" s="159" t="s">
        <v>2195</v>
      </c>
    </row>
    <row r="1070" spans="1:2" x14ac:dyDescent="0.2">
      <c r="A1070" s="159">
        <v>10080027</v>
      </c>
      <c r="B1070" s="159" t="s">
        <v>2197</v>
      </c>
    </row>
    <row r="1071" spans="1:2" x14ac:dyDescent="0.2">
      <c r="A1071" s="159">
        <v>10086315</v>
      </c>
      <c r="B1071" s="159" t="s">
        <v>159</v>
      </c>
    </row>
    <row r="1072" spans="1:2" x14ac:dyDescent="0.2">
      <c r="A1072" s="159">
        <v>10088021</v>
      </c>
      <c r="B1072" s="159" t="s">
        <v>101</v>
      </c>
    </row>
    <row r="1073" spans="1:2" x14ac:dyDescent="0.2">
      <c r="A1073" s="159">
        <v>10088205</v>
      </c>
      <c r="B1073" s="159" t="s">
        <v>2263</v>
      </c>
    </row>
    <row r="1074" spans="1:2" x14ac:dyDescent="0.2">
      <c r="A1074" s="159">
        <v>10088711</v>
      </c>
      <c r="B1074" s="159" t="s">
        <v>1251</v>
      </c>
    </row>
    <row r="1075" spans="1:2" x14ac:dyDescent="0.2">
      <c r="A1075" s="159">
        <v>10088790</v>
      </c>
      <c r="B1075" s="159" t="s">
        <v>145</v>
      </c>
    </row>
    <row r="1076" spans="1:2" x14ac:dyDescent="0.2">
      <c r="A1076" s="159">
        <v>10088950</v>
      </c>
      <c r="B1076" s="159" t="s">
        <v>146</v>
      </c>
    </row>
    <row r="1077" spans="1:2" x14ac:dyDescent="0.2">
      <c r="A1077" s="159">
        <v>10089494</v>
      </c>
      <c r="B1077" s="159" t="s">
        <v>1783</v>
      </c>
    </row>
    <row r="1078" spans="1:2" x14ac:dyDescent="0.2">
      <c r="A1078" s="159">
        <v>10089540</v>
      </c>
      <c r="B1078" s="159" t="s">
        <v>164</v>
      </c>
    </row>
    <row r="1079" spans="1:2" x14ac:dyDescent="0.2">
      <c r="A1079" s="159">
        <v>10089683</v>
      </c>
      <c r="B1079" s="159" t="s">
        <v>165</v>
      </c>
    </row>
    <row r="1080" spans="1:2" x14ac:dyDescent="0.2">
      <c r="A1080" s="159">
        <v>10089778</v>
      </c>
      <c r="B1080" s="159" t="s">
        <v>152</v>
      </c>
    </row>
    <row r="1081" spans="1:2" x14ac:dyDescent="0.2">
      <c r="A1081" s="159">
        <v>10109419</v>
      </c>
      <c r="B1081" s="159" t="s">
        <v>920</v>
      </c>
    </row>
    <row r="1082" spans="1:2" x14ac:dyDescent="0.2">
      <c r="A1082" s="159">
        <v>10111681</v>
      </c>
      <c r="B1082" s="159" t="s">
        <v>59</v>
      </c>
    </row>
    <row r="1083" spans="1:2" x14ac:dyDescent="0.2">
      <c r="A1083" s="159">
        <v>10115934</v>
      </c>
      <c r="B1083" s="159" t="s">
        <v>927</v>
      </c>
    </row>
    <row r="1084" spans="1:2" x14ac:dyDescent="0.2">
      <c r="A1084" s="159">
        <v>10120707</v>
      </c>
      <c r="B1084" s="159" t="s">
        <v>381</v>
      </c>
    </row>
    <row r="1085" spans="1:2" x14ac:dyDescent="0.2">
      <c r="A1085" s="159">
        <v>10130529</v>
      </c>
      <c r="B1085" s="159" t="s">
        <v>969</v>
      </c>
    </row>
    <row r="1086" spans="1:2" x14ac:dyDescent="0.2">
      <c r="A1086" s="159">
        <v>10159253</v>
      </c>
      <c r="B1086" s="159" t="s">
        <v>1037</v>
      </c>
    </row>
    <row r="1087" spans="1:2" x14ac:dyDescent="0.2">
      <c r="A1087" s="159">
        <v>10173417</v>
      </c>
      <c r="B1087" s="159" t="s">
        <v>1105</v>
      </c>
    </row>
    <row r="1088" spans="1:2" x14ac:dyDescent="0.2">
      <c r="A1088" s="159">
        <v>10177055</v>
      </c>
      <c r="B1088" s="159" t="s">
        <v>1107</v>
      </c>
    </row>
    <row r="1089" spans="1:2" x14ac:dyDescent="0.2">
      <c r="A1089" s="159">
        <v>10177119</v>
      </c>
      <c r="B1089" s="159" t="s">
        <v>1127</v>
      </c>
    </row>
    <row r="1090" spans="1:2" x14ac:dyDescent="0.2">
      <c r="A1090" s="159">
        <v>10177244</v>
      </c>
      <c r="B1090" s="159" t="s">
        <v>1136</v>
      </c>
    </row>
    <row r="1091" spans="1:2" x14ac:dyDescent="0.2">
      <c r="A1091" s="159">
        <v>10177316</v>
      </c>
      <c r="B1091" s="159" t="s">
        <v>1139</v>
      </c>
    </row>
    <row r="1092" spans="1:2" x14ac:dyDescent="0.2">
      <c r="A1092" s="159">
        <v>10177544</v>
      </c>
      <c r="B1092" s="159" t="s">
        <v>1143</v>
      </c>
    </row>
    <row r="1093" spans="1:2" x14ac:dyDescent="0.2">
      <c r="A1093" s="159">
        <v>10177755</v>
      </c>
      <c r="B1093" s="159" t="s">
        <v>1152</v>
      </c>
    </row>
    <row r="1094" spans="1:2" x14ac:dyDescent="0.2">
      <c r="A1094" s="159">
        <v>10177823</v>
      </c>
      <c r="B1094" s="159" t="s">
        <v>1154</v>
      </c>
    </row>
    <row r="1095" spans="1:2" x14ac:dyDescent="0.2">
      <c r="A1095" s="159">
        <v>10178021</v>
      </c>
      <c r="B1095" s="159" t="s">
        <v>1155</v>
      </c>
    </row>
    <row r="1096" spans="1:2" x14ac:dyDescent="0.2">
      <c r="A1096" s="159">
        <v>10178022</v>
      </c>
      <c r="B1096" s="159" t="s">
        <v>1224</v>
      </c>
    </row>
    <row r="1097" spans="1:2" x14ac:dyDescent="0.2">
      <c r="A1097" s="159">
        <v>10178521</v>
      </c>
      <c r="B1097" s="159" t="s">
        <v>1239</v>
      </c>
    </row>
    <row r="1098" spans="1:2" x14ac:dyDescent="0.2">
      <c r="A1098" s="159">
        <v>10178584</v>
      </c>
      <c r="B1098" s="159" t="s">
        <v>1242</v>
      </c>
    </row>
    <row r="1099" spans="1:2" x14ac:dyDescent="0.2">
      <c r="A1099" s="159">
        <v>10178585</v>
      </c>
      <c r="B1099" s="159" t="s">
        <v>1244</v>
      </c>
    </row>
    <row r="1100" spans="1:2" x14ac:dyDescent="0.2">
      <c r="A1100" s="159">
        <v>10178587</v>
      </c>
      <c r="B1100" s="159" t="s">
        <v>1245</v>
      </c>
    </row>
    <row r="1101" spans="1:2" x14ac:dyDescent="0.2">
      <c r="A1101" s="159">
        <v>10178615</v>
      </c>
      <c r="B1101" s="159" t="s">
        <v>1247</v>
      </c>
    </row>
    <row r="1102" spans="1:2" x14ac:dyDescent="0.2">
      <c r="A1102" s="159">
        <v>10178689</v>
      </c>
      <c r="B1102" s="159" t="s">
        <v>135</v>
      </c>
    </row>
    <row r="1103" spans="1:2" x14ac:dyDescent="0.2">
      <c r="A1103" s="159">
        <v>10178731</v>
      </c>
      <c r="B1103" s="159" t="s">
        <v>318</v>
      </c>
    </row>
    <row r="1104" spans="1:2" x14ac:dyDescent="0.2">
      <c r="A1104" s="159">
        <v>10178742</v>
      </c>
      <c r="B1104" s="159" t="s">
        <v>196</v>
      </c>
    </row>
    <row r="1105" spans="1:2" x14ac:dyDescent="0.2">
      <c r="A1105" s="159">
        <v>10178754</v>
      </c>
      <c r="B1105" s="159" t="s">
        <v>1370</v>
      </c>
    </row>
    <row r="1106" spans="1:2" x14ac:dyDescent="0.2">
      <c r="A1106" s="159">
        <v>10178757</v>
      </c>
      <c r="B1106" s="159" t="s">
        <v>1372</v>
      </c>
    </row>
    <row r="1107" spans="1:2" x14ac:dyDescent="0.2">
      <c r="A1107" s="159">
        <v>10178790</v>
      </c>
      <c r="B1107" s="159" t="s">
        <v>1375</v>
      </c>
    </row>
    <row r="1108" spans="1:2" x14ac:dyDescent="0.2">
      <c r="A1108" s="159">
        <v>10178806</v>
      </c>
      <c r="B1108" s="159" t="s">
        <v>1465</v>
      </c>
    </row>
    <row r="1109" spans="1:2" x14ac:dyDescent="0.2">
      <c r="A1109" s="159">
        <v>10178863</v>
      </c>
      <c r="B1109" s="159" t="s">
        <v>81</v>
      </c>
    </row>
    <row r="1110" spans="1:2" x14ac:dyDescent="0.2">
      <c r="A1110" s="159">
        <v>10178884</v>
      </c>
      <c r="B1110" s="159" t="s">
        <v>1469</v>
      </c>
    </row>
    <row r="1111" spans="1:2" x14ac:dyDescent="0.2">
      <c r="A1111" s="159">
        <v>10178926</v>
      </c>
      <c r="B1111" s="159" t="s">
        <v>174</v>
      </c>
    </row>
    <row r="1112" spans="1:2" x14ac:dyDescent="0.2">
      <c r="A1112" s="159">
        <v>10178940</v>
      </c>
      <c r="B1112" s="159" t="s">
        <v>222</v>
      </c>
    </row>
    <row r="1113" spans="1:2" x14ac:dyDescent="0.2">
      <c r="A1113" s="159">
        <v>10178950</v>
      </c>
      <c r="B1113" s="159" t="s">
        <v>1375</v>
      </c>
    </row>
    <row r="1114" spans="1:2" x14ac:dyDescent="0.2">
      <c r="A1114" s="159">
        <v>10178980</v>
      </c>
      <c r="B1114" s="159" t="s">
        <v>1474</v>
      </c>
    </row>
    <row r="1115" spans="1:2" x14ac:dyDescent="0.2">
      <c r="A1115" s="159">
        <v>10179010</v>
      </c>
      <c r="B1115" s="159" t="s">
        <v>85</v>
      </c>
    </row>
    <row r="1116" spans="1:2" x14ac:dyDescent="0.2">
      <c r="A1116" s="159">
        <v>10179074</v>
      </c>
      <c r="B1116" s="159" t="s">
        <v>1479</v>
      </c>
    </row>
    <row r="1117" spans="1:2" x14ac:dyDescent="0.2">
      <c r="A1117" s="159">
        <v>10179084</v>
      </c>
      <c r="B1117" s="159" t="s">
        <v>384</v>
      </c>
    </row>
    <row r="1118" spans="1:2" x14ac:dyDescent="0.2">
      <c r="A1118" s="159">
        <v>10179110</v>
      </c>
      <c r="B1118" s="159" t="s">
        <v>119</v>
      </c>
    </row>
    <row r="1119" spans="1:2" x14ac:dyDescent="0.2">
      <c r="A1119" s="159">
        <v>10179130</v>
      </c>
      <c r="B1119" s="159" t="s">
        <v>1517</v>
      </c>
    </row>
    <row r="1120" spans="1:2" x14ac:dyDescent="0.2">
      <c r="A1120" s="159">
        <v>10179136</v>
      </c>
      <c r="B1120" s="159" t="s">
        <v>176</v>
      </c>
    </row>
    <row r="1121" spans="1:2" x14ac:dyDescent="0.2">
      <c r="A1121" s="159">
        <v>10179139</v>
      </c>
      <c r="B1121" s="159" t="s">
        <v>1552</v>
      </c>
    </row>
    <row r="1122" spans="1:2" x14ac:dyDescent="0.2">
      <c r="A1122" s="159">
        <v>10179147</v>
      </c>
      <c r="B1122" s="159" t="s">
        <v>1559</v>
      </c>
    </row>
    <row r="1123" spans="1:2" x14ac:dyDescent="0.2">
      <c r="A1123" s="159">
        <v>10179155</v>
      </c>
      <c r="B1123" s="159" t="s">
        <v>271</v>
      </c>
    </row>
    <row r="1124" spans="1:2" x14ac:dyDescent="0.2">
      <c r="A1124" s="159">
        <v>10179169</v>
      </c>
      <c r="B1124" s="159" t="s">
        <v>224</v>
      </c>
    </row>
    <row r="1125" spans="1:2" x14ac:dyDescent="0.2">
      <c r="A1125" s="159">
        <v>10179218</v>
      </c>
      <c r="B1125" s="159" t="s">
        <v>1636</v>
      </c>
    </row>
    <row r="1126" spans="1:2" x14ac:dyDescent="0.2">
      <c r="A1126" s="159">
        <v>10179234</v>
      </c>
      <c r="B1126" s="159" t="s">
        <v>1644</v>
      </c>
    </row>
    <row r="1127" spans="1:2" x14ac:dyDescent="0.2">
      <c r="A1127" s="159">
        <v>10179235</v>
      </c>
      <c r="B1127" s="159" t="s">
        <v>1645</v>
      </c>
    </row>
    <row r="1128" spans="1:2" x14ac:dyDescent="0.2">
      <c r="A1128" s="159">
        <v>10179252</v>
      </c>
      <c r="B1128" s="159" t="s">
        <v>1685</v>
      </c>
    </row>
    <row r="1129" spans="1:2" x14ac:dyDescent="0.2">
      <c r="A1129" s="159">
        <v>10179253</v>
      </c>
      <c r="B1129" s="159" t="s">
        <v>1686</v>
      </c>
    </row>
    <row r="1130" spans="1:2" x14ac:dyDescent="0.2">
      <c r="A1130" s="159">
        <v>10179274</v>
      </c>
      <c r="B1130" s="159" t="s">
        <v>1687</v>
      </c>
    </row>
    <row r="1131" spans="1:2" x14ac:dyDescent="0.2">
      <c r="A1131" s="159">
        <v>10179285</v>
      </c>
      <c r="B1131" s="159" t="s">
        <v>334</v>
      </c>
    </row>
    <row r="1132" spans="1:2" x14ac:dyDescent="0.2">
      <c r="A1132" s="159">
        <v>10179286</v>
      </c>
      <c r="B1132" s="159" t="s">
        <v>1691</v>
      </c>
    </row>
    <row r="1133" spans="1:2" x14ac:dyDescent="0.2">
      <c r="A1133" s="159">
        <v>10179297</v>
      </c>
      <c r="B1133" s="159" t="s">
        <v>1696</v>
      </c>
    </row>
    <row r="1134" spans="1:2" x14ac:dyDescent="0.2">
      <c r="A1134" s="159">
        <v>10179315</v>
      </c>
      <c r="B1134" s="159" t="s">
        <v>336</v>
      </c>
    </row>
    <row r="1135" spans="1:2" x14ac:dyDescent="0.2">
      <c r="A1135" s="159">
        <v>10179323</v>
      </c>
      <c r="B1135" s="159" t="s">
        <v>1745</v>
      </c>
    </row>
    <row r="1136" spans="1:2" x14ac:dyDescent="0.2">
      <c r="A1136" s="159">
        <v>10179329</v>
      </c>
      <c r="B1136" s="159" t="s">
        <v>320</v>
      </c>
    </row>
    <row r="1137" spans="1:2" x14ac:dyDescent="0.2">
      <c r="A1137" s="159">
        <v>10179333</v>
      </c>
      <c r="B1137" s="159" t="s">
        <v>1749</v>
      </c>
    </row>
    <row r="1138" spans="1:2" x14ac:dyDescent="0.2">
      <c r="A1138" s="159">
        <v>10179336</v>
      </c>
      <c r="B1138" s="159" t="s">
        <v>179</v>
      </c>
    </row>
    <row r="1139" spans="1:2" x14ac:dyDescent="0.2">
      <c r="A1139" s="159">
        <v>10179343</v>
      </c>
      <c r="B1139" s="159" t="s">
        <v>180</v>
      </c>
    </row>
    <row r="1140" spans="1:2" x14ac:dyDescent="0.2">
      <c r="A1140" s="159">
        <v>10179345</v>
      </c>
      <c r="B1140" s="159" t="s">
        <v>255</v>
      </c>
    </row>
    <row r="1141" spans="1:2" x14ac:dyDescent="0.2">
      <c r="A1141" s="159">
        <v>10179348</v>
      </c>
      <c r="B1141" s="159" t="s">
        <v>1750</v>
      </c>
    </row>
    <row r="1142" spans="1:2" x14ac:dyDescent="0.2">
      <c r="A1142" s="159">
        <v>10179382</v>
      </c>
      <c r="B1142" s="159" t="s">
        <v>181</v>
      </c>
    </row>
    <row r="1143" spans="1:2" x14ac:dyDescent="0.2">
      <c r="A1143" s="159">
        <v>10179386</v>
      </c>
      <c r="B1143" s="159" t="s">
        <v>96</v>
      </c>
    </row>
    <row r="1144" spans="1:2" x14ac:dyDescent="0.2">
      <c r="A1144" s="159">
        <v>10179391</v>
      </c>
      <c r="B1144" s="159" t="s">
        <v>1754</v>
      </c>
    </row>
    <row r="1145" spans="1:2" x14ac:dyDescent="0.2">
      <c r="A1145" s="159">
        <v>10179397</v>
      </c>
      <c r="B1145" s="159" t="s">
        <v>337</v>
      </c>
    </row>
    <row r="1146" spans="1:2" x14ac:dyDescent="0.2">
      <c r="A1146" s="159">
        <v>10179427</v>
      </c>
      <c r="B1146" s="159" t="s">
        <v>149</v>
      </c>
    </row>
    <row r="1147" spans="1:2" x14ac:dyDescent="0.2">
      <c r="A1147" s="159">
        <v>10179439</v>
      </c>
      <c r="B1147" s="159" t="s">
        <v>290</v>
      </c>
    </row>
    <row r="1148" spans="1:2" x14ac:dyDescent="0.2">
      <c r="A1148" s="159">
        <v>10179447</v>
      </c>
      <c r="B1148" s="159" t="s">
        <v>246</v>
      </c>
    </row>
    <row r="1149" spans="1:2" x14ac:dyDescent="0.2">
      <c r="A1149" s="159">
        <v>10179451</v>
      </c>
      <c r="B1149" s="159" t="s">
        <v>90</v>
      </c>
    </row>
    <row r="1150" spans="1:2" x14ac:dyDescent="0.2">
      <c r="A1150" s="159">
        <v>10179456</v>
      </c>
      <c r="B1150" s="159" t="s">
        <v>205</v>
      </c>
    </row>
    <row r="1151" spans="1:2" x14ac:dyDescent="0.2">
      <c r="A1151" s="159">
        <v>10179464</v>
      </c>
      <c r="B1151" s="159" t="s">
        <v>339</v>
      </c>
    </row>
    <row r="1152" spans="1:2" x14ac:dyDescent="0.2">
      <c r="A1152" s="159">
        <v>10179485</v>
      </c>
      <c r="B1152" s="159" t="s">
        <v>186</v>
      </c>
    </row>
    <row r="1153" spans="1:2" x14ac:dyDescent="0.2">
      <c r="A1153" s="159">
        <v>10179493</v>
      </c>
      <c r="B1153" s="159" t="s">
        <v>150</v>
      </c>
    </row>
    <row r="1154" spans="1:2" x14ac:dyDescent="0.2">
      <c r="A1154" s="159">
        <v>10179494</v>
      </c>
      <c r="B1154" s="159" t="s">
        <v>1784</v>
      </c>
    </row>
    <row r="1155" spans="1:2" x14ac:dyDescent="0.2">
      <c r="A1155" s="159">
        <v>10179498</v>
      </c>
      <c r="B1155" s="159" t="s">
        <v>1788</v>
      </c>
    </row>
    <row r="1156" spans="1:2" x14ac:dyDescent="0.2">
      <c r="A1156" s="159">
        <v>10179519</v>
      </c>
      <c r="B1156" s="159" t="s">
        <v>1791</v>
      </c>
    </row>
    <row r="1157" spans="1:2" x14ac:dyDescent="0.2">
      <c r="A1157" s="159">
        <v>10179536</v>
      </c>
      <c r="B1157" s="159" t="s">
        <v>187</v>
      </c>
    </row>
    <row r="1158" spans="1:2" x14ac:dyDescent="0.2">
      <c r="A1158" s="159">
        <v>10179550</v>
      </c>
      <c r="B1158" s="159" t="s">
        <v>1796</v>
      </c>
    </row>
    <row r="1159" spans="1:2" x14ac:dyDescent="0.2">
      <c r="A1159" s="159">
        <v>10179570</v>
      </c>
      <c r="B1159" s="159" t="s">
        <v>293</v>
      </c>
    </row>
    <row r="1160" spans="1:2" x14ac:dyDescent="0.2">
      <c r="A1160" s="159">
        <v>10179617</v>
      </c>
      <c r="B1160" s="159" t="s">
        <v>323</v>
      </c>
    </row>
    <row r="1161" spans="1:2" x14ac:dyDescent="0.2">
      <c r="A1161" s="159">
        <v>10179624</v>
      </c>
      <c r="B1161" s="159" t="s">
        <v>1801</v>
      </c>
    </row>
    <row r="1162" spans="1:2" x14ac:dyDescent="0.2">
      <c r="A1162" s="159">
        <v>10179626</v>
      </c>
      <c r="B1162" s="159" t="s">
        <v>151</v>
      </c>
    </row>
    <row r="1163" spans="1:2" x14ac:dyDescent="0.2">
      <c r="A1163" s="159">
        <v>10179651</v>
      </c>
      <c r="B1163" s="159" t="s">
        <v>247</v>
      </c>
    </row>
    <row r="1164" spans="1:2" x14ac:dyDescent="0.2">
      <c r="A1164" s="159">
        <v>10179668</v>
      </c>
      <c r="B1164" s="159" t="s">
        <v>1822</v>
      </c>
    </row>
    <row r="1165" spans="1:2" x14ac:dyDescent="0.2">
      <c r="A1165" s="159">
        <v>10179670</v>
      </c>
      <c r="B1165" s="159" t="s">
        <v>1887</v>
      </c>
    </row>
    <row r="1166" spans="1:2" x14ac:dyDescent="0.2">
      <c r="A1166" s="159">
        <v>10179694</v>
      </c>
      <c r="B1166" s="159" t="s">
        <v>1888</v>
      </c>
    </row>
    <row r="1167" spans="1:2" x14ac:dyDescent="0.2">
      <c r="A1167" s="159">
        <v>10179704</v>
      </c>
      <c r="B1167" s="159" t="s">
        <v>341</v>
      </c>
    </row>
    <row r="1168" spans="1:2" x14ac:dyDescent="0.2">
      <c r="A1168" s="159">
        <v>10179718</v>
      </c>
      <c r="B1168" s="159" t="s">
        <v>296</v>
      </c>
    </row>
    <row r="1169" spans="1:2" x14ac:dyDescent="0.2">
      <c r="A1169" s="159">
        <v>10179739</v>
      </c>
      <c r="B1169" s="159" t="s">
        <v>267</v>
      </c>
    </row>
    <row r="1170" spans="1:2" x14ac:dyDescent="0.2">
      <c r="A1170" s="159">
        <v>10179753</v>
      </c>
      <c r="B1170" s="159" t="s">
        <v>1890</v>
      </c>
    </row>
    <row r="1171" spans="1:2" x14ac:dyDescent="0.2">
      <c r="A1171" s="159">
        <v>10179755</v>
      </c>
      <c r="B1171" s="159" t="s">
        <v>1910</v>
      </c>
    </row>
    <row r="1172" spans="1:2" x14ac:dyDescent="0.2">
      <c r="A1172" s="159">
        <v>10179761</v>
      </c>
      <c r="B1172" s="159" t="s">
        <v>400</v>
      </c>
    </row>
    <row r="1173" spans="1:2" x14ac:dyDescent="0.2">
      <c r="A1173" s="159">
        <v>10179763</v>
      </c>
      <c r="B1173" s="159" t="s">
        <v>401</v>
      </c>
    </row>
    <row r="1174" spans="1:2" x14ac:dyDescent="0.2">
      <c r="A1174" s="159">
        <v>10179770</v>
      </c>
      <c r="B1174" s="159" t="s">
        <v>402</v>
      </c>
    </row>
    <row r="1175" spans="1:2" x14ac:dyDescent="0.2">
      <c r="A1175" s="159">
        <v>10179771</v>
      </c>
      <c r="B1175" s="159" t="s">
        <v>1911</v>
      </c>
    </row>
    <row r="1176" spans="1:2" x14ac:dyDescent="0.2">
      <c r="A1176" s="159">
        <v>10179778</v>
      </c>
      <c r="B1176" s="159" t="s">
        <v>1375</v>
      </c>
    </row>
    <row r="1177" spans="1:2" x14ac:dyDescent="0.2">
      <c r="A1177" s="159">
        <v>10179782</v>
      </c>
      <c r="B1177" s="159" t="s">
        <v>128</v>
      </c>
    </row>
    <row r="1178" spans="1:2" x14ac:dyDescent="0.2">
      <c r="A1178" s="159">
        <v>10179787</v>
      </c>
      <c r="B1178" s="159" t="s">
        <v>129</v>
      </c>
    </row>
    <row r="1179" spans="1:2" x14ac:dyDescent="0.2">
      <c r="A1179" s="159">
        <v>10179833</v>
      </c>
      <c r="B1179" s="159" t="s">
        <v>1953</v>
      </c>
    </row>
    <row r="1180" spans="1:2" x14ac:dyDescent="0.2">
      <c r="A1180" s="159">
        <v>10179835</v>
      </c>
      <c r="B1180" s="159" t="s">
        <v>418</v>
      </c>
    </row>
    <row r="1181" spans="1:2" x14ac:dyDescent="0.2">
      <c r="A1181" s="159">
        <v>10179837</v>
      </c>
      <c r="B1181" s="159" t="s">
        <v>1954</v>
      </c>
    </row>
    <row r="1182" spans="1:2" x14ac:dyDescent="0.2">
      <c r="A1182" s="159">
        <v>10179852</v>
      </c>
      <c r="B1182" s="159" t="s">
        <v>424</v>
      </c>
    </row>
    <row r="1183" spans="1:2" x14ac:dyDescent="0.2">
      <c r="A1183" s="159">
        <v>10179868</v>
      </c>
      <c r="B1183" s="159" t="s">
        <v>1991</v>
      </c>
    </row>
    <row r="1184" spans="1:2" x14ac:dyDescent="0.2">
      <c r="A1184" s="159">
        <v>10179872</v>
      </c>
      <c r="B1184" s="159" t="s">
        <v>2012</v>
      </c>
    </row>
    <row r="1185" spans="1:2" x14ac:dyDescent="0.2">
      <c r="A1185" s="159">
        <v>10179873</v>
      </c>
      <c r="B1185" s="159" t="s">
        <v>2020</v>
      </c>
    </row>
    <row r="1186" spans="1:2" x14ac:dyDescent="0.2">
      <c r="A1186" s="159">
        <v>10179874</v>
      </c>
      <c r="B1186" s="159" t="s">
        <v>2025</v>
      </c>
    </row>
    <row r="1187" spans="1:2" x14ac:dyDescent="0.2">
      <c r="A1187" s="159">
        <v>10179877</v>
      </c>
      <c r="B1187" s="159" t="s">
        <v>2040</v>
      </c>
    </row>
    <row r="1188" spans="1:2" x14ac:dyDescent="0.2">
      <c r="A1188" s="159">
        <v>10179885</v>
      </c>
      <c r="B1188" s="159" t="s">
        <v>2069</v>
      </c>
    </row>
    <row r="1189" spans="1:2" x14ac:dyDescent="0.2">
      <c r="A1189" s="159">
        <v>10179912</v>
      </c>
      <c r="B1189" s="159" t="s">
        <v>2079</v>
      </c>
    </row>
    <row r="1190" spans="1:2" x14ac:dyDescent="0.2">
      <c r="A1190" s="159">
        <v>10179928</v>
      </c>
      <c r="B1190" s="159" t="s">
        <v>2098</v>
      </c>
    </row>
    <row r="1191" spans="1:2" x14ac:dyDescent="0.2">
      <c r="A1191" s="159">
        <v>10179929</v>
      </c>
      <c r="B1191" s="159" t="s">
        <v>489</v>
      </c>
    </row>
    <row r="1192" spans="1:2" x14ac:dyDescent="0.2">
      <c r="A1192" s="159">
        <v>10179940</v>
      </c>
      <c r="B1192" s="159" t="s">
        <v>2101</v>
      </c>
    </row>
    <row r="1193" spans="1:2" x14ac:dyDescent="0.2">
      <c r="A1193" s="159">
        <v>10179950</v>
      </c>
      <c r="B1193" s="159" t="s">
        <v>2166</v>
      </c>
    </row>
    <row r="1194" spans="1:2" x14ac:dyDescent="0.2">
      <c r="A1194" s="159">
        <v>10179990</v>
      </c>
      <c r="B1194" s="159" t="s">
        <v>2171</v>
      </c>
    </row>
    <row r="1195" spans="1:2" x14ac:dyDescent="0.2">
      <c r="A1195" s="159">
        <v>10179992</v>
      </c>
      <c r="B1195" s="159" t="s">
        <v>2174</v>
      </c>
    </row>
    <row r="1196" spans="1:2" x14ac:dyDescent="0.2">
      <c r="A1196" s="159">
        <v>10179993</v>
      </c>
      <c r="B1196" s="159" t="s">
        <v>662</v>
      </c>
    </row>
    <row r="1197" spans="1:2" x14ac:dyDescent="0.2">
      <c r="A1197" s="159">
        <v>10180019</v>
      </c>
      <c r="B1197" s="159" t="s">
        <v>2185</v>
      </c>
    </row>
    <row r="1198" spans="1:2" x14ac:dyDescent="0.2">
      <c r="A1198" s="159">
        <v>10180024</v>
      </c>
      <c r="B1198" s="159" t="s">
        <v>2189</v>
      </c>
    </row>
    <row r="1199" spans="1:2" x14ac:dyDescent="0.2">
      <c r="A1199" s="159">
        <v>10186315</v>
      </c>
      <c r="B1199" s="159" t="s">
        <v>2198</v>
      </c>
    </row>
    <row r="1200" spans="1:2" x14ac:dyDescent="0.2">
      <c r="A1200" s="159">
        <v>10188021</v>
      </c>
      <c r="B1200" s="159" t="s">
        <v>2252</v>
      </c>
    </row>
    <row r="1201" spans="1:2" x14ac:dyDescent="0.2">
      <c r="A1201" s="159">
        <v>10189494</v>
      </c>
      <c r="B1201" s="159" t="s">
        <v>1784</v>
      </c>
    </row>
    <row r="1202" spans="1:2" x14ac:dyDescent="0.2">
      <c r="A1202" s="159">
        <v>10209419</v>
      </c>
      <c r="B1202" s="159" t="s">
        <v>920</v>
      </c>
    </row>
    <row r="1203" spans="1:2" x14ac:dyDescent="0.2">
      <c r="A1203" s="159">
        <v>10218100</v>
      </c>
      <c r="B1203" s="159" t="s">
        <v>937</v>
      </c>
    </row>
    <row r="1204" spans="1:2" x14ac:dyDescent="0.2">
      <c r="A1204" s="159">
        <v>10220707</v>
      </c>
      <c r="B1204" s="159" t="s">
        <v>381</v>
      </c>
    </row>
    <row r="1205" spans="1:2" x14ac:dyDescent="0.2">
      <c r="A1205" s="159">
        <v>10230529</v>
      </c>
      <c r="B1205" s="159" t="s">
        <v>969</v>
      </c>
    </row>
    <row r="1206" spans="1:2" x14ac:dyDescent="0.2">
      <c r="A1206" s="159">
        <v>10259253</v>
      </c>
      <c r="B1206" s="159" t="s">
        <v>1038</v>
      </c>
    </row>
    <row r="1207" spans="1:2" x14ac:dyDescent="0.2">
      <c r="A1207" s="159">
        <v>10277055</v>
      </c>
      <c r="B1207" s="159" t="s">
        <v>1108</v>
      </c>
    </row>
    <row r="1208" spans="1:2" x14ac:dyDescent="0.2">
      <c r="A1208" s="159">
        <v>10277119</v>
      </c>
      <c r="B1208" s="159" t="s">
        <v>1128</v>
      </c>
    </row>
    <row r="1209" spans="1:2" x14ac:dyDescent="0.2">
      <c r="A1209" s="159">
        <v>10277755</v>
      </c>
      <c r="B1209" s="159" t="s">
        <v>1153</v>
      </c>
    </row>
    <row r="1210" spans="1:2" x14ac:dyDescent="0.2">
      <c r="A1210" s="159">
        <v>10278021</v>
      </c>
      <c r="B1210" s="159" t="s">
        <v>1156</v>
      </c>
    </row>
    <row r="1211" spans="1:2" x14ac:dyDescent="0.2">
      <c r="A1211" s="159">
        <v>10278377</v>
      </c>
      <c r="B1211" s="159" t="s">
        <v>1231</v>
      </c>
    </row>
    <row r="1212" spans="1:2" x14ac:dyDescent="0.2">
      <c r="A1212" s="159">
        <v>10278806</v>
      </c>
      <c r="B1212" s="159" t="s">
        <v>1466</v>
      </c>
    </row>
    <row r="1213" spans="1:2" x14ac:dyDescent="0.2">
      <c r="A1213" s="159">
        <v>10278863</v>
      </c>
      <c r="B1213" s="159" t="s">
        <v>1468</v>
      </c>
    </row>
    <row r="1214" spans="1:2" x14ac:dyDescent="0.2">
      <c r="A1214" s="159">
        <v>10278926</v>
      </c>
      <c r="B1214" s="159" t="s">
        <v>174</v>
      </c>
    </row>
    <row r="1215" spans="1:2" x14ac:dyDescent="0.2">
      <c r="A1215" s="159">
        <v>10279074</v>
      </c>
      <c r="B1215" s="159" t="s">
        <v>1480</v>
      </c>
    </row>
    <row r="1216" spans="1:2" x14ac:dyDescent="0.2">
      <c r="A1216" s="159">
        <v>10279110</v>
      </c>
      <c r="B1216" s="159" t="s">
        <v>119</v>
      </c>
    </row>
    <row r="1217" spans="1:2" x14ac:dyDescent="0.2">
      <c r="A1217" s="159">
        <v>10279130</v>
      </c>
      <c r="B1217" s="159" t="s">
        <v>1518</v>
      </c>
    </row>
    <row r="1218" spans="1:2" x14ac:dyDescent="0.2">
      <c r="A1218" s="159">
        <v>10279139</v>
      </c>
      <c r="B1218" s="159" t="s">
        <v>1553</v>
      </c>
    </row>
    <row r="1219" spans="1:2" x14ac:dyDescent="0.2">
      <c r="A1219" s="159">
        <v>10279155</v>
      </c>
      <c r="B1219" s="159" t="s">
        <v>271</v>
      </c>
    </row>
    <row r="1220" spans="1:2" x14ac:dyDescent="0.2">
      <c r="A1220" s="159">
        <v>10279200</v>
      </c>
      <c r="B1220" s="159" t="s">
        <v>225</v>
      </c>
    </row>
    <row r="1221" spans="1:2" x14ac:dyDescent="0.2">
      <c r="A1221" s="159">
        <v>10279218</v>
      </c>
      <c r="B1221" s="159" t="s">
        <v>1637</v>
      </c>
    </row>
    <row r="1222" spans="1:2" x14ac:dyDescent="0.2">
      <c r="A1222" s="159">
        <v>10279235</v>
      </c>
      <c r="B1222" s="159" t="s">
        <v>147</v>
      </c>
    </row>
    <row r="1223" spans="1:2" x14ac:dyDescent="0.2">
      <c r="A1223" s="159">
        <v>10279237</v>
      </c>
      <c r="B1223" s="159" t="s">
        <v>1669</v>
      </c>
    </row>
    <row r="1224" spans="1:2" x14ac:dyDescent="0.2">
      <c r="A1224" s="159">
        <v>10279244</v>
      </c>
      <c r="B1224" s="159" t="s">
        <v>138</v>
      </c>
    </row>
    <row r="1225" spans="1:2" x14ac:dyDescent="0.2">
      <c r="A1225" s="159">
        <v>10279285</v>
      </c>
      <c r="B1225" s="159" t="s">
        <v>334</v>
      </c>
    </row>
    <row r="1226" spans="1:2" x14ac:dyDescent="0.2">
      <c r="A1226" s="159">
        <v>10279286</v>
      </c>
      <c r="B1226" s="159" t="s">
        <v>335</v>
      </c>
    </row>
    <row r="1227" spans="1:2" x14ac:dyDescent="0.2">
      <c r="A1227" s="159">
        <v>10279297</v>
      </c>
      <c r="B1227" s="159" t="s">
        <v>1697</v>
      </c>
    </row>
    <row r="1228" spans="1:2" x14ac:dyDescent="0.2">
      <c r="A1228" s="159">
        <v>10279439</v>
      </c>
      <c r="B1228" s="159" t="s">
        <v>1760</v>
      </c>
    </row>
    <row r="1229" spans="1:2" x14ac:dyDescent="0.2">
      <c r="A1229" s="159">
        <v>10279447</v>
      </c>
      <c r="B1229" s="159" t="s">
        <v>246</v>
      </c>
    </row>
    <row r="1230" spans="1:2" x14ac:dyDescent="0.2">
      <c r="A1230" s="159">
        <v>10279450</v>
      </c>
      <c r="B1230" s="159" t="s">
        <v>258</v>
      </c>
    </row>
    <row r="1231" spans="1:2" x14ac:dyDescent="0.2">
      <c r="A1231" s="159">
        <v>10279453</v>
      </c>
      <c r="B1231" s="159" t="s">
        <v>184</v>
      </c>
    </row>
    <row r="1232" spans="1:2" x14ac:dyDescent="0.2">
      <c r="A1232" s="159">
        <v>10279494</v>
      </c>
      <c r="B1232" s="159" t="s">
        <v>1785</v>
      </c>
    </row>
    <row r="1233" spans="1:2" x14ac:dyDescent="0.2">
      <c r="A1233" s="159">
        <v>10279498</v>
      </c>
      <c r="B1233" s="159" t="s">
        <v>1789</v>
      </c>
    </row>
    <row r="1234" spans="1:2" x14ac:dyDescent="0.2">
      <c r="A1234" s="159">
        <v>10279549</v>
      </c>
      <c r="B1234" s="159" t="s">
        <v>157</v>
      </c>
    </row>
    <row r="1235" spans="1:2" x14ac:dyDescent="0.2">
      <c r="A1235" s="159">
        <v>10279550</v>
      </c>
      <c r="B1235" s="159" t="s">
        <v>92</v>
      </c>
    </row>
    <row r="1236" spans="1:2" x14ac:dyDescent="0.2">
      <c r="A1236" s="159">
        <v>10279581</v>
      </c>
      <c r="B1236" s="159" t="s">
        <v>388</v>
      </c>
    </row>
    <row r="1237" spans="1:2" x14ac:dyDescent="0.2">
      <c r="A1237" s="159">
        <v>10279624</v>
      </c>
      <c r="B1237" s="159" t="s">
        <v>1802</v>
      </c>
    </row>
    <row r="1238" spans="1:2" x14ac:dyDescent="0.2">
      <c r="A1238" s="159">
        <v>10279668</v>
      </c>
      <c r="B1238" s="159" t="s">
        <v>1823</v>
      </c>
    </row>
    <row r="1239" spans="1:2" x14ac:dyDescent="0.2">
      <c r="A1239" s="159">
        <v>10279753</v>
      </c>
      <c r="B1239" s="159" t="s">
        <v>1891</v>
      </c>
    </row>
    <row r="1240" spans="1:2" x14ac:dyDescent="0.2">
      <c r="A1240" s="159">
        <v>10279771</v>
      </c>
      <c r="B1240" s="159" t="s">
        <v>1912</v>
      </c>
    </row>
    <row r="1241" spans="1:2" x14ac:dyDescent="0.2">
      <c r="A1241" s="159">
        <v>10279782</v>
      </c>
      <c r="B1241" s="159" t="s">
        <v>128</v>
      </c>
    </row>
    <row r="1242" spans="1:2" x14ac:dyDescent="0.2">
      <c r="A1242" s="159">
        <v>10279837</v>
      </c>
      <c r="B1242" s="159" t="s">
        <v>1955</v>
      </c>
    </row>
    <row r="1243" spans="1:2" x14ac:dyDescent="0.2">
      <c r="A1243" s="159">
        <v>10279868</v>
      </c>
      <c r="B1243" s="159" t="s">
        <v>1992</v>
      </c>
    </row>
    <row r="1244" spans="1:2" x14ac:dyDescent="0.2">
      <c r="A1244" s="159">
        <v>10279872</v>
      </c>
      <c r="B1244" s="159" t="s">
        <v>2013</v>
      </c>
    </row>
    <row r="1245" spans="1:2" x14ac:dyDescent="0.2">
      <c r="A1245" s="159">
        <v>10279873</v>
      </c>
      <c r="B1245" s="159" t="s">
        <v>2021</v>
      </c>
    </row>
    <row r="1246" spans="1:2" x14ac:dyDescent="0.2">
      <c r="A1246" s="159">
        <v>10279874</v>
      </c>
      <c r="B1246" s="159" t="s">
        <v>2026</v>
      </c>
    </row>
    <row r="1247" spans="1:2" x14ac:dyDescent="0.2">
      <c r="A1247" s="159">
        <v>10279877</v>
      </c>
      <c r="B1247" s="159" t="s">
        <v>2041</v>
      </c>
    </row>
    <row r="1248" spans="1:2" x14ac:dyDescent="0.2">
      <c r="A1248" s="159">
        <v>10279885</v>
      </c>
      <c r="B1248" s="159" t="s">
        <v>2070</v>
      </c>
    </row>
    <row r="1249" spans="1:2" x14ac:dyDescent="0.2">
      <c r="A1249" s="159">
        <v>10279912</v>
      </c>
      <c r="B1249" s="159" t="s">
        <v>2080</v>
      </c>
    </row>
    <row r="1250" spans="1:2" x14ac:dyDescent="0.2">
      <c r="A1250" s="159">
        <v>10279928</v>
      </c>
      <c r="B1250" s="159" t="s">
        <v>2099</v>
      </c>
    </row>
    <row r="1251" spans="1:2" x14ac:dyDescent="0.2">
      <c r="A1251" s="159">
        <v>10279929</v>
      </c>
      <c r="B1251" s="159" t="s">
        <v>489</v>
      </c>
    </row>
    <row r="1252" spans="1:2" x14ac:dyDescent="0.2">
      <c r="A1252" s="159">
        <v>10279940</v>
      </c>
      <c r="B1252" s="159" t="s">
        <v>2102</v>
      </c>
    </row>
    <row r="1253" spans="1:2" x14ac:dyDescent="0.2">
      <c r="A1253" s="159">
        <v>10279990</v>
      </c>
      <c r="B1253" s="159" t="s">
        <v>2172</v>
      </c>
    </row>
    <row r="1254" spans="1:2" x14ac:dyDescent="0.2">
      <c r="A1254" s="159">
        <v>10279992</v>
      </c>
      <c r="B1254" s="159" t="s">
        <v>2175</v>
      </c>
    </row>
    <row r="1255" spans="1:2" x14ac:dyDescent="0.2">
      <c r="A1255" s="159">
        <v>10280024</v>
      </c>
      <c r="B1255" s="159" t="s">
        <v>2190</v>
      </c>
    </row>
    <row r="1256" spans="1:2" x14ac:dyDescent="0.2">
      <c r="A1256" s="159">
        <v>10286315</v>
      </c>
      <c r="B1256" s="159" t="s">
        <v>2199</v>
      </c>
    </row>
    <row r="1257" spans="1:2" x14ac:dyDescent="0.2">
      <c r="A1257" s="159">
        <v>10288711</v>
      </c>
      <c r="B1257" s="159" t="s">
        <v>2264</v>
      </c>
    </row>
    <row r="1258" spans="1:2" x14ac:dyDescent="0.2">
      <c r="A1258" s="159">
        <v>10289494</v>
      </c>
      <c r="B1258" s="159" t="s">
        <v>1785</v>
      </c>
    </row>
    <row r="1259" spans="1:2" x14ac:dyDescent="0.2">
      <c r="A1259" s="159">
        <v>10320707</v>
      </c>
      <c r="B1259" s="159" t="s">
        <v>381</v>
      </c>
    </row>
    <row r="1260" spans="1:2" x14ac:dyDescent="0.2">
      <c r="A1260" s="159">
        <v>10330529</v>
      </c>
      <c r="B1260" s="159" t="s">
        <v>969</v>
      </c>
    </row>
    <row r="1261" spans="1:2" x14ac:dyDescent="0.2">
      <c r="A1261" s="159">
        <v>10359253</v>
      </c>
      <c r="B1261" s="159" t="s">
        <v>1039</v>
      </c>
    </row>
    <row r="1262" spans="1:2" x14ac:dyDescent="0.2">
      <c r="A1262" s="159">
        <v>10377055</v>
      </c>
      <c r="B1262" s="159" t="s">
        <v>1109</v>
      </c>
    </row>
    <row r="1263" spans="1:2" x14ac:dyDescent="0.2">
      <c r="A1263" s="159">
        <v>10377119</v>
      </c>
      <c r="B1263" s="159" t="s">
        <v>1129</v>
      </c>
    </row>
    <row r="1264" spans="1:2" x14ac:dyDescent="0.2">
      <c r="A1264" s="159">
        <v>10377695</v>
      </c>
      <c r="B1264" s="159" t="s">
        <v>131</v>
      </c>
    </row>
    <row r="1265" spans="1:2" x14ac:dyDescent="0.2">
      <c r="A1265" s="159">
        <v>10378021</v>
      </c>
      <c r="B1265" s="159" t="s">
        <v>1157</v>
      </c>
    </row>
    <row r="1266" spans="1:2" x14ac:dyDescent="0.2">
      <c r="A1266" s="159">
        <v>10378377</v>
      </c>
      <c r="B1266" s="159" t="s">
        <v>1232</v>
      </c>
    </row>
    <row r="1267" spans="1:2" x14ac:dyDescent="0.2">
      <c r="A1267" s="159">
        <v>10378790</v>
      </c>
      <c r="B1267" s="159" t="s">
        <v>1376</v>
      </c>
    </row>
    <row r="1268" spans="1:2" x14ac:dyDescent="0.2">
      <c r="A1268" s="159">
        <v>10378950</v>
      </c>
      <c r="B1268" s="159" t="s">
        <v>1376</v>
      </c>
    </row>
    <row r="1269" spans="1:2" x14ac:dyDescent="0.2">
      <c r="A1269" s="159">
        <v>10379074</v>
      </c>
      <c r="B1269" s="159" t="s">
        <v>1481</v>
      </c>
    </row>
    <row r="1270" spans="1:2" x14ac:dyDescent="0.2">
      <c r="A1270" s="159">
        <v>10379130</v>
      </c>
      <c r="B1270" s="159" t="s">
        <v>1519</v>
      </c>
    </row>
    <row r="1271" spans="1:2" x14ac:dyDescent="0.2">
      <c r="A1271" s="159">
        <v>10379139</v>
      </c>
      <c r="B1271" s="159" t="s">
        <v>1554</v>
      </c>
    </row>
    <row r="1272" spans="1:2" x14ac:dyDescent="0.2">
      <c r="A1272" s="159">
        <v>10379147</v>
      </c>
      <c r="B1272" s="159" t="s">
        <v>1560</v>
      </c>
    </row>
    <row r="1273" spans="1:2" x14ac:dyDescent="0.2">
      <c r="A1273" s="159">
        <v>10379155</v>
      </c>
      <c r="B1273" s="159" t="s">
        <v>271</v>
      </c>
    </row>
    <row r="1274" spans="1:2" x14ac:dyDescent="0.2">
      <c r="A1274" s="159">
        <v>10379164</v>
      </c>
      <c r="B1274" s="159" t="s">
        <v>1591</v>
      </c>
    </row>
    <row r="1275" spans="1:2" x14ac:dyDescent="0.2">
      <c r="A1275" s="159">
        <v>10379170</v>
      </c>
      <c r="B1275" s="159" t="s">
        <v>1609</v>
      </c>
    </row>
    <row r="1276" spans="1:2" x14ac:dyDescent="0.2">
      <c r="A1276" s="159">
        <v>10379218</v>
      </c>
      <c r="B1276" s="159" t="s">
        <v>1638</v>
      </c>
    </row>
    <row r="1277" spans="1:2" x14ac:dyDescent="0.2">
      <c r="A1277" s="159">
        <v>10379235</v>
      </c>
      <c r="B1277" s="159" t="s">
        <v>1645</v>
      </c>
    </row>
    <row r="1278" spans="1:2" x14ac:dyDescent="0.2">
      <c r="A1278" s="159">
        <v>10379237</v>
      </c>
      <c r="B1278" s="159" t="s">
        <v>1670</v>
      </c>
    </row>
    <row r="1279" spans="1:2" x14ac:dyDescent="0.2">
      <c r="A1279" s="159">
        <v>10379297</v>
      </c>
      <c r="B1279" s="159" t="s">
        <v>1698</v>
      </c>
    </row>
    <row r="1280" spans="1:2" x14ac:dyDescent="0.2">
      <c r="A1280" s="159">
        <v>10379439</v>
      </c>
      <c r="B1280" s="159" t="s">
        <v>1761</v>
      </c>
    </row>
    <row r="1281" spans="1:2" x14ac:dyDescent="0.2">
      <c r="A1281" s="159">
        <v>10379447</v>
      </c>
      <c r="B1281" s="159" t="s">
        <v>246</v>
      </c>
    </row>
    <row r="1282" spans="1:2" x14ac:dyDescent="0.2">
      <c r="A1282" s="159">
        <v>10379494</v>
      </c>
      <c r="B1282" s="159" t="s">
        <v>1786</v>
      </c>
    </row>
    <row r="1283" spans="1:2" x14ac:dyDescent="0.2">
      <c r="A1283" s="159">
        <v>10379498</v>
      </c>
      <c r="B1283" s="159" t="s">
        <v>1790</v>
      </c>
    </row>
    <row r="1284" spans="1:2" x14ac:dyDescent="0.2">
      <c r="A1284" s="159">
        <v>10379624</v>
      </c>
      <c r="B1284" s="159" t="s">
        <v>1803</v>
      </c>
    </row>
    <row r="1285" spans="1:2" x14ac:dyDescent="0.2">
      <c r="A1285" s="159">
        <v>10379778</v>
      </c>
      <c r="B1285" s="159" t="s">
        <v>1376</v>
      </c>
    </row>
    <row r="1286" spans="1:2" x14ac:dyDescent="0.2">
      <c r="A1286" s="159">
        <v>10379782</v>
      </c>
      <c r="B1286" s="159" t="s">
        <v>1952</v>
      </c>
    </row>
    <row r="1287" spans="1:2" x14ac:dyDescent="0.2">
      <c r="A1287" s="159">
        <v>10379837</v>
      </c>
      <c r="B1287" s="159" t="s">
        <v>1956</v>
      </c>
    </row>
    <row r="1288" spans="1:2" x14ac:dyDescent="0.2">
      <c r="A1288" s="159">
        <v>10379872</v>
      </c>
      <c r="B1288" s="159" t="s">
        <v>2014</v>
      </c>
    </row>
    <row r="1289" spans="1:2" x14ac:dyDescent="0.2">
      <c r="A1289" s="159">
        <v>10379873</v>
      </c>
      <c r="B1289" s="159" t="s">
        <v>2022</v>
      </c>
    </row>
    <row r="1290" spans="1:2" x14ac:dyDescent="0.2">
      <c r="A1290" s="159">
        <v>10379874</v>
      </c>
      <c r="B1290" s="159" t="s">
        <v>2027</v>
      </c>
    </row>
    <row r="1291" spans="1:2" x14ac:dyDescent="0.2">
      <c r="A1291" s="159">
        <v>10379877</v>
      </c>
      <c r="B1291" s="159" t="s">
        <v>2042</v>
      </c>
    </row>
    <row r="1292" spans="1:2" x14ac:dyDescent="0.2">
      <c r="A1292" s="159">
        <v>10379885</v>
      </c>
      <c r="B1292" s="159" t="s">
        <v>2071</v>
      </c>
    </row>
    <row r="1293" spans="1:2" x14ac:dyDescent="0.2">
      <c r="A1293" s="159">
        <v>10379912</v>
      </c>
      <c r="B1293" s="159" t="s">
        <v>2081</v>
      </c>
    </row>
    <row r="1294" spans="1:2" x14ac:dyDescent="0.2">
      <c r="A1294" s="159">
        <v>10379992</v>
      </c>
      <c r="B1294" s="159" t="s">
        <v>2176</v>
      </c>
    </row>
    <row r="1295" spans="1:2" x14ac:dyDescent="0.2">
      <c r="A1295" s="159">
        <v>10380024</v>
      </c>
      <c r="B1295" s="159" t="s">
        <v>2191</v>
      </c>
    </row>
    <row r="1296" spans="1:2" x14ac:dyDescent="0.2">
      <c r="A1296" s="159">
        <v>10388021</v>
      </c>
      <c r="B1296" s="159" t="s">
        <v>2253</v>
      </c>
    </row>
    <row r="1297" spans="1:2" x14ac:dyDescent="0.2">
      <c r="A1297" s="159">
        <v>10388711</v>
      </c>
      <c r="B1297" s="159" t="s">
        <v>2265</v>
      </c>
    </row>
    <row r="1298" spans="1:2" x14ac:dyDescent="0.2">
      <c r="A1298" s="159">
        <v>10389494</v>
      </c>
      <c r="B1298" s="159" t="s">
        <v>1786</v>
      </c>
    </row>
    <row r="1299" spans="1:2" x14ac:dyDescent="0.2">
      <c r="A1299" s="159">
        <v>10418100</v>
      </c>
      <c r="B1299" s="159" t="s">
        <v>938</v>
      </c>
    </row>
    <row r="1300" spans="1:2" x14ac:dyDescent="0.2">
      <c r="A1300" s="159">
        <v>10420707</v>
      </c>
      <c r="B1300" s="159" t="s">
        <v>381</v>
      </c>
    </row>
    <row r="1301" spans="1:2" x14ac:dyDescent="0.2">
      <c r="A1301" s="159">
        <v>10430529</v>
      </c>
      <c r="B1301" s="159" t="s">
        <v>969</v>
      </c>
    </row>
    <row r="1302" spans="1:2" x14ac:dyDescent="0.2">
      <c r="A1302" s="159">
        <v>10459253</v>
      </c>
      <c r="B1302" s="159" t="s">
        <v>1040</v>
      </c>
    </row>
    <row r="1303" spans="1:2" x14ac:dyDescent="0.2">
      <c r="A1303" s="159">
        <v>10477055</v>
      </c>
      <c r="B1303" s="159" t="s">
        <v>1110</v>
      </c>
    </row>
    <row r="1304" spans="1:2" x14ac:dyDescent="0.2">
      <c r="A1304" s="159">
        <v>10477119</v>
      </c>
      <c r="B1304" s="159" t="s">
        <v>1130</v>
      </c>
    </row>
    <row r="1305" spans="1:2" x14ac:dyDescent="0.2">
      <c r="A1305" s="159">
        <v>10478711</v>
      </c>
      <c r="B1305" s="159" t="s">
        <v>1252</v>
      </c>
    </row>
    <row r="1306" spans="1:2" x14ac:dyDescent="0.2">
      <c r="A1306" s="159">
        <v>10478790</v>
      </c>
      <c r="B1306" s="159" t="s">
        <v>1377</v>
      </c>
    </row>
    <row r="1307" spans="1:2" x14ac:dyDescent="0.2">
      <c r="A1307" s="159">
        <v>10478950</v>
      </c>
      <c r="B1307" s="159" t="s">
        <v>1473</v>
      </c>
    </row>
    <row r="1308" spans="1:2" x14ac:dyDescent="0.2">
      <c r="A1308" s="159">
        <v>10479130</v>
      </c>
      <c r="B1308" s="159" t="s">
        <v>1520</v>
      </c>
    </row>
    <row r="1309" spans="1:2" x14ac:dyDescent="0.2">
      <c r="A1309" s="159">
        <v>10479139</v>
      </c>
      <c r="B1309" s="159" t="s">
        <v>1555</v>
      </c>
    </row>
    <row r="1310" spans="1:2" x14ac:dyDescent="0.2">
      <c r="A1310" s="159">
        <v>10479218</v>
      </c>
      <c r="B1310" s="159" t="s">
        <v>1639</v>
      </c>
    </row>
    <row r="1311" spans="1:2" x14ac:dyDescent="0.2">
      <c r="A1311" s="159">
        <v>10479235</v>
      </c>
      <c r="B1311" s="159" t="s">
        <v>1646</v>
      </c>
    </row>
    <row r="1312" spans="1:2" x14ac:dyDescent="0.2">
      <c r="A1312" s="159">
        <v>10479237</v>
      </c>
      <c r="B1312" s="159" t="s">
        <v>1667</v>
      </c>
    </row>
    <row r="1313" spans="1:2" x14ac:dyDescent="0.2">
      <c r="A1313" s="159">
        <v>10479297</v>
      </c>
      <c r="B1313" s="159" t="s">
        <v>1699</v>
      </c>
    </row>
    <row r="1314" spans="1:2" x14ac:dyDescent="0.2">
      <c r="A1314" s="159">
        <v>10479439</v>
      </c>
      <c r="B1314" s="159" t="s">
        <v>1762</v>
      </c>
    </row>
    <row r="1315" spans="1:2" x14ac:dyDescent="0.2">
      <c r="A1315" s="159">
        <v>10479494</v>
      </c>
      <c r="B1315" s="159" t="s">
        <v>1787</v>
      </c>
    </row>
    <row r="1316" spans="1:2" x14ac:dyDescent="0.2">
      <c r="A1316" s="159">
        <v>10479624</v>
      </c>
      <c r="B1316" s="159" t="s">
        <v>1804</v>
      </c>
    </row>
    <row r="1317" spans="1:2" x14ac:dyDescent="0.2">
      <c r="A1317" s="159">
        <v>10479753</v>
      </c>
      <c r="B1317" s="159" t="s">
        <v>1892</v>
      </c>
    </row>
    <row r="1318" spans="1:2" x14ac:dyDescent="0.2">
      <c r="A1318" s="159">
        <v>10479778</v>
      </c>
      <c r="B1318" s="159" t="s">
        <v>1377</v>
      </c>
    </row>
    <row r="1319" spans="1:2" x14ac:dyDescent="0.2">
      <c r="A1319" s="159">
        <v>10479837</v>
      </c>
      <c r="B1319" s="159" t="s">
        <v>1957</v>
      </c>
    </row>
    <row r="1320" spans="1:2" x14ac:dyDescent="0.2">
      <c r="A1320" s="159">
        <v>10479872</v>
      </c>
      <c r="B1320" s="159" t="s">
        <v>2015</v>
      </c>
    </row>
    <row r="1321" spans="1:2" x14ac:dyDescent="0.2">
      <c r="A1321" s="159">
        <v>10479873</v>
      </c>
      <c r="B1321" s="159" t="s">
        <v>2023</v>
      </c>
    </row>
    <row r="1322" spans="1:2" x14ac:dyDescent="0.2">
      <c r="A1322" s="159">
        <v>10479874</v>
      </c>
      <c r="B1322" s="159" t="s">
        <v>2028</v>
      </c>
    </row>
    <row r="1323" spans="1:2" x14ac:dyDescent="0.2">
      <c r="A1323" s="159">
        <v>10479877</v>
      </c>
      <c r="B1323" s="159" t="s">
        <v>2043</v>
      </c>
    </row>
    <row r="1324" spans="1:2" x14ac:dyDescent="0.2">
      <c r="A1324" s="159">
        <v>10479885</v>
      </c>
      <c r="B1324" s="159" t="s">
        <v>2072</v>
      </c>
    </row>
    <row r="1325" spans="1:2" x14ac:dyDescent="0.2">
      <c r="A1325" s="159">
        <v>10479912</v>
      </c>
      <c r="B1325" s="159" t="s">
        <v>2082</v>
      </c>
    </row>
    <row r="1326" spans="1:2" x14ac:dyDescent="0.2">
      <c r="A1326" s="159">
        <v>10479992</v>
      </c>
      <c r="B1326" s="159" t="s">
        <v>2177</v>
      </c>
    </row>
    <row r="1327" spans="1:2" x14ac:dyDescent="0.2">
      <c r="A1327" s="159">
        <v>10480024</v>
      </c>
      <c r="B1327" s="159" t="s">
        <v>2192</v>
      </c>
    </row>
    <row r="1328" spans="1:2" x14ac:dyDescent="0.2">
      <c r="A1328" s="159">
        <v>10486315</v>
      </c>
      <c r="B1328" s="159" t="s">
        <v>2200</v>
      </c>
    </row>
    <row r="1329" spans="1:2" x14ac:dyDescent="0.2">
      <c r="A1329" s="159">
        <v>10488711</v>
      </c>
      <c r="B1329" s="159" t="s">
        <v>2266</v>
      </c>
    </row>
    <row r="1330" spans="1:2" x14ac:dyDescent="0.2">
      <c r="A1330" s="159">
        <v>10489494</v>
      </c>
      <c r="B1330" s="159" t="s">
        <v>1787</v>
      </c>
    </row>
    <row r="1331" spans="1:2" x14ac:dyDescent="0.2">
      <c r="A1331" s="159">
        <v>10518100</v>
      </c>
      <c r="B1331" s="159" t="s">
        <v>939</v>
      </c>
    </row>
    <row r="1332" spans="1:2" x14ac:dyDescent="0.2">
      <c r="A1332" s="159">
        <v>10520707</v>
      </c>
      <c r="B1332" s="159" t="s">
        <v>381</v>
      </c>
    </row>
    <row r="1333" spans="1:2" x14ac:dyDescent="0.2">
      <c r="A1333" s="159">
        <v>10530529</v>
      </c>
      <c r="B1333" s="159" t="s">
        <v>969</v>
      </c>
    </row>
    <row r="1334" spans="1:2" x14ac:dyDescent="0.2">
      <c r="A1334" s="159">
        <v>10577055</v>
      </c>
      <c r="B1334" s="159" t="s">
        <v>1111</v>
      </c>
    </row>
    <row r="1335" spans="1:2" x14ac:dyDescent="0.2">
      <c r="A1335" s="159">
        <v>10577119</v>
      </c>
      <c r="B1335" s="159" t="s">
        <v>1131</v>
      </c>
    </row>
    <row r="1336" spans="1:2" x14ac:dyDescent="0.2">
      <c r="A1336" s="159">
        <v>10578429</v>
      </c>
      <c r="B1336" s="159" t="s">
        <v>1234</v>
      </c>
    </row>
    <row r="1337" spans="1:2" x14ac:dyDescent="0.2">
      <c r="A1337" s="159">
        <v>10578711</v>
      </c>
      <c r="B1337" s="159" t="s">
        <v>1253</v>
      </c>
    </row>
    <row r="1338" spans="1:2" x14ac:dyDescent="0.2">
      <c r="A1338" s="159">
        <v>10578790</v>
      </c>
      <c r="B1338" s="159" t="s">
        <v>1378</v>
      </c>
    </row>
    <row r="1339" spans="1:2" x14ac:dyDescent="0.2">
      <c r="A1339" s="159">
        <v>10578950</v>
      </c>
      <c r="B1339" s="159" t="s">
        <v>1378</v>
      </c>
    </row>
    <row r="1340" spans="1:2" x14ac:dyDescent="0.2">
      <c r="A1340" s="159">
        <v>10579130</v>
      </c>
      <c r="B1340" s="159" t="s">
        <v>1521</v>
      </c>
    </row>
    <row r="1341" spans="1:2" x14ac:dyDescent="0.2">
      <c r="A1341" s="159">
        <v>10579139</v>
      </c>
      <c r="B1341" s="159" t="s">
        <v>1556</v>
      </c>
    </row>
    <row r="1342" spans="1:2" x14ac:dyDescent="0.2">
      <c r="A1342" s="159">
        <v>10579147</v>
      </c>
      <c r="B1342" s="159" t="s">
        <v>1561</v>
      </c>
    </row>
    <row r="1343" spans="1:2" x14ac:dyDescent="0.2">
      <c r="A1343" s="159">
        <v>10579164</v>
      </c>
      <c r="B1343" s="159" t="s">
        <v>1592</v>
      </c>
    </row>
    <row r="1344" spans="1:2" x14ac:dyDescent="0.2">
      <c r="A1344" s="159">
        <v>10579170</v>
      </c>
      <c r="B1344" s="159" t="s">
        <v>1610</v>
      </c>
    </row>
    <row r="1345" spans="1:2" x14ac:dyDescent="0.2">
      <c r="A1345" s="159">
        <v>10579218</v>
      </c>
      <c r="B1345" s="159" t="s">
        <v>1640</v>
      </c>
    </row>
    <row r="1346" spans="1:2" x14ac:dyDescent="0.2">
      <c r="A1346" s="159">
        <v>10579235</v>
      </c>
      <c r="B1346" s="159" t="s">
        <v>1647</v>
      </c>
    </row>
    <row r="1347" spans="1:2" x14ac:dyDescent="0.2">
      <c r="A1347" s="159">
        <v>10579237</v>
      </c>
      <c r="B1347" s="159" t="s">
        <v>1671</v>
      </c>
    </row>
    <row r="1348" spans="1:2" x14ac:dyDescent="0.2">
      <c r="A1348" s="159">
        <v>10579297</v>
      </c>
      <c r="B1348" s="159" t="s">
        <v>1700</v>
      </c>
    </row>
    <row r="1349" spans="1:2" x14ac:dyDescent="0.2">
      <c r="A1349" s="159">
        <v>10579439</v>
      </c>
      <c r="B1349" s="159" t="s">
        <v>1763</v>
      </c>
    </row>
    <row r="1350" spans="1:2" x14ac:dyDescent="0.2">
      <c r="A1350" s="159">
        <v>10579447</v>
      </c>
      <c r="B1350" s="159" t="s">
        <v>246</v>
      </c>
    </row>
    <row r="1351" spans="1:2" x14ac:dyDescent="0.2">
      <c r="A1351" s="159">
        <v>10579624</v>
      </c>
      <c r="B1351" s="159" t="s">
        <v>1805</v>
      </c>
    </row>
    <row r="1352" spans="1:2" x14ac:dyDescent="0.2">
      <c r="A1352" s="159">
        <v>10579778</v>
      </c>
      <c r="B1352" s="159" t="s">
        <v>1931</v>
      </c>
    </row>
    <row r="1353" spans="1:2" x14ac:dyDescent="0.2">
      <c r="A1353" s="159">
        <v>10579837</v>
      </c>
      <c r="B1353" s="159" t="s">
        <v>1958</v>
      </c>
    </row>
    <row r="1354" spans="1:2" x14ac:dyDescent="0.2">
      <c r="A1354" s="159">
        <v>10579872</v>
      </c>
      <c r="B1354" s="159" t="s">
        <v>2016</v>
      </c>
    </row>
    <row r="1355" spans="1:2" x14ac:dyDescent="0.2">
      <c r="A1355" s="159">
        <v>10579874</v>
      </c>
      <c r="B1355" s="159" t="s">
        <v>2029</v>
      </c>
    </row>
    <row r="1356" spans="1:2" x14ac:dyDescent="0.2">
      <c r="A1356" s="159">
        <v>10579877</v>
      </c>
      <c r="B1356" s="159" t="s">
        <v>2044</v>
      </c>
    </row>
    <row r="1357" spans="1:2" x14ac:dyDescent="0.2">
      <c r="A1357" s="159">
        <v>10579885</v>
      </c>
      <c r="B1357" s="159" t="s">
        <v>2073</v>
      </c>
    </row>
    <row r="1358" spans="1:2" x14ac:dyDescent="0.2">
      <c r="A1358" s="159">
        <v>10579912</v>
      </c>
      <c r="B1358" s="159" t="s">
        <v>2083</v>
      </c>
    </row>
    <row r="1359" spans="1:2" x14ac:dyDescent="0.2">
      <c r="A1359" s="159">
        <v>10579992</v>
      </c>
      <c r="B1359" s="159" t="s">
        <v>2178</v>
      </c>
    </row>
    <row r="1360" spans="1:2" x14ac:dyDescent="0.2">
      <c r="A1360" s="159">
        <v>10580024</v>
      </c>
      <c r="B1360" s="159" t="s">
        <v>2193</v>
      </c>
    </row>
    <row r="1361" spans="1:2" x14ac:dyDescent="0.2">
      <c r="A1361" s="159">
        <v>10586315</v>
      </c>
      <c r="B1361" s="159" t="s">
        <v>2201</v>
      </c>
    </row>
    <row r="1362" spans="1:2" x14ac:dyDescent="0.2">
      <c r="A1362" s="159">
        <v>10588711</v>
      </c>
      <c r="B1362" s="159" t="s">
        <v>1253</v>
      </c>
    </row>
    <row r="1363" spans="1:2" x14ac:dyDescent="0.2">
      <c r="A1363" s="159">
        <v>10588792</v>
      </c>
      <c r="B1363" s="159" t="s">
        <v>917</v>
      </c>
    </row>
    <row r="1364" spans="1:2" x14ac:dyDescent="0.2">
      <c r="A1364" s="159">
        <v>10618100</v>
      </c>
      <c r="B1364" s="159" t="s">
        <v>940</v>
      </c>
    </row>
    <row r="1365" spans="1:2" x14ac:dyDescent="0.2">
      <c r="A1365" s="159">
        <v>10630529</v>
      </c>
      <c r="B1365" s="159" t="s">
        <v>969</v>
      </c>
    </row>
    <row r="1366" spans="1:2" x14ac:dyDescent="0.2">
      <c r="A1366" s="159">
        <v>10659253</v>
      </c>
      <c r="B1366" s="159" t="s">
        <v>1041</v>
      </c>
    </row>
    <row r="1367" spans="1:2" x14ac:dyDescent="0.2">
      <c r="A1367" s="159">
        <v>10677055</v>
      </c>
      <c r="B1367" s="159" t="s">
        <v>1112</v>
      </c>
    </row>
    <row r="1368" spans="1:2" x14ac:dyDescent="0.2">
      <c r="A1368" s="159">
        <v>10677119</v>
      </c>
      <c r="B1368" s="159" t="s">
        <v>1132</v>
      </c>
    </row>
    <row r="1369" spans="1:2" x14ac:dyDescent="0.2">
      <c r="A1369" s="159">
        <v>10678711</v>
      </c>
      <c r="B1369" s="159" t="s">
        <v>1254</v>
      </c>
    </row>
    <row r="1370" spans="1:2" x14ac:dyDescent="0.2">
      <c r="A1370" s="159">
        <v>10678790</v>
      </c>
      <c r="B1370" s="159" t="s">
        <v>1379</v>
      </c>
    </row>
    <row r="1371" spans="1:2" x14ac:dyDescent="0.2">
      <c r="A1371" s="159">
        <v>10678950</v>
      </c>
      <c r="B1371" s="159" t="s">
        <v>1379</v>
      </c>
    </row>
    <row r="1372" spans="1:2" x14ac:dyDescent="0.2">
      <c r="A1372" s="159">
        <v>10679130</v>
      </c>
      <c r="B1372" s="159" t="s">
        <v>1522</v>
      </c>
    </row>
    <row r="1373" spans="1:2" x14ac:dyDescent="0.2">
      <c r="A1373" s="159">
        <v>10679147</v>
      </c>
      <c r="B1373" s="159" t="s">
        <v>1562</v>
      </c>
    </row>
    <row r="1374" spans="1:2" x14ac:dyDescent="0.2">
      <c r="A1374" s="159">
        <v>10679164</v>
      </c>
      <c r="B1374" s="159" t="s">
        <v>1593</v>
      </c>
    </row>
    <row r="1375" spans="1:2" x14ac:dyDescent="0.2">
      <c r="A1375" s="159">
        <v>10679170</v>
      </c>
      <c r="B1375" s="159" t="s">
        <v>1611</v>
      </c>
    </row>
    <row r="1376" spans="1:2" x14ac:dyDescent="0.2">
      <c r="A1376" s="159">
        <v>10679218</v>
      </c>
      <c r="B1376" s="159" t="s">
        <v>1641</v>
      </c>
    </row>
    <row r="1377" spans="1:2" x14ac:dyDescent="0.2">
      <c r="A1377" s="159">
        <v>10679237</v>
      </c>
      <c r="B1377" s="159" t="s">
        <v>1672</v>
      </c>
    </row>
    <row r="1378" spans="1:2" x14ac:dyDescent="0.2">
      <c r="A1378" s="159">
        <v>10679297</v>
      </c>
      <c r="B1378" s="159" t="s">
        <v>1701</v>
      </c>
    </row>
    <row r="1379" spans="1:2" x14ac:dyDescent="0.2">
      <c r="A1379" s="159">
        <v>10679439</v>
      </c>
      <c r="B1379" s="159" t="s">
        <v>1764</v>
      </c>
    </row>
    <row r="1380" spans="1:2" x14ac:dyDescent="0.2">
      <c r="A1380" s="159">
        <v>10679447</v>
      </c>
      <c r="B1380" s="159" t="s">
        <v>246</v>
      </c>
    </row>
    <row r="1381" spans="1:2" x14ac:dyDescent="0.2">
      <c r="A1381" s="159">
        <v>10679624</v>
      </c>
      <c r="B1381" s="159" t="s">
        <v>1806</v>
      </c>
    </row>
    <row r="1382" spans="1:2" x14ac:dyDescent="0.2">
      <c r="A1382" s="159">
        <v>10679778</v>
      </c>
      <c r="B1382" s="159" t="s">
        <v>1932</v>
      </c>
    </row>
    <row r="1383" spans="1:2" x14ac:dyDescent="0.2">
      <c r="A1383" s="159">
        <v>10679837</v>
      </c>
      <c r="B1383" s="159" t="s">
        <v>1959</v>
      </c>
    </row>
    <row r="1384" spans="1:2" x14ac:dyDescent="0.2">
      <c r="A1384" s="159">
        <v>10679872</v>
      </c>
      <c r="B1384" s="159" t="s">
        <v>2017</v>
      </c>
    </row>
    <row r="1385" spans="1:2" x14ac:dyDescent="0.2">
      <c r="A1385" s="159">
        <v>10679874</v>
      </c>
      <c r="B1385" s="159" t="s">
        <v>2030</v>
      </c>
    </row>
    <row r="1386" spans="1:2" x14ac:dyDescent="0.2">
      <c r="A1386" s="159">
        <v>10679877</v>
      </c>
      <c r="B1386" s="159" t="s">
        <v>2045</v>
      </c>
    </row>
    <row r="1387" spans="1:2" x14ac:dyDescent="0.2">
      <c r="A1387" s="159">
        <v>10679885</v>
      </c>
      <c r="B1387" s="159" t="s">
        <v>2074</v>
      </c>
    </row>
    <row r="1388" spans="1:2" x14ac:dyDescent="0.2">
      <c r="A1388" s="159">
        <v>10679912</v>
      </c>
      <c r="B1388" s="159" t="s">
        <v>2084</v>
      </c>
    </row>
    <row r="1389" spans="1:2" x14ac:dyDescent="0.2">
      <c r="A1389" s="159">
        <v>10679992</v>
      </c>
      <c r="B1389" s="159" t="s">
        <v>2179</v>
      </c>
    </row>
    <row r="1390" spans="1:2" x14ac:dyDescent="0.2">
      <c r="A1390" s="159">
        <v>10680024</v>
      </c>
      <c r="B1390" s="159" t="s">
        <v>2194</v>
      </c>
    </row>
    <row r="1391" spans="1:2" x14ac:dyDescent="0.2">
      <c r="A1391" s="159">
        <v>10688711</v>
      </c>
      <c r="B1391" s="159" t="s">
        <v>1254</v>
      </c>
    </row>
    <row r="1392" spans="1:2" x14ac:dyDescent="0.2">
      <c r="A1392" s="159">
        <v>10718100</v>
      </c>
      <c r="B1392" s="159" t="s">
        <v>941</v>
      </c>
    </row>
    <row r="1393" spans="1:2" x14ac:dyDescent="0.2">
      <c r="A1393" s="159">
        <v>10730529</v>
      </c>
      <c r="B1393" s="159" t="s">
        <v>969</v>
      </c>
    </row>
    <row r="1394" spans="1:2" x14ac:dyDescent="0.2">
      <c r="A1394" s="159">
        <v>10777055</v>
      </c>
      <c r="B1394" s="159" t="s">
        <v>1113</v>
      </c>
    </row>
    <row r="1395" spans="1:2" x14ac:dyDescent="0.2">
      <c r="A1395" s="159">
        <v>10777119</v>
      </c>
      <c r="B1395" s="159" t="s">
        <v>1133</v>
      </c>
    </row>
    <row r="1396" spans="1:2" x14ac:dyDescent="0.2">
      <c r="A1396" s="159">
        <v>10778711</v>
      </c>
      <c r="B1396" s="159" t="s">
        <v>1255</v>
      </c>
    </row>
    <row r="1397" spans="1:2" x14ac:dyDescent="0.2">
      <c r="A1397" s="159">
        <v>10778790</v>
      </c>
      <c r="B1397" s="159" t="s">
        <v>1380</v>
      </c>
    </row>
    <row r="1398" spans="1:2" ht="12.6" customHeight="1" x14ac:dyDescent="0.2">
      <c r="A1398" s="159">
        <v>10778950</v>
      </c>
      <c r="B1398" s="159" t="s">
        <v>1380</v>
      </c>
    </row>
    <row r="1399" spans="1:2" x14ac:dyDescent="0.2">
      <c r="A1399" s="159">
        <v>10779130</v>
      </c>
      <c r="B1399" s="159" t="s">
        <v>1523</v>
      </c>
    </row>
    <row r="1400" spans="1:2" x14ac:dyDescent="0.2">
      <c r="A1400" s="159">
        <v>10779164</v>
      </c>
      <c r="B1400" s="159" t="s">
        <v>1594</v>
      </c>
    </row>
    <row r="1401" spans="1:2" x14ac:dyDescent="0.2">
      <c r="A1401" s="159">
        <v>10779237</v>
      </c>
      <c r="B1401" s="159" t="s">
        <v>1673</v>
      </c>
    </row>
    <row r="1402" spans="1:2" x14ac:dyDescent="0.2">
      <c r="A1402" s="159">
        <v>10779297</v>
      </c>
      <c r="B1402" s="159" t="s">
        <v>1702</v>
      </c>
    </row>
    <row r="1403" spans="1:2" x14ac:dyDescent="0.2">
      <c r="A1403" s="159">
        <v>10779778</v>
      </c>
      <c r="B1403" s="159" t="s">
        <v>1933</v>
      </c>
    </row>
    <row r="1404" spans="1:2" x14ac:dyDescent="0.2">
      <c r="A1404" s="159">
        <v>10779837</v>
      </c>
      <c r="B1404" s="159" t="s">
        <v>1960</v>
      </c>
    </row>
    <row r="1405" spans="1:2" x14ac:dyDescent="0.2">
      <c r="A1405" s="159">
        <v>10779872</v>
      </c>
      <c r="B1405" s="159" t="s">
        <v>2018</v>
      </c>
    </row>
    <row r="1406" spans="1:2" x14ac:dyDescent="0.2">
      <c r="A1406" s="159">
        <v>10779877</v>
      </c>
      <c r="B1406" s="159" t="s">
        <v>2046</v>
      </c>
    </row>
    <row r="1407" spans="1:2" x14ac:dyDescent="0.2">
      <c r="A1407" s="159">
        <v>10779885</v>
      </c>
      <c r="B1407" s="159" t="s">
        <v>2075</v>
      </c>
    </row>
    <row r="1408" spans="1:2" x14ac:dyDescent="0.2">
      <c r="A1408" s="159">
        <v>10779912</v>
      </c>
      <c r="B1408" s="159" t="s">
        <v>2085</v>
      </c>
    </row>
    <row r="1409" spans="1:2" x14ac:dyDescent="0.2">
      <c r="A1409" s="159">
        <v>10788711</v>
      </c>
      <c r="B1409" s="159" t="s">
        <v>1255</v>
      </c>
    </row>
    <row r="1410" spans="1:2" x14ac:dyDescent="0.2">
      <c r="A1410" s="159">
        <v>10859253</v>
      </c>
      <c r="B1410" s="159" t="s">
        <v>1042</v>
      </c>
    </row>
    <row r="1411" spans="1:2" x14ac:dyDescent="0.2">
      <c r="A1411" s="159">
        <v>10870828</v>
      </c>
      <c r="B1411" s="159" t="s">
        <v>1100</v>
      </c>
    </row>
    <row r="1412" spans="1:2" x14ac:dyDescent="0.2">
      <c r="A1412" s="159">
        <v>10877055</v>
      </c>
      <c r="B1412" s="159" t="s">
        <v>1114</v>
      </c>
    </row>
    <row r="1413" spans="1:2" x14ac:dyDescent="0.2">
      <c r="A1413" s="159">
        <v>10878021</v>
      </c>
      <c r="B1413" s="159" t="s">
        <v>1158</v>
      </c>
    </row>
    <row r="1414" spans="1:2" x14ac:dyDescent="0.2">
      <c r="A1414" s="159">
        <v>10878429</v>
      </c>
      <c r="B1414" s="159" t="s">
        <v>1235</v>
      </c>
    </row>
    <row r="1415" spans="1:2" x14ac:dyDescent="0.2">
      <c r="A1415" s="159">
        <v>10878711</v>
      </c>
      <c r="B1415" s="159" t="s">
        <v>1256</v>
      </c>
    </row>
    <row r="1416" spans="1:2" x14ac:dyDescent="0.2">
      <c r="A1416" s="159">
        <v>10878790</v>
      </c>
      <c r="B1416" s="159" t="s">
        <v>1381</v>
      </c>
    </row>
    <row r="1417" spans="1:2" x14ac:dyDescent="0.2">
      <c r="A1417" s="159">
        <v>10878950</v>
      </c>
      <c r="B1417" s="159" t="s">
        <v>1381</v>
      </c>
    </row>
    <row r="1418" spans="1:2" x14ac:dyDescent="0.2">
      <c r="A1418" s="159">
        <v>10879130</v>
      </c>
      <c r="B1418" s="159" t="s">
        <v>1524</v>
      </c>
    </row>
    <row r="1419" spans="1:2" x14ac:dyDescent="0.2">
      <c r="A1419" s="159">
        <v>10879147</v>
      </c>
      <c r="B1419" s="159" t="s">
        <v>1563</v>
      </c>
    </row>
    <row r="1420" spans="1:2" x14ac:dyDescent="0.2">
      <c r="A1420" s="159">
        <v>10879164</v>
      </c>
      <c r="B1420" s="159" t="s">
        <v>1595</v>
      </c>
    </row>
    <row r="1421" spans="1:2" x14ac:dyDescent="0.2">
      <c r="A1421" s="159">
        <v>10879170</v>
      </c>
      <c r="B1421" s="159" t="s">
        <v>1612</v>
      </c>
    </row>
    <row r="1422" spans="1:2" x14ac:dyDescent="0.2">
      <c r="A1422" s="159">
        <v>10879297</v>
      </c>
      <c r="B1422" s="159" t="s">
        <v>1703</v>
      </c>
    </row>
    <row r="1423" spans="1:2" x14ac:dyDescent="0.2">
      <c r="A1423" s="159">
        <v>10879439</v>
      </c>
      <c r="B1423" s="159" t="s">
        <v>1765</v>
      </c>
    </row>
    <row r="1424" spans="1:2" x14ac:dyDescent="0.2">
      <c r="A1424" s="159">
        <v>10879778</v>
      </c>
      <c r="B1424" s="159" t="s">
        <v>1934</v>
      </c>
    </row>
    <row r="1425" spans="1:2" x14ac:dyDescent="0.2">
      <c r="A1425" s="159">
        <v>10879837</v>
      </c>
      <c r="B1425" s="159" t="s">
        <v>1961</v>
      </c>
    </row>
    <row r="1426" spans="1:2" x14ac:dyDescent="0.2">
      <c r="A1426" s="159">
        <v>10879874</v>
      </c>
      <c r="B1426" s="159" t="s">
        <v>2031</v>
      </c>
    </row>
    <row r="1427" spans="1:2" x14ac:dyDescent="0.2">
      <c r="A1427" s="159">
        <v>10879877</v>
      </c>
      <c r="B1427" s="159" t="s">
        <v>2047</v>
      </c>
    </row>
    <row r="1428" spans="1:2" x14ac:dyDescent="0.2">
      <c r="A1428" s="159">
        <v>10879912</v>
      </c>
      <c r="B1428" s="159" t="s">
        <v>2086</v>
      </c>
    </row>
    <row r="1429" spans="1:2" x14ac:dyDescent="0.2">
      <c r="A1429" s="159">
        <v>10888021</v>
      </c>
      <c r="B1429" s="159" t="s">
        <v>2254</v>
      </c>
    </row>
    <row r="1430" spans="1:2" x14ac:dyDescent="0.2">
      <c r="A1430" s="159">
        <v>10888711</v>
      </c>
      <c r="B1430" s="159" t="s">
        <v>1256</v>
      </c>
    </row>
    <row r="1431" spans="1:2" x14ac:dyDescent="0.2">
      <c r="A1431" s="159">
        <v>10959253</v>
      </c>
      <c r="B1431" s="159" t="s">
        <v>1043</v>
      </c>
    </row>
    <row r="1432" spans="1:2" x14ac:dyDescent="0.2">
      <c r="A1432" s="159">
        <v>10970828</v>
      </c>
      <c r="B1432" s="159" t="s">
        <v>1100</v>
      </c>
    </row>
    <row r="1433" spans="1:2" x14ac:dyDescent="0.2">
      <c r="A1433" s="159">
        <v>10978021</v>
      </c>
      <c r="B1433" s="159" t="s">
        <v>1159</v>
      </c>
    </row>
    <row r="1434" spans="1:2" x14ac:dyDescent="0.2">
      <c r="A1434" s="159">
        <v>10978711</v>
      </c>
      <c r="B1434" s="159" t="s">
        <v>1257</v>
      </c>
    </row>
    <row r="1435" spans="1:2" x14ac:dyDescent="0.2">
      <c r="A1435" s="159">
        <v>10978790</v>
      </c>
      <c r="B1435" s="159" t="s">
        <v>1382</v>
      </c>
    </row>
    <row r="1436" spans="1:2" x14ac:dyDescent="0.2">
      <c r="A1436" s="159">
        <v>10978950</v>
      </c>
      <c r="B1436" s="159" t="s">
        <v>1382</v>
      </c>
    </row>
    <row r="1437" spans="1:2" x14ac:dyDescent="0.2">
      <c r="A1437" s="159">
        <v>10979130</v>
      </c>
      <c r="B1437" s="159" t="s">
        <v>1525</v>
      </c>
    </row>
    <row r="1438" spans="1:2" x14ac:dyDescent="0.2">
      <c r="A1438" s="159">
        <v>10979147</v>
      </c>
      <c r="B1438" s="159" t="s">
        <v>1564</v>
      </c>
    </row>
    <row r="1439" spans="1:2" x14ac:dyDescent="0.2">
      <c r="A1439" s="159">
        <v>10979164</v>
      </c>
      <c r="B1439" s="159" t="s">
        <v>1596</v>
      </c>
    </row>
    <row r="1440" spans="1:2" x14ac:dyDescent="0.2">
      <c r="A1440" s="159">
        <v>10979170</v>
      </c>
      <c r="B1440" s="159" t="s">
        <v>1613</v>
      </c>
    </row>
    <row r="1441" spans="1:2" x14ac:dyDescent="0.2">
      <c r="A1441" s="159">
        <v>10979237</v>
      </c>
      <c r="B1441" s="159" t="s">
        <v>1667</v>
      </c>
    </row>
    <row r="1442" spans="1:2" x14ac:dyDescent="0.2">
      <c r="A1442" s="159">
        <v>10979297</v>
      </c>
      <c r="B1442" s="159" t="s">
        <v>1704</v>
      </c>
    </row>
    <row r="1443" spans="1:2" x14ac:dyDescent="0.2">
      <c r="A1443" s="159">
        <v>10979439</v>
      </c>
      <c r="B1443" s="159" t="s">
        <v>1766</v>
      </c>
    </row>
    <row r="1444" spans="1:2" x14ac:dyDescent="0.2">
      <c r="A1444" s="159">
        <v>10979778</v>
      </c>
      <c r="B1444" s="159" t="s">
        <v>1935</v>
      </c>
    </row>
    <row r="1445" spans="1:2" x14ac:dyDescent="0.2">
      <c r="A1445" s="159">
        <v>10979837</v>
      </c>
      <c r="B1445" s="159" t="s">
        <v>1962</v>
      </c>
    </row>
    <row r="1446" spans="1:2" x14ac:dyDescent="0.2">
      <c r="A1446" s="159">
        <v>10979874</v>
      </c>
      <c r="B1446" s="159" t="s">
        <v>2032</v>
      </c>
    </row>
    <row r="1447" spans="1:2" x14ac:dyDescent="0.2">
      <c r="A1447" s="159">
        <v>10979877</v>
      </c>
      <c r="B1447" s="159" t="s">
        <v>2048</v>
      </c>
    </row>
    <row r="1448" spans="1:2" x14ac:dyDescent="0.2">
      <c r="A1448" s="159">
        <v>10979912</v>
      </c>
      <c r="B1448" s="159" t="s">
        <v>2087</v>
      </c>
    </row>
    <row r="1449" spans="1:2" x14ac:dyDescent="0.2">
      <c r="A1449" s="159">
        <v>10988711</v>
      </c>
      <c r="B1449" s="159" t="s">
        <v>1257</v>
      </c>
    </row>
    <row r="1450" spans="1:2" x14ac:dyDescent="0.2">
      <c r="A1450" s="159">
        <v>11018100</v>
      </c>
      <c r="B1450" s="159" t="s">
        <v>942</v>
      </c>
    </row>
    <row r="1451" spans="1:2" x14ac:dyDescent="0.2">
      <c r="A1451" s="159">
        <v>11077055</v>
      </c>
      <c r="B1451" s="159" t="s">
        <v>1115</v>
      </c>
    </row>
    <row r="1452" spans="1:2" x14ac:dyDescent="0.2">
      <c r="A1452" s="159">
        <v>11078021</v>
      </c>
      <c r="B1452" s="159" t="s">
        <v>1160</v>
      </c>
    </row>
    <row r="1453" spans="1:2" x14ac:dyDescent="0.2">
      <c r="A1453" s="159">
        <v>11078711</v>
      </c>
      <c r="B1453" s="159" t="s">
        <v>1258</v>
      </c>
    </row>
    <row r="1454" spans="1:2" x14ac:dyDescent="0.2">
      <c r="A1454" s="159">
        <v>11079084</v>
      </c>
      <c r="B1454" s="159" t="s">
        <v>1483</v>
      </c>
    </row>
    <row r="1455" spans="1:2" x14ac:dyDescent="0.2">
      <c r="A1455" s="159">
        <v>11079130</v>
      </c>
      <c r="B1455" s="159" t="s">
        <v>1526</v>
      </c>
    </row>
    <row r="1456" spans="1:2" x14ac:dyDescent="0.2">
      <c r="A1456" s="159">
        <v>11079147</v>
      </c>
      <c r="B1456" s="159" t="s">
        <v>1565</v>
      </c>
    </row>
    <row r="1457" spans="1:2" x14ac:dyDescent="0.2">
      <c r="A1457" s="159">
        <v>11079164</v>
      </c>
      <c r="B1457" s="159" t="s">
        <v>1597</v>
      </c>
    </row>
    <row r="1458" spans="1:2" x14ac:dyDescent="0.2">
      <c r="A1458" s="159">
        <v>11079170</v>
      </c>
      <c r="B1458" s="159" t="s">
        <v>1614</v>
      </c>
    </row>
    <row r="1459" spans="1:2" x14ac:dyDescent="0.2">
      <c r="A1459" s="159">
        <v>11079297</v>
      </c>
      <c r="B1459" s="159" t="s">
        <v>1705</v>
      </c>
    </row>
    <row r="1460" spans="1:2" x14ac:dyDescent="0.2">
      <c r="A1460" s="159">
        <v>11079300</v>
      </c>
      <c r="B1460" s="159" t="s">
        <v>1707</v>
      </c>
    </row>
    <row r="1461" spans="1:2" x14ac:dyDescent="0.2">
      <c r="A1461" s="159">
        <v>11079439</v>
      </c>
      <c r="B1461" s="159" t="s">
        <v>1767</v>
      </c>
    </row>
    <row r="1462" spans="1:2" x14ac:dyDescent="0.2">
      <c r="A1462" s="159">
        <v>11079837</v>
      </c>
      <c r="B1462" s="159" t="s">
        <v>1963</v>
      </c>
    </row>
    <row r="1463" spans="1:2" x14ac:dyDescent="0.2">
      <c r="A1463" s="159">
        <v>11079874</v>
      </c>
      <c r="B1463" s="159" t="s">
        <v>2033</v>
      </c>
    </row>
    <row r="1464" spans="1:2" x14ac:dyDescent="0.2">
      <c r="A1464" s="159">
        <v>11079877</v>
      </c>
      <c r="B1464" s="159" t="s">
        <v>2049</v>
      </c>
    </row>
    <row r="1465" spans="1:2" x14ac:dyDescent="0.2">
      <c r="A1465" s="159">
        <v>11079912</v>
      </c>
      <c r="B1465" s="159" t="s">
        <v>2088</v>
      </c>
    </row>
    <row r="1466" spans="1:2" x14ac:dyDescent="0.2">
      <c r="A1466" s="159">
        <v>11088021</v>
      </c>
      <c r="B1466" s="159" t="s">
        <v>2255</v>
      </c>
    </row>
    <row r="1467" spans="1:2" x14ac:dyDescent="0.2">
      <c r="A1467" s="159">
        <v>11088711</v>
      </c>
      <c r="B1467" s="159" t="s">
        <v>1258</v>
      </c>
    </row>
    <row r="1468" spans="1:2" x14ac:dyDescent="0.2">
      <c r="A1468" s="159">
        <v>11089683</v>
      </c>
      <c r="B1468" s="159" t="s">
        <v>2379</v>
      </c>
    </row>
    <row r="1469" spans="1:2" x14ac:dyDescent="0.2">
      <c r="A1469" s="159">
        <v>11118002</v>
      </c>
      <c r="B1469" s="159" t="s">
        <v>933</v>
      </c>
    </row>
    <row r="1470" spans="1:2" x14ac:dyDescent="0.2">
      <c r="A1470" s="159">
        <v>11118100</v>
      </c>
      <c r="B1470" s="159" t="s">
        <v>943</v>
      </c>
    </row>
    <row r="1471" spans="1:2" x14ac:dyDescent="0.2">
      <c r="A1471" s="159">
        <v>11177055</v>
      </c>
      <c r="B1471" s="159" t="s">
        <v>1116</v>
      </c>
    </row>
    <row r="1472" spans="1:2" x14ac:dyDescent="0.2">
      <c r="A1472" s="159">
        <v>11178021</v>
      </c>
      <c r="B1472" s="159" t="s">
        <v>1161</v>
      </c>
    </row>
    <row r="1473" spans="1:2" x14ac:dyDescent="0.2">
      <c r="A1473" s="159">
        <v>11178711</v>
      </c>
      <c r="B1473" s="159" t="s">
        <v>1259</v>
      </c>
    </row>
    <row r="1474" spans="1:2" x14ac:dyDescent="0.2">
      <c r="A1474" s="159">
        <v>11178790</v>
      </c>
      <c r="B1474" s="159" t="s">
        <v>1383</v>
      </c>
    </row>
    <row r="1475" spans="1:2" x14ac:dyDescent="0.2">
      <c r="A1475" s="159">
        <v>11178950</v>
      </c>
      <c r="B1475" s="159" t="s">
        <v>1383</v>
      </c>
    </row>
    <row r="1476" spans="1:2" x14ac:dyDescent="0.2">
      <c r="A1476" s="159">
        <v>11179084</v>
      </c>
      <c r="B1476" s="159" t="s">
        <v>1484</v>
      </c>
    </row>
    <row r="1477" spans="1:2" x14ac:dyDescent="0.2">
      <c r="A1477" s="159">
        <v>11179130</v>
      </c>
      <c r="B1477" s="159" t="s">
        <v>1527</v>
      </c>
    </row>
    <row r="1478" spans="1:2" x14ac:dyDescent="0.2">
      <c r="A1478" s="159">
        <v>11179147</v>
      </c>
      <c r="B1478" s="159" t="s">
        <v>1566</v>
      </c>
    </row>
    <row r="1479" spans="1:2" x14ac:dyDescent="0.2">
      <c r="A1479" s="159">
        <v>11179170</v>
      </c>
      <c r="B1479" s="159" t="s">
        <v>1615</v>
      </c>
    </row>
    <row r="1480" spans="1:2" x14ac:dyDescent="0.2">
      <c r="A1480" s="159">
        <v>11179300</v>
      </c>
      <c r="B1480" s="159" t="s">
        <v>1708</v>
      </c>
    </row>
    <row r="1481" spans="1:2" x14ac:dyDescent="0.2">
      <c r="A1481" s="159">
        <v>11179439</v>
      </c>
      <c r="B1481" s="159" t="s">
        <v>1768</v>
      </c>
    </row>
    <row r="1482" spans="1:2" x14ac:dyDescent="0.2">
      <c r="A1482" s="159">
        <v>11179778</v>
      </c>
      <c r="B1482" s="159" t="s">
        <v>1936</v>
      </c>
    </row>
    <row r="1483" spans="1:2" x14ac:dyDescent="0.2">
      <c r="A1483" s="159">
        <v>11179837</v>
      </c>
      <c r="B1483" s="159" t="s">
        <v>1964</v>
      </c>
    </row>
    <row r="1484" spans="1:2" x14ac:dyDescent="0.2">
      <c r="A1484" s="159">
        <v>11179874</v>
      </c>
      <c r="B1484" s="159" t="s">
        <v>2034</v>
      </c>
    </row>
    <row r="1485" spans="1:2" x14ac:dyDescent="0.2">
      <c r="A1485" s="159">
        <v>11179912</v>
      </c>
      <c r="B1485" s="159" t="s">
        <v>2089</v>
      </c>
    </row>
    <row r="1486" spans="1:2" x14ac:dyDescent="0.2">
      <c r="A1486" s="159">
        <v>11188711</v>
      </c>
      <c r="B1486" s="159" t="s">
        <v>1259</v>
      </c>
    </row>
    <row r="1487" spans="1:2" x14ac:dyDescent="0.2">
      <c r="A1487" s="159">
        <v>11277055</v>
      </c>
      <c r="B1487" s="159" t="s">
        <v>1117</v>
      </c>
    </row>
    <row r="1488" spans="1:2" x14ac:dyDescent="0.2">
      <c r="A1488" s="159">
        <v>11278021</v>
      </c>
      <c r="B1488" s="159" t="s">
        <v>1162</v>
      </c>
    </row>
    <row r="1489" spans="1:2" x14ac:dyDescent="0.2">
      <c r="A1489" s="159">
        <v>11278711</v>
      </c>
      <c r="B1489" s="159" t="s">
        <v>1260</v>
      </c>
    </row>
    <row r="1490" spans="1:2" x14ac:dyDescent="0.2">
      <c r="A1490" s="159">
        <v>11278790</v>
      </c>
      <c r="B1490" s="159" t="s">
        <v>1384</v>
      </c>
    </row>
    <row r="1491" spans="1:2" x14ac:dyDescent="0.2">
      <c r="A1491" s="159">
        <v>11278950</v>
      </c>
      <c r="B1491" s="159" t="s">
        <v>1384</v>
      </c>
    </row>
    <row r="1492" spans="1:2" x14ac:dyDescent="0.2">
      <c r="A1492" s="159">
        <v>11279084</v>
      </c>
      <c r="B1492" s="159" t="s">
        <v>1485</v>
      </c>
    </row>
    <row r="1493" spans="1:2" x14ac:dyDescent="0.2">
      <c r="A1493" s="159">
        <v>11279130</v>
      </c>
      <c r="B1493" s="159" t="s">
        <v>1528</v>
      </c>
    </row>
    <row r="1494" spans="1:2" x14ac:dyDescent="0.2">
      <c r="A1494" s="159">
        <v>11279147</v>
      </c>
      <c r="B1494" s="159" t="s">
        <v>1567</v>
      </c>
    </row>
    <row r="1495" spans="1:2" x14ac:dyDescent="0.2">
      <c r="A1495" s="159">
        <v>11279170</v>
      </c>
      <c r="B1495" s="159" t="s">
        <v>1616</v>
      </c>
    </row>
    <row r="1496" spans="1:2" x14ac:dyDescent="0.2">
      <c r="A1496" s="159">
        <v>11279237</v>
      </c>
      <c r="B1496" s="159" t="s">
        <v>1674</v>
      </c>
    </row>
    <row r="1497" spans="1:2" x14ac:dyDescent="0.2">
      <c r="A1497" s="159">
        <v>11279300</v>
      </c>
      <c r="B1497" s="159" t="s">
        <v>1709</v>
      </c>
    </row>
    <row r="1498" spans="1:2" x14ac:dyDescent="0.2">
      <c r="A1498" s="159">
        <v>11279439</v>
      </c>
      <c r="B1498" s="159" t="s">
        <v>1769</v>
      </c>
    </row>
    <row r="1499" spans="1:2" x14ac:dyDescent="0.2">
      <c r="A1499" s="159">
        <v>11279668</v>
      </c>
      <c r="B1499" s="159" t="s">
        <v>1824</v>
      </c>
    </row>
    <row r="1500" spans="1:2" x14ac:dyDescent="0.2">
      <c r="A1500" s="159">
        <v>11279778</v>
      </c>
      <c r="B1500" s="159" t="s">
        <v>1937</v>
      </c>
    </row>
    <row r="1501" spans="1:2" x14ac:dyDescent="0.2">
      <c r="A1501" s="159">
        <v>11279837</v>
      </c>
      <c r="B1501" s="159" t="s">
        <v>1965</v>
      </c>
    </row>
    <row r="1502" spans="1:2" x14ac:dyDescent="0.2">
      <c r="A1502" s="159">
        <v>11279874</v>
      </c>
      <c r="B1502" s="159" t="s">
        <v>2035</v>
      </c>
    </row>
    <row r="1503" spans="1:2" x14ac:dyDescent="0.2">
      <c r="A1503" s="159">
        <v>11279877</v>
      </c>
      <c r="B1503" s="159" t="s">
        <v>2050</v>
      </c>
    </row>
    <row r="1504" spans="1:2" x14ac:dyDescent="0.2">
      <c r="A1504" s="159">
        <v>11279912</v>
      </c>
      <c r="B1504" s="159" t="s">
        <v>2090</v>
      </c>
    </row>
    <row r="1505" spans="1:2" x14ac:dyDescent="0.2">
      <c r="A1505" s="159">
        <v>11279940</v>
      </c>
      <c r="B1505" s="159" t="s">
        <v>2103</v>
      </c>
    </row>
    <row r="1506" spans="1:2" x14ac:dyDescent="0.2">
      <c r="A1506" s="159">
        <v>11288711</v>
      </c>
      <c r="B1506" s="159" t="s">
        <v>1260</v>
      </c>
    </row>
    <row r="1507" spans="1:2" x14ac:dyDescent="0.2">
      <c r="A1507" s="159">
        <v>11318100</v>
      </c>
      <c r="B1507" s="159" t="s">
        <v>944</v>
      </c>
    </row>
    <row r="1508" spans="1:2" x14ac:dyDescent="0.2">
      <c r="A1508" s="159">
        <v>11377055</v>
      </c>
      <c r="B1508" s="159" t="s">
        <v>1118</v>
      </c>
    </row>
    <row r="1509" spans="1:2" x14ac:dyDescent="0.2">
      <c r="A1509" s="159">
        <v>11378021</v>
      </c>
      <c r="B1509" s="159" t="s">
        <v>1163</v>
      </c>
    </row>
    <row r="1510" spans="1:2" x14ac:dyDescent="0.2">
      <c r="A1510" s="159">
        <v>11378711</v>
      </c>
      <c r="B1510" s="159" t="s">
        <v>1261</v>
      </c>
    </row>
    <row r="1511" spans="1:2" x14ac:dyDescent="0.2">
      <c r="A1511" s="159">
        <v>11379084</v>
      </c>
      <c r="B1511" s="159" t="s">
        <v>1486</v>
      </c>
    </row>
    <row r="1512" spans="1:2" x14ac:dyDescent="0.2">
      <c r="A1512" s="159">
        <v>11379130</v>
      </c>
      <c r="B1512" s="159" t="s">
        <v>1529</v>
      </c>
    </row>
    <row r="1513" spans="1:2" x14ac:dyDescent="0.2">
      <c r="A1513" s="159">
        <v>11379164</v>
      </c>
      <c r="B1513" s="159" t="s">
        <v>1598</v>
      </c>
    </row>
    <row r="1514" spans="1:2" x14ac:dyDescent="0.2">
      <c r="A1514" s="159">
        <v>11379300</v>
      </c>
      <c r="B1514" s="159" t="s">
        <v>1710</v>
      </c>
    </row>
    <row r="1515" spans="1:2" x14ac:dyDescent="0.2">
      <c r="A1515" s="159">
        <v>11379439</v>
      </c>
      <c r="B1515" s="159" t="s">
        <v>1770</v>
      </c>
    </row>
    <row r="1516" spans="1:2" x14ac:dyDescent="0.2">
      <c r="A1516" s="159">
        <v>11379753</v>
      </c>
      <c r="B1516" s="159" t="s">
        <v>1893</v>
      </c>
    </row>
    <row r="1517" spans="1:2" x14ac:dyDescent="0.2">
      <c r="A1517" s="159">
        <v>11379837</v>
      </c>
      <c r="B1517" s="159" t="s">
        <v>1966</v>
      </c>
    </row>
    <row r="1518" spans="1:2" x14ac:dyDescent="0.2">
      <c r="A1518" s="159">
        <v>11379877</v>
      </c>
      <c r="B1518" s="159" t="s">
        <v>2051</v>
      </c>
    </row>
    <row r="1519" spans="1:2" x14ac:dyDescent="0.2">
      <c r="A1519" s="159">
        <v>11379912</v>
      </c>
      <c r="B1519" s="159" t="s">
        <v>2091</v>
      </c>
    </row>
    <row r="1520" spans="1:2" x14ac:dyDescent="0.2">
      <c r="A1520" s="159">
        <v>11388711</v>
      </c>
      <c r="B1520" s="159" t="s">
        <v>1261</v>
      </c>
    </row>
    <row r="1521" spans="1:2" x14ac:dyDescent="0.2">
      <c r="A1521" s="159">
        <v>11477055</v>
      </c>
      <c r="B1521" s="159" t="s">
        <v>1119</v>
      </c>
    </row>
    <row r="1522" spans="1:2" x14ac:dyDescent="0.2">
      <c r="A1522" s="159">
        <v>11478021</v>
      </c>
      <c r="B1522" s="159" t="s">
        <v>1164</v>
      </c>
    </row>
    <row r="1523" spans="1:2" x14ac:dyDescent="0.2">
      <c r="A1523" s="159">
        <v>11478711</v>
      </c>
      <c r="B1523" s="159" t="s">
        <v>1262</v>
      </c>
    </row>
    <row r="1524" spans="1:2" x14ac:dyDescent="0.2">
      <c r="A1524" s="159">
        <v>11478790</v>
      </c>
      <c r="B1524" s="159" t="s">
        <v>1385</v>
      </c>
    </row>
    <row r="1525" spans="1:2" x14ac:dyDescent="0.2">
      <c r="A1525" s="159">
        <v>11478950</v>
      </c>
      <c r="B1525" s="159" t="s">
        <v>1385</v>
      </c>
    </row>
    <row r="1526" spans="1:2" x14ac:dyDescent="0.2">
      <c r="A1526" s="159">
        <v>11479084</v>
      </c>
      <c r="B1526" s="159" t="s">
        <v>1487</v>
      </c>
    </row>
    <row r="1527" spans="1:2" x14ac:dyDescent="0.2">
      <c r="A1527" s="159">
        <v>11479130</v>
      </c>
      <c r="B1527" s="159" t="s">
        <v>1530</v>
      </c>
    </row>
    <row r="1528" spans="1:2" x14ac:dyDescent="0.2">
      <c r="A1528" s="159">
        <v>11479147</v>
      </c>
      <c r="B1528" s="159" t="s">
        <v>1568</v>
      </c>
    </row>
    <row r="1529" spans="1:2" x14ac:dyDescent="0.2">
      <c r="A1529" s="159">
        <v>11479164</v>
      </c>
      <c r="B1529" s="159" t="s">
        <v>1599</v>
      </c>
    </row>
    <row r="1530" spans="1:2" x14ac:dyDescent="0.2">
      <c r="A1530" s="159">
        <v>11479237</v>
      </c>
      <c r="B1530" s="159" t="s">
        <v>1675</v>
      </c>
    </row>
    <row r="1531" spans="1:2" x14ac:dyDescent="0.2">
      <c r="A1531" s="159">
        <v>11479300</v>
      </c>
      <c r="B1531" s="159" t="s">
        <v>1711</v>
      </c>
    </row>
    <row r="1532" spans="1:2" x14ac:dyDescent="0.2">
      <c r="A1532" s="159">
        <v>11479439</v>
      </c>
      <c r="B1532" s="159" t="s">
        <v>1771</v>
      </c>
    </row>
    <row r="1533" spans="1:2" x14ac:dyDescent="0.2">
      <c r="A1533" s="159">
        <v>11479668</v>
      </c>
      <c r="B1533" s="159" t="s">
        <v>1825</v>
      </c>
    </row>
    <row r="1534" spans="1:2" x14ac:dyDescent="0.2">
      <c r="A1534" s="159">
        <v>11479778</v>
      </c>
      <c r="B1534" s="159" t="s">
        <v>1938</v>
      </c>
    </row>
    <row r="1535" spans="1:2" x14ac:dyDescent="0.2">
      <c r="A1535" s="159">
        <v>11479837</v>
      </c>
      <c r="B1535" s="159" t="s">
        <v>1967</v>
      </c>
    </row>
    <row r="1536" spans="1:2" x14ac:dyDescent="0.2">
      <c r="A1536" s="159">
        <v>11479877</v>
      </c>
      <c r="B1536" s="159" t="s">
        <v>2052</v>
      </c>
    </row>
    <row r="1537" spans="1:2" x14ac:dyDescent="0.2">
      <c r="A1537" s="159">
        <v>11479912</v>
      </c>
      <c r="B1537" s="159" t="s">
        <v>2092</v>
      </c>
    </row>
    <row r="1538" spans="1:2" x14ac:dyDescent="0.2">
      <c r="A1538" s="159">
        <v>11479940</v>
      </c>
      <c r="B1538" s="159" t="s">
        <v>2104</v>
      </c>
    </row>
    <row r="1539" spans="1:2" x14ac:dyDescent="0.2">
      <c r="A1539" s="159">
        <v>11488711</v>
      </c>
      <c r="B1539" s="159" t="s">
        <v>1262</v>
      </c>
    </row>
    <row r="1540" spans="1:2" x14ac:dyDescent="0.2">
      <c r="A1540" s="159">
        <v>11489683</v>
      </c>
      <c r="B1540" s="159" t="s">
        <v>2380</v>
      </c>
    </row>
    <row r="1541" spans="1:2" x14ac:dyDescent="0.2">
      <c r="A1541" s="159">
        <v>11518100</v>
      </c>
      <c r="B1541" s="159" t="s">
        <v>945</v>
      </c>
    </row>
    <row r="1542" spans="1:2" x14ac:dyDescent="0.2">
      <c r="A1542" s="159">
        <v>11578021</v>
      </c>
      <c r="B1542" s="159" t="s">
        <v>1165</v>
      </c>
    </row>
    <row r="1543" spans="1:2" x14ac:dyDescent="0.2">
      <c r="A1543" s="159">
        <v>11578711</v>
      </c>
      <c r="B1543" s="159" t="s">
        <v>1263</v>
      </c>
    </row>
    <row r="1544" spans="1:2" x14ac:dyDescent="0.2">
      <c r="A1544" s="159">
        <v>11579084</v>
      </c>
      <c r="B1544" s="159" t="s">
        <v>1488</v>
      </c>
    </row>
    <row r="1545" spans="1:2" x14ac:dyDescent="0.2">
      <c r="A1545" s="159">
        <v>11579130</v>
      </c>
      <c r="B1545" s="159" t="s">
        <v>1531</v>
      </c>
    </row>
    <row r="1546" spans="1:2" x14ac:dyDescent="0.2">
      <c r="A1546" s="159">
        <v>11579164</v>
      </c>
      <c r="B1546" s="159" t="s">
        <v>1600</v>
      </c>
    </row>
    <row r="1547" spans="1:2" x14ac:dyDescent="0.2">
      <c r="A1547" s="159">
        <v>11579300</v>
      </c>
      <c r="B1547" s="159" t="s">
        <v>1712</v>
      </c>
    </row>
    <row r="1548" spans="1:2" x14ac:dyDescent="0.2">
      <c r="A1548" s="159">
        <v>11579439</v>
      </c>
      <c r="B1548" s="159" t="s">
        <v>1772</v>
      </c>
    </row>
    <row r="1549" spans="1:2" x14ac:dyDescent="0.2">
      <c r="A1549" s="159">
        <v>11579668</v>
      </c>
      <c r="B1549" s="159" t="s">
        <v>1826</v>
      </c>
    </row>
    <row r="1550" spans="1:2" x14ac:dyDescent="0.2">
      <c r="A1550" s="159">
        <v>11579753</v>
      </c>
      <c r="B1550" s="159" t="s">
        <v>1894</v>
      </c>
    </row>
    <row r="1551" spans="1:2" x14ac:dyDescent="0.2">
      <c r="A1551" s="159">
        <v>11579837</v>
      </c>
      <c r="B1551" s="159" t="s">
        <v>1968</v>
      </c>
    </row>
    <row r="1552" spans="1:2" x14ac:dyDescent="0.2">
      <c r="A1552" s="159">
        <v>11579877</v>
      </c>
      <c r="B1552" s="159" t="s">
        <v>2053</v>
      </c>
    </row>
    <row r="1553" spans="1:2" x14ac:dyDescent="0.2">
      <c r="A1553" s="159">
        <v>11579912</v>
      </c>
      <c r="B1553" s="159" t="s">
        <v>2093</v>
      </c>
    </row>
    <row r="1554" spans="1:2" x14ac:dyDescent="0.2">
      <c r="A1554" s="159">
        <v>11579940</v>
      </c>
      <c r="B1554" s="159" t="s">
        <v>2105</v>
      </c>
    </row>
    <row r="1555" spans="1:2" x14ac:dyDescent="0.2">
      <c r="A1555" s="159">
        <v>11586315</v>
      </c>
      <c r="B1555" s="159" t="s">
        <v>2202</v>
      </c>
    </row>
    <row r="1556" spans="1:2" x14ac:dyDescent="0.2">
      <c r="A1556" s="159">
        <v>11588021</v>
      </c>
      <c r="B1556" s="159" t="s">
        <v>2256</v>
      </c>
    </row>
    <row r="1557" spans="1:2" x14ac:dyDescent="0.2">
      <c r="A1557" s="159">
        <v>11588711</v>
      </c>
      <c r="B1557" s="159" t="s">
        <v>1263</v>
      </c>
    </row>
    <row r="1558" spans="1:2" x14ac:dyDescent="0.2">
      <c r="A1558" s="159">
        <v>11659253</v>
      </c>
      <c r="B1558" s="159" t="s">
        <v>1044</v>
      </c>
    </row>
    <row r="1559" spans="1:2" x14ac:dyDescent="0.2">
      <c r="A1559" s="159">
        <v>11677055</v>
      </c>
      <c r="B1559" s="159" t="s">
        <v>1120</v>
      </c>
    </row>
    <row r="1560" spans="1:2" x14ac:dyDescent="0.2">
      <c r="A1560" s="159">
        <v>11678021</v>
      </c>
      <c r="B1560" s="159" t="s">
        <v>1166</v>
      </c>
    </row>
    <row r="1561" spans="1:2" x14ac:dyDescent="0.2">
      <c r="A1561" s="159">
        <v>11678711</v>
      </c>
      <c r="B1561" s="159" t="s">
        <v>1264</v>
      </c>
    </row>
    <row r="1562" spans="1:2" x14ac:dyDescent="0.2">
      <c r="A1562" s="159">
        <v>11678790</v>
      </c>
      <c r="B1562" s="159" t="s">
        <v>1386</v>
      </c>
    </row>
    <row r="1563" spans="1:2" x14ac:dyDescent="0.2">
      <c r="A1563" s="159">
        <v>11678950</v>
      </c>
      <c r="B1563" s="159" t="s">
        <v>1386</v>
      </c>
    </row>
    <row r="1564" spans="1:2" x14ac:dyDescent="0.2">
      <c r="A1564" s="159">
        <v>11679084</v>
      </c>
      <c r="B1564" s="159" t="s">
        <v>1489</v>
      </c>
    </row>
    <row r="1565" spans="1:2" x14ac:dyDescent="0.2">
      <c r="A1565" s="159">
        <v>11679130</v>
      </c>
      <c r="B1565" s="159" t="s">
        <v>1532</v>
      </c>
    </row>
    <row r="1566" spans="1:2" x14ac:dyDescent="0.2">
      <c r="A1566" s="159">
        <v>11679164</v>
      </c>
      <c r="B1566" s="159" t="s">
        <v>1601</v>
      </c>
    </row>
    <row r="1567" spans="1:2" x14ac:dyDescent="0.2">
      <c r="A1567" s="159">
        <v>11679300</v>
      </c>
      <c r="B1567" s="159" t="s">
        <v>1713</v>
      </c>
    </row>
    <row r="1568" spans="1:2" x14ac:dyDescent="0.2">
      <c r="A1568" s="159">
        <v>11679439</v>
      </c>
      <c r="B1568" s="159" t="s">
        <v>1773</v>
      </c>
    </row>
    <row r="1569" spans="1:2" x14ac:dyDescent="0.2">
      <c r="A1569" s="159">
        <v>11679624</v>
      </c>
      <c r="B1569" s="159" t="s">
        <v>1807</v>
      </c>
    </row>
    <row r="1570" spans="1:2" x14ac:dyDescent="0.2">
      <c r="A1570" s="159">
        <v>11679668</v>
      </c>
      <c r="B1570" s="159" t="s">
        <v>1827</v>
      </c>
    </row>
    <row r="1571" spans="1:2" x14ac:dyDescent="0.2">
      <c r="A1571" s="159">
        <v>11679753</v>
      </c>
      <c r="B1571" s="159" t="s">
        <v>1895</v>
      </c>
    </row>
    <row r="1572" spans="1:2" x14ac:dyDescent="0.2">
      <c r="A1572" s="159">
        <v>11679778</v>
      </c>
      <c r="B1572" s="159" t="s">
        <v>1939</v>
      </c>
    </row>
    <row r="1573" spans="1:2" x14ac:dyDescent="0.2">
      <c r="A1573" s="159">
        <v>11679837</v>
      </c>
      <c r="B1573" s="159" t="s">
        <v>1969</v>
      </c>
    </row>
    <row r="1574" spans="1:2" x14ac:dyDescent="0.2">
      <c r="A1574" s="159">
        <v>11679877</v>
      </c>
      <c r="B1574" s="159" t="s">
        <v>2054</v>
      </c>
    </row>
    <row r="1575" spans="1:2" x14ac:dyDescent="0.2">
      <c r="A1575" s="159">
        <v>11679912</v>
      </c>
      <c r="B1575" s="159" t="s">
        <v>2094</v>
      </c>
    </row>
    <row r="1576" spans="1:2" x14ac:dyDescent="0.2">
      <c r="A1576" s="159">
        <v>11679940</v>
      </c>
      <c r="B1576" s="159" t="s">
        <v>2106</v>
      </c>
    </row>
    <row r="1577" spans="1:2" x14ac:dyDescent="0.2">
      <c r="A1577" s="159">
        <v>11686315</v>
      </c>
      <c r="B1577" s="159" t="s">
        <v>2203</v>
      </c>
    </row>
    <row r="1578" spans="1:2" x14ac:dyDescent="0.2">
      <c r="A1578" s="159">
        <v>11688711</v>
      </c>
      <c r="B1578" s="159" t="s">
        <v>1264</v>
      </c>
    </row>
    <row r="1579" spans="1:2" x14ac:dyDescent="0.2">
      <c r="A1579" s="159">
        <v>11759253</v>
      </c>
      <c r="B1579" s="159" t="s">
        <v>1045</v>
      </c>
    </row>
    <row r="1580" spans="1:2" x14ac:dyDescent="0.2">
      <c r="A1580" s="159">
        <v>11777055</v>
      </c>
      <c r="B1580" s="159" t="s">
        <v>1121</v>
      </c>
    </row>
    <row r="1581" spans="1:2" x14ac:dyDescent="0.2">
      <c r="A1581" s="159">
        <v>11778021</v>
      </c>
      <c r="B1581" s="159" t="s">
        <v>1167</v>
      </c>
    </row>
    <row r="1582" spans="1:2" x14ac:dyDescent="0.2">
      <c r="A1582" s="159">
        <v>11778711</v>
      </c>
      <c r="B1582" s="159" t="s">
        <v>1265</v>
      </c>
    </row>
    <row r="1583" spans="1:2" x14ac:dyDescent="0.2">
      <c r="A1583" s="159">
        <v>11779084</v>
      </c>
      <c r="B1583" s="159" t="s">
        <v>1490</v>
      </c>
    </row>
    <row r="1584" spans="1:2" x14ac:dyDescent="0.2">
      <c r="A1584" s="159">
        <v>11779130</v>
      </c>
      <c r="B1584" s="159" t="s">
        <v>1533</v>
      </c>
    </row>
    <row r="1585" spans="1:2" x14ac:dyDescent="0.2">
      <c r="A1585" s="159">
        <v>11779164</v>
      </c>
      <c r="B1585" s="159" t="s">
        <v>1602</v>
      </c>
    </row>
    <row r="1586" spans="1:2" x14ac:dyDescent="0.2">
      <c r="A1586" s="159">
        <v>11779170</v>
      </c>
      <c r="B1586" s="159" t="s">
        <v>1617</v>
      </c>
    </row>
    <row r="1587" spans="1:2" x14ac:dyDescent="0.2">
      <c r="A1587" s="159">
        <v>11779237</v>
      </c>
      <c r="B1587" s="159" t="s">
        <v>1676</v>
      </c>
    </row>
    <row r="1588" spans="1:2" x14ac:dyDescent="0.2">
      <c r="A1588" s="159">
        <v>11779300</v>
      </c>
      <c r="B1588" s="159" t="s">
        <v>1714</v>
      </c>
    </row>
    <row r="1589" spans="1:2" x14ac:dyDescent="0.2">
      <c r="A1589" s="159">
        <v>11779439</v>
      </c>
      <c r="B1589" s="159" t="s">
        <v>1774</v>
      </c>
    </row>
    <row r="1590" spans="1:2" x14ac:dyDescent="0.2">
      <c r="A1590" s="159">
        <v>11779668</v>
      </c>
      <c r="B1590" s="159" t="s">
        <v>1828</v>
      </c>
    </row>
    <row r="1591" spans="1:2" x14ac:dyDescent="0.2">
      <c r="A1591" s="159">
        <v>11779837</v>
      </c>
      <c r="B1591" s="159" t="s">
        <v>1970</v>
      </c>
    </row>
    <row r="1592" spans="1:2" x14ac:dyDescent="0.2">
      <c r="A1592" s="159">
        <v>11779912</v>
      </c>
      <c r="B1592" s="159" t="s">
        <v>2095</v>
      </c>
    </row>
    <row r="1593" spans="1:2" x14ac:dyDescent="0.2">
      <c r="A1593" s="159">
        <v>11779940</v>
      </c>
      <c r="B1593" s="159" t="s">
        <v>2107</v>
      </c>
    </row>
    <row r="1594" spans="1:2" x14ac:dyDescent="0.2">
      <c r="A1594" s="159">
        <v>11788021</v>
      </c>
      <c r="B1594" s="159" t="s">
        <v>2257</v>
      </c>
    </row>
    <row r="1595" spans="1:2" x14ac:dyDescent="0.2">
      <c r="A1595" s="159">
        <v>11788711</v>
      </c>
      <c r="B1595" s="159" t="s">
        <v>1265</v>
      </c>
    </row>
    <row r="1596" spans="1:2" x14ac:dyDescent="0.2">
      <c r="A1596" s="159">
        <v>11788751</v>
      </c>
      <c r="B1596" s="159" t="s">
        <v>916</v>
      </c>
    </row>
    <row r="1597" spans="1:2" x14ac:dyDescent="0.2">
      <c r="A1597" s="159">
        <v>11877055</v>
      </c>
      <c r="B1597" s="159" t="s">
        <v>1122</v>
      </c>
    </row>
    <row r="1598" spans="1:2" x14ac:dyDescent="0.2">
      <c r="A1598" s="159">
        <v>11878021</v>
      </c>
      <c r="B1598" s="159" t="s">
        <v>1168</v>
      </c>
    </row>
    <row r="1599" spans="1:2" x14ac:dyDescent="0.2">
      <c r="A1599" s="159">
        <v>11879130</v>
      </c>
      <c r="B1599" s="159" t="s">
        <v>1534</v>
      </c>
    </row>
    <row r="1600" spans="1:2" x14ac:dyDescent="0.2">
      <c r="A1600" s="159">
        <v>11879170</v>
      </c>
      <c r="B1600" s="159" t="s">
        <v>1618</v>
      </c>
    </row>
    <row r="1601" spans="1:2" x14ac:dyDescent="0.2">
      <c r="A1601" s="159">
        <v>11879237</v>
      </c>
      <c r="B1601" s="159" t="s">
        <v>1677</v>
      </c>
    </row>
    <row r="1602" spans="1:2" x14ac:dyDescent="0.2">
      <c r="A1602" s="159">
        <v>11879668</v>
      </c>
      <c r="B1602" s="159" t="s">
        <v>1829</v>
      </c>
    </row>
    <row r="1603" spans="1:2" x14ac:dyDescent="0.2">
      <c r="A1603" s="159">
        <v>11879837</v>
      </c>
      <c r="B1603" s="159" t="s">
        <v>1971</v>
      </c>
    </row>
    <row r="1604" spans="1:2" x14ac:dyDescent="0.2">
      <c r="A1604" s="159">
        <v>11879877</v>
      </c>
      <c r="B1604" s="159" t="s">
        <v>2055</v>
      </c>
    </row>
    <row r="1605" spans="1:2" x14ac:dyDescent="0.2">
      <c r="A1605" s="159">
        <v>11879940</v>
      </c>
      <c r="B1605" s="159" t="s">
        <v>2108</v>
      </c>
    </row>
    <row r="1606" spans="1:2" x14ac:dyDescent="0.2">
      <c r="A1606" s="159">
        <v>11918002</v>
      </c>
      <c r="B1606" s="159" t="s">
        <v>934</v>
      </c>
    </row>
    <row r="1607" spans="1:2" x14ac:dyDescent="0.2">
      <c r="A1607" s="159">
        <v>11918100</v>
      </c>
      <c r="B1607" s="159" t="s">
        <v>946</v>
      </c>
    </row>
    <row r="1608" spans="1:2" x14ac:dyDescent="0.2">
      <c r="A1608" s="159">
        <v>11977055</v>
      </c>
      <c r="B1608" s="159" t="s">
        <v>1123</v>
      </c>
    </row>
    <row r="1609" spans="1:2" x14ac:dyDescent="0.2">
      <c r="A1609" s="159">
        <v>11978021</v>
      </c>
      <c r="B1609" s="159" t="s">
        <v>1169</v>
      </c>
    </row>
    <row r="1610" spans="1:2" x14ac:dyDescent="0.2">
      <c r="A1610" s="159">
        <v>11978711</v>
      </c>
      <c r="B1610" s="159" t="s">
        <v>1266</v>
      </c>
    </row>
    <row r="1611" spans="1:2" x14ac:dyDescent="0.2">
      <c r="A1611" s="159">
        <v>11978790</v>
      </c>
      <c r="B1611" s="159" t="s">
        <v>1387</v>
      </c>
    </row>
    <row r="1612" spans="1:2" x14ac:dyDescent="0.2">
      <c r="A1612" s="159">
        <v>11978950</v>
      </c>
      <c r="B1612" s="159" t="s">
        <v>1387</v>
      </c>
    </row>
    <row r="1613" spans="1:2" x14ac:dyDescent="0.2">
      <c r="A1613" s="159">
        <v>11979084</v>
      </c>
      <c r="B1613" s="159" t="s">
        <v>1491</v>
      </c>
    </row>
    <row r="1614" spans="1:2" x14ac:dyDescent="0.2">
      <c r="A1614" s="159">
        <v>11979130</v>
      </c>
      <c r="B1614" s="159" t="s">
        <v>1535</v>
      </c>
    </row>
    <row r="1615" spans="1:2" x14ac:dyDescent="0.2">
      <c r="A1615" s="159">
        <v>11979147</v>
      </c>
      <c r="B1615" s="159" t="s">
        <v>1569</v>
      </c>
    </row>
    <row r="1616" spans="1:2" x14ac:dyDescent="0.2">
      <c r="A1616" s="159">
        <v>11979164</v>
      </c>
      <c r="B1616" s="159" t="s">
        <v>1603</v>
      </c>
    </row>
    <row r="1617" spans="1:2" x14ac:dyDescent="0.2">
      <c r="A1617" s="159">
        <v>11979170</v>
      </c>
      <c r="B1617" s="159" t="s">
        <v>1619</v>
      </c>
    </row>
    <row r="1618" spans="1:2" x14ac:dyDescent="0.2">
      <c r="A1618" s="159">
        <v>11979237</v>
      </c>
      <c r="B1618" s="159" t="s">
        <v>1678</v>
      </c>
    </row>
    <row r="1619" spans="1:2" x14ac:dyDescent="0.2">
      <c r="A1619" s="159">
        <v>11979300</v>
      </c>
      <c r="B1619" s="159" t="s">
        <v>1715</v>
      </c>
    </row>
    <row r="1620" spans="1:2" x14ac:dyDescent="0.2">
      <c r="A1620" s="159">
        <v>11979668</v>
      </c>
      <c r="B1620" s="159" t="s">
        <v>1830</v>
      </c>
    </row>
    <row r="1621" spans="1:2" x14ac:dyDescent="0.2">
      <c r="A1621" s="159">
        <v>11979778</v>
      </c>
      <c r="B1621" s="159" t="s">
        <v>1940</v>
      </c>
    </row>
    <row r="1622" spans="1:2" x14ac:dyDescent="0.2">
      <c r="A1622" s="159">
        <v>11979837</v>
      </c>
      <c r="B1622" s="159" t="s">
        <v>1972</v>
      </c>
    </row>
    <row r="1623" spans="1:2" x14ac:dyDescent="0.2">
      <c r="A1623" s="159">
        <v>11979877</v>
      </c>
      <c r="B1623" s="159" t="s">
        <v>2056</v>
      </c>
    </row>
    <row r="1624" spans="1:2" x14ac:dyDescent="0.2">
      <c r="A1624" s="159">
        <v>11979940</v>
      </c>
      <c r="B1624" s="159" t="s">
        <v>2109</v>
      </c>
    </row>
    <row r="1625" spans="1:2" x14ac:dyDescent="0.2">
      <c r="A1625" s="159">
        <v>11986315</v>
      </c>
      <c r="B1625" s="159" t="s">
        <v>2204</v>
      </c>
    </row>
    <row r="1626" spans="1:2" x14ac:dyDescent="0.2">
      <c r="A1626" s="159">
        <v>11988711</v>
      </c>
      <c r="B1626" s="159" t="s">
        <v>1266</v>
      </c>
    </row>
    <row r="1627" spans="1:2" x14ac:dyDescent="0.2">
      <c r="A1627" s="159">
        <v>12018002</v>
      </c>
      <c r="B1627" s="159" t="s">
        <v>934</v>
      </c>
    </row>
    <row r="1628" spans="1:2" x14ac:dyDescent="0.2">
      <c r="A1628" s="159">
        <v>12018100</v>
      </c>
      <c r="B1628" s="159" t="s">
        <v>947</v>
      </c>
    </row>
    <row r="1629" spans="1:2" x14ac:dyDescent="0.2">
      <c r="A1629" s="159">
        <v>12077055</v>
      </c>
      <c r="B1629" s="159" t="s">
        <v>1124</v>
      </c>
    </row>
    <row r="1630" spans="1:2" x14ac:dyDescent="0.2">
      <c r="A1630" s="159">
        <v>12078021</v>
      </c>
      <c r="B1630" s="159" t="s">
        <v>1170</v>
      </c>
    </row>
    <row r="1631" spans="1:2" x14ac:dyDescent="0.2">
      <c r="A1631" s="159">
        <v>12078711</v>
      </c>
      <c r="B1631" s="159" t="s">
        <v>1267</v>
      </c>
    </row>
    <row r="1632" spans="1:2" x14ac:dyDescent="0.2">
      <c r="A1632" s="159">
        <v>12078790</v>
      </c>
      <c r="B1632" s="159" t="s">
        <v>1388</v>
      </c>
    </row>
    <row r="1633" spans="1:2" x14ac:dyDescent="0.2">
      <c r="A1633" s="159">
        <v>12078950</v>
      </c>
      <c r="B1633" s="159" t="s">
        <v>1388</v>
      </c>
    </row>
    <row r="1634" spans="1:2" x14ac:dyDescent="0.2">
      <c r="A1634" s="159">
        <v>12079130</v>
      </c>
      <c r="B1634" s="159" t="s">
        <v>1536</v>
      </c>
    </row>
    <row r="1635" spans="1:2" x14ac:dyDescent="0.2">
      <c r="A1635" s="159">
        <v>12079147</v>
      </c>
      <c r="B1635" s="159" t="s">
        <v>1570</v>
      </c>
    </row>
    <row r="1636" spans="1:2" x14ac:dyDescent="0.2">
      <c r="A1636" s="159">
        <v>12079164</v>
      </c>
      <c r="B1636" s="159" t="s">
        <v>1604</v>
      </c>
    </row>
    <row r="1637" spans="1:2" x14ac:dyDescent="0.2">
      <c r="A1637" s="159">
        <v>12079170</v>
      </c>
      <c r="B1637" s="159" t="s">
        <v>1620</v>
      </c>
    </row>
    <row r="1638" spans="1:2" x14ac:dyDescent="0.2">
      <c r="A1638" s="159">
        <v>12079237</v>
      </c>
      <c r="B1638" s="159" t="s">
        <v>1677</v>
      </c>
    </row>
    <row r="1639" spans="1:2" x14ac:dyDescent="0.2">
      <c r="A1639" s="159">
        <v>12079668</v>
      </c>
      <c r="B1639" s="159" t="s">
        <v>1831</v>
      </c>
    </row>
    <row r="1640" spans="1:2" x14ac:dyDescent="0.2">
      <c r="A1640" s="159">
        <v>12079778</v>
      </c>
      <c r="B1640" s="159" t="s">
        <v>1941</v>
      </c>
    </row>
    <row r="1641" spans="1:2" x14ac:dyDescent="0.2">
      <c r="A1641" s="159">
        <v>12079837</v>
      </c>
      <c r="B1641" s="159" t="s">
        <v>1973</v>
      </c>
    </row>
    <row r="1642" spans="1:2" x14ac:dyDescent="0.2">
      <c r="A1642" s="159">
        <v>12079877</v>
      </c>
      <c r="B1642" s="159" t="s">
        <v>2057</v>
      </c>
    </row>
    <row r="1643" spans="1:2" x14ac:dyDescent="0.2">
      <c r="A1643" s="159">
        <v>12079940</v>
      </c>
      <c r="B1643" s="159" t="s">
        <v>2110</v>
      </c>
    </row>
    <row r="1644" spans="1:2" x14ac:dyDescent="0.2">
      <c r="A1644" s="159">
        <v>12088711</v>
      </c>
      <c r="B1644" s="159" t="s">
        <v>1267</v>
      </c>
    </row>
    <row r="1645" spans="1:2" x14ac:dyDescent="0.2">
      <c r="A1645" s="159">
        <v>12118002</v>
      </c>
      <c r="B1645" s="159" t="s">
        <v>934</v>
      </c>
    </row>
    <row r="1646" spans="1:2" x14ac:dyDescent="0.2">
      <c r="A1646" s="159">
        <v>12159253</v>
      </c>
      <c r="B1646" s="159" t="s">
        <v>1046</v>
      </c>
    </row>
    <row r="1647" spans="1:2" x14ac:dyDescent="0.2">
      <c r="A1647" s="159">
        <v>12178021</v>
      </c>
      <c r="B1647" s="159" t="s">
        <v>1171</v>
      </c>
    </row>
    <row r="1648" spans="1:2" x14ac:dyDescent="0.2">
      <c r="A1648" s="159">
        <v>12178711</v>
      </c>
      <c r="B1648" s="159" t="s">
        <v>1268</v>
      </c>
    </row>
    <row r="1649" spans="1:2" x14ac:dyDescent="0.2">
      <c r="A1649" s="159">
        <v>12179084</v>
      </c>
      <c r="B1649" s="159" t="s">
        <v>1492</v>
      </c>
    </row>
    <row r="1650" spans="1:2" x14ac:dyDescent="0.2">
      <c r="A1650" s="159">
        <v>12179130</v>
      </c>
      <c r="B1650" s="159" t="s">
        <v>1537</v>
      </c>
    </row>
    <row r="1651" spans="1:2" x14ac:dyDescent="0.2">
      <c r="A1651" s="159">
        <v>12179147</v>
      </c>
      <c r="B1651" s="159" t="s">
        <v>1571</v>
      </c>
    </row>
    <row r="1652" spans="1:2" x14ac:dyDescent="0.2">
      <c r="A1652" s="159">
        <v>12179164</v>
      </c>
      <c r="B1652" s="159" t="s">
        <v>1605</v>
      </c>
    </row>
    <row r="1653" spans="1:2" x14ac:dyDescent="0.2">
      <c r="A1653" s="159">
        <v>12179237</v>
      </c>
      <c r="B1653" s="159" t="s">
        <v>1679</v>
      </c>
    </row>
    <row r="1654" spans="1:2" x14ac:dyDescent="0.2">
      <c r="A1654" s="159">
        <v>12179300</v>
      </c>
      <c r="B1654" s="159" t="s">
        <v>1716</v>
      </c>
    </row>
    <row r="1655" spans="1:2" x14ac:dyDescent="0.2">
      <c r="A1655" s="159">
        <v>12179439</v>
      </c>
      <c r="B1655" s="159" t="s">
        <v>1775</v>
      </c>
    </row>
    <row r="1656" spans="1:2" x14ac:dyDescent="0.2">
      <c r="A1656" s="159">
        <v>12179624</v>
      </c>
      <c r="B1656" s="159" t="s">
        <v>1808</v>
      </c>
    </row>
    <row r="1657" spans="1:2" x14ac:dyDescent="0.2">
      <c r="A1657" s="159">
        <v>12179668</v>
      </c>
      <c r="B1657" s="159" t="s">
        <v>1832</v>
      </c>
    </row>
    <row r="1658" spans="1:2" x14ac:dyDescent="0.2">
      <c r="A1658" s="159">
        <v>12179753</v>
      </c>
      <c r="B1658" s="159" t="s">
        <v>1896</v>
      </c>
    </row>
    <row r="1659" spans="1:2" x14ac:dyDescent="0.2">
      <c r="A1659" s="159">
        <v>12179837</v>
      </c>
      <c r="B1659" s="159" t="s">
        <v>1974</v>
      </c>
    </row>
    <row r="1660" spans="1:2" x14ac:dyDescent="0.2">
      <c r="A1660" s="159">
        <v>12179877</v>
      </c>
      <c r="B1660" s="159" t="s">
        <v>2058</v>
      </c>
    </row>
    <row r="1661" spans="1:2" x14ac:dyDescent="0.2">
      <c r="A1661" s="159">
        <v>12179940</v>
      </c>
      <c r="B1661" s="159" t="s">
        <v>2111</v>
      </c>
    </row>
    <row r="1662" spans="1:2" x14ac:dyDescent="0.2">
      <c r="A1662" s="159">
        <v>12188711</v>
      </c>
      <c r="B1662" s="159" t="s">
        <v>1268</v>
      </c>
    </row>
    <row r="1663" spans="1:2" x14ac:dyDescent="0.2">
      <c r="A1663" s="159">
        <v>12218002</v>
      </c>
      <c r="B1663" s="159" t="s">
        <v>934</v>
      </c>
    </row>
    <row r="1664" spans="1:2" x14ac:dyDescent="0.2">
      <c r="A1664" s="159">
        <v>12218100</v>
      </c>
      <c r="B1664" s="159" t="s">
        <v>948</v>
      </c>
    </row>
    <row r="1665" spans="1:2" x14ac:dyDescent="0.2">
      <c r="A1665" s="159">
        <v>12259253</v>
      </c>
      <c r="B1665" s="159" t="s">
        <v>1047</v>
      </c>
    </row>
    <row r="1666" spans="1:2" x14ac:dyDescent="0.2">
      <c r="A1666" s="159">
        <v>12278021</v>
      </c>
      <c r="B1666" s="159" t="s">
        <v>1172</v>
      </c>
    </row>
    <row r="1667" spans="1:2" x14ac:dyDescent="0.2">
      <c r="A1667" s="159">
        <v>12278711</v>
      </c>
      <c r="B1667" s="159" t="s">
        <v>1269</v>
      </c>
    </row>
    <row r="1668" spans="1:2" x14ac:dyDescent="0.2">
      <c r="A1668" s="159">
        <v>12279084</v>
      </c>
      <c r="B1668" s="159" t="s">
        <v>1493</v>
      </c>
    </row>
    <row r="1669" spans="1:2" x14ac:dyDescent="0.2">
      <c r="A1669" s="159">
        <v>12279130</v>
      </c>
      <c r="B1669" s="159" t="s">
        <v>1538</v>
      </c>
    </row>
    <row r="1670" spans="1:2" x14ac:dyDescent="0.2">
      <c r="A1670" s="159">
        <v>12279164</v>
      </c>
      <c r="B1670" s="159" t="s">
        <v>1606</v>
      </c>
    </row>
    <row r="1671" spans="1:2" x14ac:dyDescent="0.2">
      <c r="A1671" s="159">
        <v>12279170</v>
      </c>
      <c r="B1671" s="159" t="s">
        <v>1621</v>
      </c>
    </row>
    <row r="1672" spans="1:2" x14ac:dyDescent="0.2">
      <c r="A1672" s="159">
        <v>12279237</v>
      </c>
      <c r="B1672" s="159" t="s">
        <v>1680</v>
      </c>
    </row>
    <row r="1673" spans="1:2" x14ac:dyDescent="0.2">
      <c r="A1673" s="159">
        <v>12279300</v>
      </c>
      <c r="B1673" s="159" t="s">
        <v>1717</v>
      </c>
    </row>
    <row r="1674" spans="1:2" x14ac:dyDescent="0.2">
      <c r="A1674" s="159">
        <v>12279624</v>
      </c>
      <c r="B1674" s="159" t="s">
        <v>1809</v>
      </c>
    </row>
    <row r="1675" spans="1:2" x14ac:dyDescent="0.2">
      <c r="A1675" s="159">
        <v>12279668</v>
      </c>
      <c r="B1675" s="159" t="s">
        <v>1833</v>
      </c>
    </row>
    <row r="1676" spans="1:2" x14ac:dyDescent="0.2">
      <c r="A1676" s="159">
        <v>12279837</v>
      </c>
      <c r="B1676" s="159" t="s">
        <v>1975</v>
      </c>
    </row>
    <row r="1677" spans="1:2" x14ac:dyDescent="0.2">
      <c r="A1677" s="159">
        <v>12279877</v>
      </c>
      <c r="B1677" s="159" t="s">
        <v>2059</v>
      </c>
    </row>
    <row r="1678" spans="1:2" x14ac:dyDescent="0.2">
      <c r="A1678" s="159">
        <v>12279940</v>
      </c>
      <c r="B1678" s="159" t="s">
        <v>2112</v>
      </c>
    </row>
    <row r="1679" spans="1:2" x14ac:dyDescent="0.2">
      <c r="A1679" s="159">
        <v>12288711</v>
      </c>
      <c r="B1679" s="159" t="s">
        <v>1269</v>
      </c>
    </row>
    <row r="1680" spans="1:2" x14ac:dyDescent="0.2">
      <c r="A1680" s="159">
        <v>12318100</v>
      </c>
      <c r="B1680" s="159" t="s">
        <v>949</v>
      </c>
    </row>
    <row r="1681" spans="1:2" x14ac:dyDescent="0.2">
      <c r="A1681" s="159">
        <v>12378021</v>
      </c>
      <c r="B1681" s="159" t="s">
        <v>1173</v>
      </c>
    </row>
    <row r="1682" spans="1:2" x14ac:dyDescent="0.2">
      <c r="A1682" s="159">
        <v>12378711</v>
      </c>
      <c r="B1682" s="159" t="s">
        <v>1270</v>
      </c>
    </row>
    <row r="1683" spans="1:2" x14ac:dyDescent="0.2">
      <c r="A1683" s="159">
        <v>12379084</v>
      </c>
      <c r="B1683" s="159" t="s">
        <v>1494</v>
      </c>
    </row>
    <row r="1684" spans="1:2" x14ac:dyDescent="0.2">
      <c r="A1684" s="159">
        <v>12379130</v>
      </c>
      <c r="B1684" s="159" t="s">
        <v>1539</v>
      </c>
    </row>
    <row r="1685" spans="1:2" x14ac:dyDescent="0.2">
      <c r="A1685" s="159">
        <v>12379164</v>
      </c>
      <c r="B1685" s="159" t="s">
        <v>1607</v>
      </c>
    </row>
    <row r="1686" spans="1:2" x14ac:dyDescent="0.2">
      <c r="A1686" s="159">
        <v>12379170</v>
      </c>
      <c r="B1686" s="159" t="s">
        <v>1622</v>
      </c>
    </row>
    <row r="1687" spans="1:2" x14ac:dyDescent="0.2">
      <c r="A1687" s="159">
        <v>12379237</v>
      </c>
      <c r="B1687" s="159" t="s">
        <v>1681</v>
      </c>
    </row>
    <row r="1688" spans="1:2" x14ac:dyDescent="0.2">
      <c r="A1688" s="159">
        <v>12379300</v>
      </c>
      <c r="B1688" s="159" t="s">
        <v>1718</v>
      </c>
    </row>
    <row r="1689" spans="1:2" x14ac:dyDescent="0.2">
      <c r="A1689" s="159">
        <v>12379439</v>
      </c>
      <c r="B1689" s="159" t="s">
        <v>1776</v>
      </c>
    </row>
    <row r="1690" spans="1:2" x14ac:dyDescent="0.2">
      <c r="A1690" s="159">
        <v>12379668</v>
      </c>
      <c r="B1690" s="159" t="s">
        <v>1834</v>
      </c>
    </row>
    <row r="1691" spans="1:2" x14ac:dyDescent="0.2">
      <c r="A1691" s="159">
        <v>12379837</v>
      </c>
      <c r="B1691" s="159" t="s">
        <v>1976</v>
      </c>
    </row>
    <row r="1692" spans="1:2" x14ac:dyDescent="0.2">
      <c r="A1692" s="159">
        <v>12379877</v>
      </c>
      <c r="B1692" s="159" t="s">
        <v>2060</v>
      </c>
    </row>
    <row r="1693" spans="1:2" x14ac:dyDescent="0.2">
      <c r="A1693" s="159">
        <v>12379940</v>
      </c>
      <c r="B1693" s="159" t="s">
        <v>2113</v>
      </c>
    </row>
    <row r="1694" spans="1:2" x14ac:dyDescent="0.2">
      <c r="A1694" s="159">
        <v>12386315</v>
      </c>
      <c r="B1694" s="159" t="s">
        <v>2205</v>
      </c>
    </row>
    <row r="1695" spans="1:2" x14ac:dyDescent="0.2">
      <c r="A1695" s="159">
        <v>12388021</v>
      </c>
      <c r="B1695" s="159" t="s">
        <v>2258</v>
      </c>
    </row>
    <row r="1696" spans="1:2" x14ac:dyDescent="0.2">
      <c r="A1696" s="159">
        <v>12388711</v>
      </c>
      <c r="B1696" s="159" t="s">
        <v>1270</v>
      </c>
    </row>
    <row r="1697" spans="1:2" x14ac:dyDescent="0.2">
      <c r="A1697" s="159">
        <v>12418100</v>
      </c>
      <c r="B1697" s="159" t="s">
        <v>950</v>
      </c>
    </row>
    <row r="1698" spans="1:2" x14ac:dyDescent="0.2">
      <c r="A1698" s="159">
        <v>12459253</v>
      </c>
      <c r="B1698" s="159" t="s">
        <v>1048</v>
      </c>
    </row>
    <row r="1699" spans="1:2" x14ac:dyDescent="0.2">
      <c r="A1699" s="159">
        <v>12478021</v>
      </c>
      <c r="B1699" s="159" t="s">
        <v>1174</v>
      </c>
    </row>
    <row r="1700" spans="1:2" x14ac:dyDescent="0.2">
      <c r="A1700" s="159">
        <v>12478711</v>
      </c>
      <c r="B1700" s="159" t="s">
        <v>1271</v>
      </c>
    </row>
    <row r="1701" spans="1:2" x14ac:dyDescent="0.2">
      <c r="A1701" s="159">
        <v>12478790</v>
      </c>
      <c r="B1701" s="159" t="s">
        <v>1389</v>
      </c>
    </row>
    <row r="1702" spans="1:2" x14ac:dyDescent="0.2">
      <c r="A1702" s="159">
        <v>12478950</v>
      </c>
      <c r="B1702" s="159" t="s">
        <v>1389</v>
      </c>
    </row>
    <row r="1703" spans="1:2" x14ac:dyDescent="0.2">
      <c r="A1703" s="159">
        <v>12479130</v>
      </c>
      <c r="B1703" s="159" t="s">
        <v>1540</v>
      </c>
    </row>
    <row r="1704" spans="1:2" x14ac:dyDescent="0.2">
      <c r="A1704" s="159">
        <v>12479164</v>
      </c>
      <c r="B1704" s="159" t="s">
        <v>1608</v>
      </c>
    </row>
    <row r="1705" spans="1:2" x14ac:dyDescent="0.2">
      <c r="A1705" s="159">
        <v>12479170</v>
      </c>
      <c r="B1705" s="159" t="s">
        <v>1623</v>
      </c>
    </row>
    <row r="1706" spans="1:2" x14ac:dyDescent="0.2">
      <c r="A1706" s="159">
        <v>12479237</v>
      </c>
      <c r="B1706" s="159" t="s">
        <v>1682</v>
      </c>
    </row>
    <row r="1707" spans="1:2" x14ac:dyDescent="0.2">
      <c r="A1707" s="159">
        <v>12479668</v>
      </c>
      <c r="B1707" s="159" t="s">
        <v>1835</v>
      </c>
    </row>
    <row r="1708" spans="1:2" x14ac:dyDescent="0.2">
      <c r="A1708" s="159">
        <v>12479778</v>
      </c>
      <c r="B1708" s="159" t="s">
        <v>1942</v>
      </c>
    </row>
    <row r="1709" spans="1:2" x14ac:dyDescent="0.2">
      <c r="A1709" s="159">
        <v>12479837</v>
      </c>
      <c r="B1709" s="159" t="s">
        <v>1977</v>
      </c>
    </row>
    <row r="1710" spans="1:2" x14ac:dyDescent="0.2">
      <c r="A1710" s="159">
        <v>12479877</v>
      </c>
      <c r="B1710" s="159" t="s">
        <v>2061</v>
      </c>
    </row>
    <row r="1711" spans="1:2" x14ac:dyDescent="0.2">
      <c r="A1711" s="159">
        <v>12479940</v>
      </c>
      <c r="B1711" s="159" t="s">
        <v>2114</v>
      </c>
    </row>
    <row r="1712" spans="1:2" x14ac:dyDescent="0.2">
      <c r="A1712" s="159">
        <v>12488711</v>
      </c>
      <c r="B1712" s="159" t="s">
        <v>1271</v>
      </c>
    </row>
    <row r="1713" spans="1:2" x14ac:dyDescent="0.2">
      <c r="A1713" s="159">
        <v>12518100</v>
      </c>
      <c r="B1713" s="159" t="s">
        <v>951</v>
      </c>
    </row>
    <row r="1714" spans="1:2" x14ac:dyDescent="0.2">
      <c r="A1714" s="159">
        <v>12559253</v>
      </c>
      <c r="B1714" s="159" t="s">
        <v>1049</v>
      </c>
    </row>
    <row r="1715" spans="1:2" x14ac:dyDescent="0.2">
      <c r="A1715" s="159">
        <v>12578021</v>
      </c>
      <c r="B1715" s="159" t="s">
        <v>1175</v>
      </c>
    </row>
    <row r="1716" spans="1:2" x14ac:dyDescent="0.2">
      <c r="A1716" s="159">
        <v>12578711</v>
      </c>
      <c r="B1716" s="159" t="s">
        <v>1272</v>
      </c>
    </row>
    <row r="1717" spans="1:2" x14ac:dyDescent="0.2">
      <c r="A1717" s="159">
        <v>12578790</v>
      </c>
      <c r="B1717" s="159" t="s">
        <v>1390</v>
      </c>
    </row>
    <row r="1718" spans="1:2" x14ac:dyDescent="0.2">
      <c r="A1718" s="159">
        <v>12578950</v>
      </c>
      <c r="B1718" s="159" t="s">
        <v>1390</v>
      </c>
    </row>
    <row r="1719" spans="1:2" x14ac:dyDescent="0.2">
      <c r="A1719" s="159">
        <v>12579130</v>
      </c>
      <c r="B1719" s="159" t="s">
        <v>1541</v>
      </c>
    </row>
    <row r="1720" spans="1:2" x14ac:dyDescent="0.2">
      <c r="A1720" s="159">
        <v>12579170</v>
      </c>
      <c r="B1720" s="159" t="s">
        <v>1624</v>
      </c>
    </row>
    <row r="1721" spans="1:2" x14ac:dyDescent="0.2">
      <c r="A1721" s="159">
        <v>12579237</v>
      </c>
      <c r="B1721" s="159" t="s">
        <v>1683</v>
      </c>
    </row>
    <row r="1722" spans="1:2" x14ac:dyDescent="0.2">
      <c r="A1722" s="159">
        <v>12579624</v>
      </c>
      <c r="B1722" s="159" t="s">
        <v>1810</v>
      </c>
    </row>
    <row r="1723" spans="1:2" x14ac:dyDescent="0.2">
      <c r="A1723" s="159">
        <v>12579668</v>
      </c>
      <c r="B1723" s="159" t="s">
        <v>1836</v>
      </c>
    </row>
    <row r="1724" spans="1:2" x14ac:dyDescent="0.2">
      <c r="A1724" s="159">
        <v>12579778</v>
      </c>
      <c r="B1724" s="159" t="s">
        <v>1943</v>
      </c>
    </row>
    <row r="1725" spans="1:2" x14ac:dyDescent="0.2">
      <c r="A1725" s="159">
        <v>12579837</v>
      </c>
      <c r="B1725" s="159" t="s">
        <v>1978</v>
      </c>
    </row>
    <row r="1726" spans="1:2" x14ac:dyDescent="0.2">
      <c r="A1726" s="159">
        <v>12579877</v>
      </c>
      <c r="B1726" s="159" t="s">
        <v>2062</v>
      </c>
    </row>
    <row r="1727" spans="1:2" x14ac:dyDescent="0.2">
      <c r="A1727" s="159">
        <v>12579940</v>
      </c>
      <c r="B1727" s="159" t="s">
        <v>2115</v>
      </c>
    </row>
    <row r="1728" spans="1:2" x14ac:dyDescent="0.2">
      <c r="A1728" s="159">
        <v>12588711</v>
      </c>
      <c r="B1728" s="159" t="s">
        <v>1272</v>
      </c>
    </row>
    <row r="1729" spans="1:2" x14ac:dyDescent="0.2">
      <c r="A1729" s="159">
        <v>12659253</v>
      </c>
      <c r="B1729" s="159" t="s">
        <v>1050</v>
      </c>
    </row>
    <row r="1730" spans="1:2" x14ac:dyDescent="0.2">
      <c r="A1730" s="159">
        <v>12678021</v>
      </c>
      <c r="B1730" s="159" t="s">
        <v>1176</v>
      </c>
    </row>
    <row r="1731" spans="1:2" x14ac:dyDescent="0.2">
      <c r="A1731" s="159">
        <v>12678711</v>
      </c>
      <c r="B1731" s="159" t="s">
        <v>1273</v>
      </c>
    </row>
    <row r="1732" spans="1:2" x14ac:dyDescent="0.2">
      <c r="A1732" s="159">
        <v>12678790</v>
      </c>
      <c r="B1732" s="159" t="s">
        <v>1391</v>
      </c>
    </row>
    <row r="1733" spans="1:2" x14ac:dyDescent="0.2">
      <c r="A1733" s="159">
        <v>12678950</v>
      </c>
      <c r="B1733" s="159" t="s">
        <v>1391</v>
      </c>
    </row>
    <row r="1734" spans="1:2" x14ac:dyDescent="0.2">
      <c r="A1734" s="159">
        <v>12679130</v>
      </c>
      <c r="B1734" s="159" t="s">
        <v>1542</v>
      </c>
    </row>
    <row r="1735" spans="1:2" x14ac:dyDescent="0.2">
      <c r="A1735" s="159">
        <v>12679237</v>
      </c>
      <c r="B1735" s="159" t="s">
        <v>1684</v>
      </c>
    </row>
    <row r="1736" spans="1:2" x14ac:dyDescent="0.2">
      <c r="A1736" s="159">
        <v>12679624</v>
      </c>
      <c r="B1736" s="159" t="s">
        <v>1811</v>
      </c>
    </row>
    <row r="1737" spans="1:2" x14ac:dyDescent="0.2">
      <c r="A1737" s="159">
        <v>12679668</v>
      </c>
      <c r="B1737" s="159" t="s">
        <v>1837</v>
      </c>
    </row>
    <row r="1738" spans="1:2" x14ac:dyDescent="0.2">
      <c r="A1738" s="159">
        <v>12679753</v>
      </c>
      <c r="B1738" s="159" t="s">
        <v>1897</v>
      </c>
    </row>
    <row r="1739" spans="1:2" x14ac:dyDescent="0.2">
      <c r="A1739" s="159">
        <v>12679778</v>
      </c>
      <c r="B1739" s="159" t="s">
        <v>1944</v>
      </c>
    </row>
    <row r="1740" spans="1:2" x14ac:dyDescent="0.2">
      <c r="A1740" s="159">
        <v>12679837</v>
      </c>
      <c r="B1740" s="159" t="s">
        <v>1979</v>
      </c>
    </row>
    <row r="1741" spans="1:2" x14ac:dyDescent="0.2">
      <c r="A1741" s="159">
        <v>12679877</v>
      </c>
      <c r="B1741" s="159" t="s">
        <v>2063</v>
      </c>
    </row>
    <row r="1742" spans="1:2" x14ac:dyDescent="0.2">
      <c r="A1742" s="159">
        <v>12679940</v>
      </c>
      <c r="B1742" s="159" t="s">
        <v>2116</v>
      </c>
    </row>
    <row r="1743" spans="1:2" x14ac:dyDescent="0.2">
      <c r="A1743" s="159">
        <v>12686315</v>
      </c>
      <c r="B1743" s="159" t="s">
        <v>2206</v>
      </c>
    </row>
    <row r="1744" spans="1:2" x14ac:dyDescent="0.2">
      <c r="A1744" s="159">
        <v>12688711</v>
      </c>
      <c r="B1744" s="159" t="s">
        <v>1273</v>
      </c>
    </row>
    <row r="1745" spans="1:2" x14ac:dyDescent="0.2">
      <c r="A1745" s="159">
        <v>12759253</v>
      </c>
      <c r="B1745" s="159" t="s">
        <v>1051</v>
      </c>
    </row>
    <row r="1746" spans="1:2" x14ac:dyDescent="0.2">
      <c r="A1746" s="159">
        <v>12778711</v>
      </c>
      <c r="B1746" s="159" t="s">
        <v>1274</v>
      </c>
    </row>
    <row r="1747" spans="1:2" x14ac:dyDescent="0.2">
      <c r="A1747" s="159">
        <v>12778790</v>
      </c>
      <c r="B1747" s="159" t="s">
        <v>1392</v>
      </c>
    </row>
    <row r="1748" spans="1:2" x14ac:dyDescent="0.2">
      <c r="A1748" s="159">
        <v>12778950</v>
      </c>
      <c r="B1748" s="159" t="s">
        <v>1392</v>
      </c>
    </row>
    <row r="1749" spans="1:2" x14ac:dyDescent="0.2">
      <c r="A1749" s="159">
        <v>12779130</v>
      </c>
      <c r="B1749" s="159" t="s">
        <v>1543</v>
      </c>
    </row>
    <row r="1750" spans="1:2" x14ac:dyDescent="0.2">
      <c r="A1750" s="159">
        <v>12779170</v>
      </c>
      <c r="B1750" s="159" t="s">
        <v>1625</v>
      </c>
    </row>
    <row r="1751" spans="1:2" x14ac:dyDescent="0.2">
      <c r="A1751" s="159">
        <v>12779624</v>
      </c>
      <c r="B1751" s="159" t="s">
        <v>1812</v>
      </c>
    </row>
    <row r="1752" spans="1:2" x14ac:dyDescent="0.2">
      <c r="A1752" s="159">
        <v>12779668</v>
      </c>
      <c r="B1752" s="159" t="s">
        <v>1838</v>
      </c>
    </row>
    <row r="1753" spans="1:2" x14ac:dyDescent="0.2">
      <c r="A1753" s="159">
        <v>12779778</v>
      </c>
      <c r="B1753" s="159" t="s">
        <v>1945</v>
      </c>
    </row>
    <row r="1754" spans="1:2" x14ac:dyDescent="0.2">
      <c r="A1754" s="159">
        <v>12779837</v>
      </c>
      <c r="B1754" s="159" t="s">
        <v>1980</v>
      </c>
    </row>
    <row r="1755" spans="1:2" x14ac:dyDescent="0.2">
      <c r="A1755" s="159">
        <v>12779877</v>
      </c>
      <c r="B1755" s="159" t="s">
        <v>2064</v>
      </c>
    </row>
    <row r="1756" spans="1:2" x14ac:dyDescent="0.2">
      <c r="A1756" s="159">
        <v>12779940</v>
      </c>
      <c r="B1756" s="159" t="s">
        <v>2117</v>
      </c>
    </row>
    <row r="1757" spans="1:2" x14ac:dyDescent="0.2">
      <c r="A1757" s="159">
        <v>12788711</v>
      </c>
      <c r="B1757" s="159" t="s">
        <v>1274</v>
      </c>
    </row>
    <row r="1758" spans="1:2" x14ac:dyDescent="0.2">
      <c r="A1758" s="159">
        <v>12859253</v>
      </c>
      <c r="B1758" s="159" t="s">
        <v>1052</v>
      </c>
    </row>
    <row r="1759" spans="1:2" x14ac:dyDescent="0.2">
      <c r="A1759" s="159">
        <v>12878021</v>
      </c>
      <c r="B1759" s="159" t="s">
        <v>1177</v>
      </c>
    </row>
    <row r="1760" spans="1:2" x14ac:dyDescent="0.2">
      <c r="A1760" s="159">
        <v>12879130</v>
      </c>
      <c r="B1760" s="159" t="s">
        <v>1544</v>
      </c>
    </row>
    <row r="1761" spans="1:2" x14ac:dyDescent="0.2">
      <c r="A1761" s="159">
        <v>12879668</v>
      </c>
      <c r="B1761" s="159" t="s">
        <v>1839</v>
      </c>
    </row>
    <row r="1762" spans="1:2" x14ac:dyDescent="0.2">
      <c r="A1762" s="159">
        <v>12879753</v>
      </c>
      <c r="B1762" s="159" t="s">
        <v>1898</v>
      </c>
    </row>
    <row r="1763" spans="1:2" x14ac:dyDescent="0.2">
      <c r="A1763" s="159">
        <v>12879837</v>
      </c>
      <c r="B1763" s="159" t="s">
        <v>1981</v>
      </c>
    </row>
    <row r="1764" spans="1:2" x14ac:dyDescent="0.2">
      <c r="A1764" s="159">
        <v>12879877</v>
      </c>
      <c r="B1764" s="159" t="s">
        <v>2065</v>
      </c>
    </row>
    <row r="1765" spans="1:2" x14ac:dyDescent="0.2">
      <c r="A1765" s="159">
        <v>12879940</v>
      </c>
      <c r="B1765" s="159" t="s">
        <v>2118</v>
      </c>
    </row>
    <row r="1766" spans="1:2" x14ac:dyDescent="0.2">
      <c r="A1766" s="159">
        <v>12959253</v>
      </c>
      <c r="B1766" s="159" t="s">
        <v>1053</v>
      </c>
    </row>
    <row r="1767" spans="1:2" x14ac:dyDescent="0.2">
      <c r="A1767" s="159">
        <v>12978021</v>
      </c>
      <c r="B1767" s="159" t="s">
        <v>1178</v>
      </c>
    </row>
    <row r="1768" spans="1:2" x14ac:dyDescent="0.2">
      <c r="A1768" s="159">
        <v>12978711</v>
      </c>
      <c r="B1768" s="159" t="s">
        <v>1275</v>
      </c>
    </row>
    <row r="1769" spans="1:2" x14ac:dyDescent="0.2">
      <c r="A1769" s="159">
        <v>12979130</v>
      </c>
      <c r="B1769" s="159" t="s">
        <v>1545</v>
      </c>
    </row>
    <row r="1770" spans="1:2" x14ac:dyDescent="0.2">
      <c r="A1770" s="159">
        <v>12979668</v>
      </c>
      <c r="B1770" s="159" t="s">
        <v>1840</v>
      </c>
    </row>
    <row r="1771" spans="1:2" x14ac:dyDescent="0.2">
      <c r="A1771" s="159">
        <v>12979837</v>
      </c>
      <c r="B1771" s="159" t="s">
        <v>1982</v>
      </c>
    </row>
    <row r="1772" spans="1:2" x14ac:dyDescent="0.2">
      <c r="A1772" s="159">
        <v>12979877</v>
      </c>
      <c r="B1772" s="159" t="s">
        <v>2066</v>
      </c>
    </row>
    <row r="1773" spans="1:2" x14ac:dyDescent="0.2">
      <c r="A1773" s="159">
        <v>12979940</v>
      </c>
      <c r="B1773" s="159" t="s">
        <v>2119</v>
      </c>
    </row>
    <row r="1774" spans="1:2" x14ac:dyDescent="0.2">
      <c r="A1774" s="159">
        <v>12988711</v>
      </c>
      <c r="B1774" s="159" t="s">
        <v>1275</v>
      </c>
    </row>
    <row r="1775" spans="1:2" x14ac:dyDescent="0.2">
      <c r="A1775" s="159">
        <v>13059253</v>
      </c>
      <c r="B1775" s="159" t="s">
        <v>1054</v>
      </c>
    </row>
    <row r="1776" spans="1:2" x14ac:dyDescent="0.2">
      <c r="A1776" s="159">
        <v>13078021</v>
      </c>
      <c r="B1776" s="159" t="s">
        <v>1179</v>
      </c>
    </row>
    <row r="1777" spans="1:2" x14ac:dyDescent="0.2">
      <c r="A1777" s="159">
        <v>13078711</v>
      </c>
      <c r="B1777" s="159" t="s">
        <v>1276</v>
      </c>
    </row>
    <row r="1778" spans="1:2" x14ac:dyDescent="0.2">
      <c r="A1778" s="159">
        <v>13079130</v>
      </c>
      <c r="B1778" s="159" t="s">
        <v>1546</v>
      </c>
    </row>
    <row r="1779" spans="1:2" x14ac:dyDescent="0.2">
      <c r="A1779" s="159">
        <v>13079147</v>
      </c>
      <c r="B1779" s="159" t="s">
        <v>1572</v>
      </c>
    </row>
    <row r="1780" spans="1:2" x14ac:dyDescent="0.2">
      <c r="A1780" s="159">
        <v>13079624</v>
      </c>
      <c r="B1780" s="159" t="s">
        <v>1813</v>
      </c>
    </row>
    <row r="1781" spans="1:2" x14ac:dyDescent="0.2">
      <c r="A1781" s="159">
        <v>13079668</v>
      </c>
      <c r="B1781" s="159" t="s">
        <v>1841</v>
      </c>
    </row>
    <row r="1782" spans="1:2" x14ac:dyDescent="0.2">
      <c r="A1782" s="159">
        <v>13079753</v>
      </c>
      <c r="B1782" s="159" t="s">
        <v>1899</v>
      </c>
    </row>
    <row r="1783" spans="1:2" x14ac:dyDescent="0.2">
      <c r="A1783" s="159">
        <v>13079837</v>
      </c>
      <c r="B1783" s="159" t="s">
        <v>1983</v>
      </c>
    </row>
    <row r="1784" spans="1:2" x14ac:dyDescent="0.2">
      <c r="A1784" s="159">
        <v>13079877</v>
      </c>
      <c r="B1784" s="159" t="s">
        <v>2067</v>
      </c>
    </row>
    <row r="1785" spans="1:2" x14ac:dyDescent="0.2">
      <c r="A1785" s="159">
        <v>13079940</v>
      </c>
      <c r="B1785" s="159" t="s">
        <v>2120</v>
      </c>
    </row>
    <row r="1786" spans="1:2" x14ac:dyDescent="0.2">
      <c r="A1786" s="159">
        <v>13088711</v>
      </c>
      <c r="B1786" s="159" t="s">
        <v>2267</v>
      </c>
    </row>
    <row r="1787" spans="1:2" x14ac:dyDescent="0.2">
      <c r="A1787" s="159">
        <v>13159253</v>
      </c>
      <c r="B1787" s="159" t="s">
        <v>1055</v>
      </c>
    </row>
    <row r="1788" spans="1:2" x14ac:dyDescent="0.2">
      <c r="A1788" s="159">
        <v>13178021</v>
      </c>
      <c r="B1788" s="159" t="s">
        <v>1180</v>
      </c>
    </row>
    <row r="1789" spans="1:2" x14ac:dyDescent="0.2">
      <c r="A1789" s="159">
        <v>13178790</v>
      </c>
      <c r="B1789" s="159" t="s">
        <v>1393</v>
      </c>
    </row>
    <row r="1790" spans="1:2" x14ac:dyDescent="0.2">
      <c r="A1790" s="159">
        <v>13178950</v>
      </c>
      <c r="B1790" s="159" t="s">
        <v>1393</v>
      </c>
    </row>
    <row r="1791" spans="1:2" x14ac:dyDescent="0.2">
      <c r="A1791" s="159">
        <v>13179084</v>
      </c>
      <c r="B1791" s="159" t="s">
        <v>1495</v>
      </c>
    </row>
    <row r="1792" spans="1:2" x14ac:dyDescent="0.2">
      <c r="A1792" s="159">
        <v>13179130</v>
      </c>
      <c r="B1792" s="159" t="s">
        <v>1547</v>
      </c>
    </row>
    <row r="1793" spans="1:2" x14ac:dyDescent="0.2">
      <c r="A1793" s="159">
        <v>13179300</v>
      </c>
      <c r="B1793" s="159" t="s">
        <v>1719</v>
      </c>
    </row>
    <row r="1794" spans="1:2" x14ac:dyDescent="0.2">
      <c r="A1794" s="159">
        <v>13179753</v>
      </c>
      <c r="B1794" s="159" t="s">
        <v>1900</v>
      </c>
    </row>
    <row r="1795" spans="1:2" x14ac:dyDescent="0.2">
      <c r="A1795" s="159">
        <v>13179778</v>
      </c>
      <c r="B1795" s="159" t="s">
        <v>1946</v>
      </c>
    </row>
    <row r="1796" spans="1:2" x14ac:dyDescent="0.2">
      <c r="A1796" s="159">
        <v>13179837</v>
      </c>
      <c r="B1796" s="159" t="s">
        <v>1984</v>
      </c>
    </row>
    <row r="1797" spans="1:2" x14ac:dyDescent="0.2">
      <c r="A1797" s="159">
        <v>13278021</v>
      </c>
      <c r="B1797" s="159" t="s">
        <v>1181</v>
      </c>
    </row>
    <row r="1798" spans="1:2" x14ac:dyDescent="0.2">
      <c r="A1798" s="159">
        <v>13278711</v>
      </c>
      <c r="B1798" s="159" t="s">
        <v>1277</v>
      </c>
    </row>
    <row r="1799" spans="1:2" x14ac:dyDescent="0.2">
      <c r="A1799" s="159">
        <v>13278790</v>
      </c>
      <c r="B1799" s="159" t="s">
        <v>1394</v>
      </c>
    </row>
    <row r="1800" spans="1:2" x14ac:dyDescent="0.2">
      <c r="A1800" s="159">
        <v>13278950</v>
      </c>
      <c r="B1800" s="159" t="s">
        <v>1394</v>
      </c>
    </row>
    <row r="1801" spans="1:2" x14ac:dyDescent="0.2">
      <c r="A1801" s="159">
        <v>13279130</v>
      </c>
      <c r="B1801" s="159" t="s">
        <v>1548</v>
      </c>
    </row>
    <row r="1802" spans="1:2" x14ac:dyDescent="0.2">
      <c r="A1802" s="159">
        <v>13279324</v>
      </c>
      <c r="B1802" s="159" t="s">
        <v>163</v>
      </c>
    </row>
    <row r="1803" spans="1:2" x14ac:dyDescent="0.2">
      <c r="A1803" s="159">
        <v>13279668</v>
      </c>
      <c r="B1803" s="159" t="s">
        <v>1842</v>
      </c>
    </row>
    <row r="1804" spans="1:2" x14ac:dyDescent="0.2">
      <c r="A1804" s="159">
        <v>13279778</v>
      </c>
      <c r="B1804" s="159" t="s">
        <v>1947</v>
      </c>
    </row>
    <row r="1805" spans="1:2" x14ac:dyDescent="0.2">
      <c r="A1805" s="159">
        <v>13279837</v>
      </c>
      <c r="B1805" s="159" t="s">
        <v>1985</v>
      </c>
    </row>
    <row r="1806" spans="1:2" x14ac:dyDescent="0.2">
      <c r="A1806" s="159">
        <v>13279940</v>
      </c>
      <c r="B1806" s="159" t="s">
        <v>2121</v>
      </c>
    </row>
    <row r="1807" spans="1:2" x14ac:dyDescent="0.2">
      <c r="A1807" s="159">
        <v>13288021</v>
      </c>
      <c r="B1807" s="159" t="s">
        <v>2259</v>
      </c>
    </row>
    <row r="1808" spans="1:2" x14ac:dyDescent="0.2">
      <c r="A1808" s="159">
        <v>13288711</v>
      </c>
      <c r="B1808" s="159" t="s">
        <v>1277</v>
      </c>
    </row>
    <row r="1809" spans="1:2" x14ac:dyDescent="0.2">
      <c r="A1809" s="159">
        <v>13318100</v>
      </c>
      <c r="B1809" s="159" t="s">
        <v>952</v>
      </c>
    </row>
    <row r="1810" spans="1:2" x14ac:dyDescent="0.2">
      <c r="A1810" s="159">
        <v>13359253</v>
      </c>
      <c r="B1810" s="159" t="s">
        <v>1056</v>
      </c>
    </row>
    <row r="1811" spans="1:2" x14ac:dyDescent="0.2">
      <c r="A1811" s="159">
        <v>13378711</v>
      </c>
      <c r="B1811" s="159" t="s">
        <v>1278</v>
      </c>
    </row>
    <row r="1812" spans="1:2" x14ac:dyDescent="0.2">
      <c r="A1812" s="159">
        <v>13378790</v>
      </c>
      <c r="B1812" s="159" t="s">
        <v>1395</v>
      </c>
    </row>
    <row r="1813" spans="1:2" x14ac:dyDescent="0.2">
      <c r="A1813" s="159">
        <v>13378950</v>
      </c>
      <c r="B1813" s="159" t="s">
        <v>1395</v>
      </c>
    </row>
    <row r="1814" spans="1:2" x14ac:dyDescent="0.2">
      <c r="A1814" s="159">
        <v>13379130</v>
      </c>
      <c r="B1814" s="159" t="s">
        <v>1549</v>
      </c>
    </row>
    <row r="1815" spans="1:2" x14ac:dyDescent="0.2">
      <c r="A1815" s="159">
        <v>13379624</v>
      </c>
      <c r="B1815" s="159" t="s">
        <v>1814</v>
      </c>
    </row>
    <row r="1816" spans="1:2" x14ac:dyDescent="0.2">
      <c r="A1816" s="159">
        <v>13379668</v>
      </c>
      <c r="B1816" s="159" t="s">
        <v>1843</v>
      </c>
    </row>
    <row r="1817" spans="1:2" x14ac:dyDescent="0.2">
      <c r="A1817" s="159">
        <v>13379753</v>
      </c>
      <c r="B1817" s="159" t="s">
        <v>1901</v>
      </c>
    </row>
    <row r="1818" spans="1:2" x14ac:dyDescent="0.2">
      <c r="A1818" s="159">
        <v>13379778</v>
      </c>
      <c r="B1818" s="159" t="s">
        <v>1948</v>
      </c>
    </row>
    <row r="1819" spans="1:2" x14ac:dyDescent="0.2">
      <c r="A1819" s="159">
        <v>13379837</v>
      </c>
      <c r="B1819" s="159" t="s">
        <v>1986</v>
      </c>
    </row>
    <row r="1820" spans="1:2" x14ac:dyDescent="0.2">
      <c r="A1820" s="159">
        <v>13379940</v>
      </c>
      <c r="B1820" s="159" t="s">
        <v>2122</v>
      </c>
    </row>
    <row r="1821" spans="1:2" x14ac:dyDescent="0.2">
      <c r="A1821" s="159">
        <v>13388711</v>
      </c>
      <c r="B1821" s="159" t="s">
        <v>1278</v>
      </c>
    </row>
    <row r="1822" spans="1:2" x14ac:dyDescent="0.2">
      <c r="A1822" s="159">
        <v>13418100</v>
      </c>
      <c r="B1822" s="159" t="s">
        <v>953</v>
      </c>
    </row>
    <row r="1823" spans="1:2" x14ac:dyDescent="0.2">
      <c r="A1823" s="159">
        <v>13478021</v>
      </c>
      <c r="B1823" s="159" t="s">
        <v>1182</v>
      </c>
    </row>
    <row r="1824" spans="1:2" x14ac:dyDescent="0.2">
      <c r="A1824" s="159">
        <v>13478790</v>
      </c>
      <c r="B1824" s="159" t="s">
        <v>1396</v>
      </c>
    </row>
    <row r="1825" spans="1:2" x14ac:dyDescent="0.2">
      <c r="A1825" s="159">
        <v>13478950</v>
      </c>
      <c r="B1825" s="159" t="s">
        <v>1396</v>
      </c>
    </row>
    <row r="1826" spans="1:2" x14ac:dyDescent="0.2">
      <c r="A1826" s="159">
        <v>13479130</v>
      </c>
      <c r="B1826" s="159" t="s">
        <v>1550</v>
      </c>
    </row>
    <row r="1827" spans="1:2" x14ac:dyDescent="0.2">
      <c r="A1827" s="159">
        <v>13479668</v>
      </c>
      <c r="B1827" s="159" t="s">
        <v>1844</v>
      </c>
    </row>
    <row r="1828" spans="1:2" x14ac:dyDescent="0.2">
      <c r="A1828" s="159">
        <v>13479753</v>
      </c>
      <c r="B1828" s="159" t="s">
        <v>1902</v>
      </c>
    </row>
    <row r="1829" spans="1:2" x14ac:dyDescent="0.2">
      <c r="A1829" s="159">
        <v>13479778</v>
      </c>
      <c r="B1829" s="159" t="s">
        <v>1949</v>
      </c>
    </row>
    <row r="1830" spans="1:2" x14ac:dyDescent="0.2">
      <c r="A1830" s="159">
        <v>13479837</v>
      </c>
      <c r="B1830" s="159" t="s">
        <v>1987</v>
      </c>
    </row>
    <row r="1831" spans="1:2" x14ac:dyDescent="0.2">
      <c r="A1831" s="159">
        <v>13479940</v>
      </c>
      <c r="B1831" s="159" t="s">
        <v>2123</v>
      </c>
    </row>
    <row r="1832" spans="1:2" x14ac:dyDescent="0.2">
      <c r="A1832" s="159">
        <v>13559253</v>
      </c>
      <c r="B1832" s="159" t="s">
        <v>1057</v>
      </c>
    </row>
    <row r="1833" spans="1:2" x14ac:dyDescent="0.2">
      <c r="A1833" s="159">
        <v>13578711</v>
      </c>
      <c r="B1833" s="159" t="s">
        <v>1279</v>
      </c>
    </row>
    <row r="1834" spans="1:2" x14ac:dyDescent="0.2">
      <c r="A1834" s="159">
        <v>13579130</v>
      </c>
      <c r="B1834" s="159" t="s">
        <v>1551</v>
      </c>
    </row>
    <row r="1835" spans="1:2" x14ac:dyDescent="0.2">
      <c r="A1835" s="159">
        <v>13579624</v>
      </c>
      <c r="B1835" s="159" t="s">
        <v>1815</v>
      </c>
    </row>
    <row r="1836" spans="1:2" x14ac:dyDescent="0.2">
      <c r="A1836" s="159">
        <v>13579753</v>
      </c>
      <c r="B1836" s="159" t="s">
        <v>1903</v>
      </c>
    </row>
    <row r="1837" spans="1:2" x14ac:dyDescent="0.2">
      <c r="A1837" s="159">
        <v>13579837</v>
      </c>
      <c r="B1837" s="159" t="s">
        <v>1988</v>
      </c>
    </row>
    <row r="1838" spans="1:2" x14ac:dyDescent="0.2">
      <c r="A1838" s="159">
        <v>13588711</v>
      </c>
      <c r="B1838" s="159" t="s">
        <v>1279</v>
      </c>
    </row>
    <row r="1839" spans="1:2" x14ac:dyDescent="0.2">
      <c r="A1839" s="159">
        <v>13618100</v>
      </c>
      <c r="B1839" s="159" t="s">
        <v>954</v>
      </c>
    </row>
    <row r="1840" spans="1:2" x14ac:dyDescent="0.2">
      <c r="A1840" s="159">
        <v>13678021</v>
      </c>
      <c r="B1840" s="159" t="s">
        <v>1183</v>
      </c>
    </row>
    <row r="1841" spans="1:2" x14ac:dyDescent="0.2">
      <c r="A1841" s="159">
        <v>13678790</v>
      </c>
      <c r="B1841" s="159" t="s">
        <v>1397</v>
      </c>
    </row>
    <row r="1842" spans="1:2" x14ac:dyDescent="0.2">
      <c r="A1842" s="159">
        <v>13678950</v>
      </c>
      <c r="B1842" s="159" t="s">
        <v>1397</v>
      </c>
    </row>
    <row r="1843" spans="1:2" x14ac:dyDescent="0.2">
      <c r="A1843" s="159">
        <v>13679624</v>
      </c>
      <c r="B1843" s="159" t="s">
        <v>1816</v>
      </c>
    </row>
    <row r="1844" spans="1:2" x14ac:dyDescent="0.2">
      <c r="A1844" s="159">
        <v>13679668</v>
      </c>
      <c r="B1844" s="159" t="s">
        <v>1845</v>
      </c>
    </row>
    <row r="1845" spans="1:2" x14ac:dyDescent="0.2">
      <c r="A1845" s="159">
        <v>13679753</v>
      </c>
      <c r="B1845" s="159" t="s">
        <v>1904</v>
      </c>
    </row>
    <row r="1846" spans="1:2" x14ac:dyDescent="0.2">
      <c r="A1846" s="159">
        <v>13679778</v>
      </c>
      <c r="B1846" s="159" t="s">
        <v>1950</v>
      </c>
    </row>
    <row r="1847" spans="1:2" x14ac:dyDescent="0.2">
      <c r="A1847" s="159">
        <v>13679940</v>
      </c>
      <c r="B1847" s="159" t="s">
        <v>2124</v>
      </c>
    </row>
    <row r="1848" spans="1:2" x14ac:dyDescent="0.2">
      <c r="A1848" s="159">
        <v>13718100</v>
      </c>
      <c r="B1848" s="159" t="s">
        <v>955</v>
      </c>
    </row>
    <row r="1849" spans="1:2" x14ac:dyDescent="0.2">
      <c r="A1849" s="159">
        <v>13778021</v>
      </c>
      <c r="B1849" s="159" t="s">
        <v>1184</v>
      </c>
    </row>
    <row r="1850" spans="1:2" x14ac:dyDescent="0.2">
      <c r="A1850" s="159">
        <v>13778711</v>
      </c>
      <c r="B1850" s="159" t="s">
        <v>1280</v>
      </c>
    </row>
    <row r="1851" spans="1:2" x14ac:dyDescent="0.2">
      <c r="A1851" s="159">
        <v>13779624</v>
      </c>
      <c r="B1851" s="159" t="s">
        <v>1817</v>
      </c>
    </row>
    <row r="1852" spans="1:2" x14ac:dyDescent="0.2">
      <c r="A1852" s="159">
        <v>13779668</v>
      </c>
      <c r="B1852" s="159" t="s">
        <v>1846</v>
      </c>
    </row>
    <row r="1853" spans="1:2" x14ac:dyDescent="0.2">
      <c r="A1853" s="159">
        <v>13779940</v>
      </c>
      <c r="B1853" s="159" t="s">
        <v>2125</v>
      </c>
    </row>
    <row r="1854" spans="1:2" x14ac:dyDescent="0.2">
      <c r="A1854" s="159">
        <v>13788021</v>
      </c>
      <c r="B1854" s="159" t="s">
        <v>2260</v>
      </c>
    </row>
    <row r="1855" spans="1:2" x14ac:dyDescent="0.2">
      <c r="A1855" s="159">
        <v>13788711</v>
      </c>
      <c r="B1855" s="159" t="s">
        <v>1280</v>
      </c>
    </row>
    <row r="1856" spans="1:2" x14ac:dyDescent="0.2">
      <c r="A1856" s="159">
        <v>13878021</v>
      </c>
      <c r="B1856" s="159" t="s">
        <v>1185</v>
      </c>
    </row>
    <row r="1857" spans="1:2" x14ac:dyDescent="0.2">
      <c r="A1857" s="159">
        <v>13878790</v>
      </c>
      <c r="B1857" s="159" t="s">
        <v>1398</v>
      </c>
    </row>
    <row r="1858" spans="1:2" x14ac:dyDescent="0.2">
      <c r="A1858" s="159">
        <v>13878950</v>
      </c>
      <c r="B1858" s="159" t="s">
        <v>1398</v>
      </c>
    </row>
    <row r="1859" spans="1:2" x14ac:dyDescent="0.2">
      <c r="A1859" s="159">
        <v>13879668</v>
      </c>
      <c r="B1859" s="159" t="s">
        <v>1847</v>
      </c>
    </row>
    <row r="1860" spans="1:2" x14ac:dyDescent="0.2">
      <c r="A1860" s="159">
        <v>13879753</v>
      </c>
      <c r="B1860" s="159" t="s">
        <v>1905</v>
      </c>
    </row>
    <row r="1861" spans="1:2" x14ac:dyDescent="0.2">
      <c r="A1861" s="159">
        <v>13879778</v>
      </c>
      <c r="B1861" s="159" t="s">
        <v>1951</v>
      </c>
    </row>
    <row r="1862" spans="1:2" x14ac:dyDescent="0.2">
      <c r="A1862" s="159">
        <v>13879940</v>
      </c>
      <c r="B1862" s="159" t="s">
        <v>2126</v>
      </c>
    </row>
    <row r="1863" spans="1:2" x14ac:dyDescent="0.2">
      <c r="A1863" s="159">
        <v>13978021</v>
      </c>
      <c r="B1863" s="159" t="s">
        <v>1186</v>
      </c>
    </row>
    <row r="1864" spans="1:2" x14ac:dyDescent="0.2">
      <c r="A1864" s="159">
        <v>13978711</v>
      </c>
      <c r="B1864" s="159" t="s">
        <v>1281</v>
      </c>
    </row>
    <row r="1865" spans="1:2" x14ac:dyDescent="0.2">
      <c r="A1865" s="159">
        <v>13979668</v>
      </c>
      <c r="B1865" s="159" t="s">
        <v>1848</v>
      </c>
    </row>
    <row r="1866" spans="1:2" x14ac:dyDescent="0.2">
      <c r="A1866" s="159">
        <v>13979940</v>
      </c>
      <c r="B1866" s="159" t="s">
        <v>2127</v>
      </c>
    </row>
    <row r="1867" spans="1:2" x14ac:dyDescent="0.2">
      <c r="A1867" s="159">
        <v>13988711</v>
      </c>
      <c r="B1867" s="159" t="s">
        <v>1281</v>
      </c>
    </row>
    <row r="1868" spans="1:2" x14ac:dyDescent="0.2">
      <c r="A1868" s="159">
        <v>14059253</v>
      </c>
      <c r="B1868" s="159" t="s">
        <v>1058</v>
      </c>
    </row>
    <row r="1869" spans="1:2" x14ac:dyDescent="0.2">
      <c r="A1869" s="159">
        <v>14078021</v>
      </c>
      <c r="B1869" s="159" t="s">
        <v>1187</v>
      </c>
    </row>
    <row r="1870" spans="1:2" x14ac:dyDescent="0.2">
      <c r="A1870" s="159">
        <v>14078711</v>
      </c>
      <c r="B1870" s="159" t="s">
        <v>1282</v>
      </c>
    </row>
    <row r="1871" spans="1:2" x14ac:dyDescent="0.2">
      <c r="A1871" s="159">
        <v>14088711</v>
      </c>
      <c r="B1871" s="159" t="s">
        <v>1282</v>
      </c>
    </row>
    <row r="1872" spans="1:2" x14ac:dyDescent="0.2">
      <c r="A1872" s="159">
        <v>14178021</v>
      </c>
      <c r="B1872" s="159" t="s">
        <v>1188</v>
      </c>
    </row>
    <row r="1873" spans="1:2" x14ac:dyDescent="0.2">
      <c r="A1873" s="159">
        <v>14178711</v>
      </c>
      <c r="B1873" s="159" t="s">
        <v>1283</v>
      </c>
    </row>
    <row r="1874" spans="1:2" x14ac:dyDescent="0.2">
      <c r="A1874" s="159">
        <v>14178790</v>
      </c>
      <c r="B1874" s="159" t="s">
        <v>1399</v>
      </c>
    </row>
    <row r="1875" spans="1:2" x14ac:dyDescent="0.2">
      <c r="A1875" s="159">
        <v>14178950</v>
      </c>
      <c r="B1875" s="159" t="s">
        <v>1399</v>
      </c>
    </row>
    <row r="1876" spans="1:2" x14ac:dyDescent="0.2">
      <c r="A1876" s="159">
        <v>14179084</v>
      </c>
      <c r="B1876" s="159" t="s">
        <v>1496</v>
      </c>
    </row>
    <row r="1877" spans="1:2" x14ac:dyDescent="0.2">
      <c r="A1877" s="159">
        <v>14179300</v>
      </c>
      <c r="B1877" s="159" t="s">
        <v>1720</v>
      </c>
    </row>
    <row r="1878" spans="1:2" x14ac:dyDescent="0.2">
      <c r="A1878" s="159">
        <v>14179624</v>
      </c>
      <c r="B1878" s="159" t="s">
        <v>1818</v>
      </c>
    </row>
    <row r="1879" spans="1:2" x14ac:dyDescent="0.2">
      <c r="A1879" s="159">
        <v>14179668</v>
      </c>
      <c r="B1879" s="159" t="s">
        <v>1849</v>
      </c>
    </row>
    <row r="1880" spans="1:2" x14ac:dyDescent="0.2">
      <c r="A1880" s="159">
        <v>14179778</v>
      </c>
      <c r="B1880" s="159" t="s">
        <v>1399</v>
      </c>
    </row>
    <row r="1881" spans="1:2" x14ac:dyDescent="0.2">
      <c r="A1881" s="159">
        <v>14179940</v>
      </c>
      <c r="B1881" s="159" t="s">
        <v>2128</v>
      </c>
    </row>
    <row r="1882" spans="1:2" x14ac:dyDescent="0.2">
      <c r="A1882" s="159">
        <v>14186315</v>
      </c>
      <c r="B1882" s="159" t="s">
        <v>2207</v>
      </c>
    </row>
    <row r="1883" spans="1:2" x14ac:dyDescent="0.2">
      <c r="A1883" s="159">
        <v>14188711</v>
      </c>
      <c r="B1883" s="159" t="s">
        <v>1283</v>
      </c>
    </row>
    <row r="1884" spans="1:2" x14ac:dyDescent="0.2">
      <c r="A1884" s="159">
        <v>14279624</v>
      </c>
      <c r="B1884" s="159" t="s">
        <v>1819</v>
      </c>
    </row>
    <row r="1885" spans="1:2" x14ac:dyDescent="0.2">
      <c r="A1885" s="159">
        <v>14279668</v>
      </c>
      <c r="B1885" s="159" t="s">
        <v>1850</v>
      </c>
    </row>
    <row r="1886" spans="1:2" x14ac:dyDescent="0.2">
      <c r="A1886" s="159">
        <v>14279940</v>
      </c>
      <c r="B1886" s="159" t="s">
        <v>2129</v>
      </c>
    </row>
    <row r="1887" spans="1:2" x14ac:dyDescent="0.2">
      <c r="A1887" s="159">
        <v>14358792</v>
      </c>
      <c r="B1887" s="159" t="s">
        <v>1020</v>
      </c>
    </row>
    <row r="1888" spans="1:2" x14ac:dyDescent="0.2">
      <c r="A1888" s="159">
        <v>14378021</v>
      </c>
      <c r="B1888" s="159" t="s">
        <v>1189</v>
      </c>
    </row>
    <row r="1889" spans="1:2" x14ac:dyDescent="0.2">
      <c r="A1889" s="159">
        <v>14378792</v>
      </c>
      <c r="B1889" s="159" t="s">
        <v>1464</v>
      </c>
    </row>
    <row r="1890" spans="1:2" x14ac:dyDescent="0.2">
      <c r="A1890" s="159">
        <v>14379624</v>
      </c>
      <c r="B1890" s="159" t="s">
        <v>1820</v>
      </c>
    </row>
    <row r="1891" spans="1:2" x14ac:dyDescent="0.2">
      <c r="A1891" s="159">
        <v>14379668</v>
      </c>
      <c r="B1891" s="159" t="s">
        <v>1851</v>
      </c>
    </row>
    <row r="1892" spans="1:2" x14ac:dyDescent="0.2">
      <c r="A1892" s="159">
        <v>14379940</v>
      </c>
      <c r="B1892" s="159" t="s">
        <v>2130</v>
      </c>
    </row>
    <row r="1893" spans="1:2" x14ac:dyDescent="0.2">
      <c r="A1893" s="159">
        <v>14386315</v>
      </c>
      <c r="B1893" s="159" t="s">
        <v>2208</v>
      </c>
    </row>
    <row r="1894" spans="1:2" x14ac:dyDescent="0.2">
      <c r="A1894" s="159">
        <v>14478021</v>
      </c>
      <c r="B1894" s="159" t="s">
        <v>1190</v>
      </c>
    </row>
    <row r="1895" spans="1:2" x14ac:dyDescent="0.2">
      <c r="A1895" s="159">
        <v>14479668</v>
      </c>
      <c r="B1895" s="159" t="s">
        <v>1852</v>
      </c>
    </row>
    <row r="1896" spans="1:2" x14ac:dyDescent="0.2">
      <c r="A1896" s="159">
        <v>14479940</v>
      </c>
      <c r="B1896" s="159" t="s">
        <v>2131</v>
      </c>
    </row>
    <row r="1897" spans="1:2" x14ac:dyDescent="0.2">
      <c r="A1897" s="159">
        <v>14488021</v>
      </c>
      <c r="B1897" s="159" t="s">
        <v>2261</v>
      </c>
    </row>
    <row r="1898" spans="1:2" x14ac:dyDescent="0.2">
      <c r="A1898" s="159">
        <v>14578021</v>
      </c>
      <c r="B1898" s="159" t="s">
        <v>1191</v>
      </c>
    </row>
    <row r="1899" spans="1:2" x14ac:dyDescent="0.2">
      <c r="A1899" s="159">
        <v>14578711</v>
      </c>
      <c r="B1899" s="159" t="s">
        <v>1284</v>
      </c>
    </row>
    <row r="1900" spans="1:2" x14ac:dyDescent="0.2">
      <c r="A1900" s="159">
        <v>14588711</v>
      </c>
      <c r="B1900" s="159" t="s">
        <v>1284</v>
      </c>
    </row>
    <row r="1901" spans="1:2" x14ac:dyDescent="0.2">
      <c r="A1901" s="159">
        <v>14679668</v>
      </c>
      <c r="B1901" s="159" t="s">
        <v>1853</v>
      </c>
    </row>
    <row r="1902" spans="1:2" x14ac:dyDescent="0.2">
      <c r="A1902" s="159">
        <v>14679940</v>
      </c>
      <c r="B1902" s="159" t="s">
        <v>2132</v>
      </c>
    </row>
    <row r="1903" spans="1:2" x14ac:dyDescent="0.2">
      <c r="A1903" s="159">
        <v>14686315</v>
      </c>
      <c r="B1903" s="159" t="s">
        <v>2209</v>
      </c>
    </row>
    <row r="1904" spans="1:2" x14ac:dyDescent="0.2">
      <c r="A1904" s="159">
        <v>14779668</v>
      </c>
      <c r="B1904" s="159" t="s">
        <v>1854</v>
      </c>
    </row>
    <row r="1905" spans="1:2" x14ac:dyDescent="0.2">
      <c r="A1905" s="159">
        <v>14779940</v>
      </c>
      <c r="B1905" s="159" t="s">
        <v>2133</v>
      </c>
    </row>
    <row r="1906" spans="1:2" x14ac:dyDescent="0.2">
      <c r="A1906" s="159">
        <v>14786315</v>
      </c>
      <c r="B1906" s="159" t="s">
        <v>2210</v>
      </c>
    </row>
    <row r="1907" spans="1:2" x14ac:dyDescent="0.2">
      <c r="A1907" s="159">
        <v>14859253</v>
      </c>
      <c r="B1907" s="159" t="s">
        <v>1059</v>
      </c>
    </row>
    <row r="1908" spans="1:2" x14ac:dyDescent="0.2">
      <c r="A1908" s="159">
        <v>14878021</v>
      </c>
      <c r="B1908" s="159" t="s">
        <v>1192</v>
      </c>
    </row>
    <row r="1909" spans="1:2" x14ac:dyDescent="0.2">
      <c r="A1909" s="159">
        <v>14879668</v>
      </c>
      <c r="B1909" s="159" t="s">
        <v>1855</v>
      </c>
    </row>
    <row r="1910" spans="1:2" x14ac:dyDescent="0.2">
      <c r="A1910" s="159">
        <v>14879940</v>
      </c>
      <c r="B1910" s="159" t="s">
        <v>2134</v>
      </c>
    </row>
    <row r="1911" spans="1:2" x14ac:dyDescent="0.2">
      <c r="A1911" s="159">
        <v>14888711</v>
      </c>
      <c r="B1911" s="159" t="s">
        <v>2268</v>
      </c>
    </row>
    <row r="1912" spans="1:2" x14ac:dyDescent="0.2">
      <c r="A1912" s="159">
        <v>14918100</v>
      </c>
      <c r="B1912" s="159" t="s">
        <v>956</v>
      </c>
    </row>
    <row r="1913" spans="1:2" x14ac:dyDescent="0.2">
      <c r="A1913" s="159">
        <v>14978021</v>
      </c>
      <c r="B1913" s="159" t="s">
        <v>1193</v>
      </c>
    </row>
    <row r="1914" spans="1:2" x14ac:dyDescent="0.2">
      <c r="A1914" s="159">
        <v>14978711</v>
      </c>
      <c r="B1914" s="159" t="s">
        <v>1285</v>
      </c>
    </row>
    <row r="1915" spans="1:2" x14ac:dyDescent="0.2">
      <c r="A1915" s="159">
        <v>14979668</v>
      </c>
      <c r="B1915" s="159" t="s">
        <v>1856</v>
      </c>
    </row>
    <row r="1916" spans="1:2" x14ac:dyDescent="0.2">
      <c r="A1916" s="159">
        <v>14979940</v>
      </c>
      <c r="B1916" s="159" t="s">
        <v>2135</v>
      </c>
    </row>
    <row r="1917" spans="1:2" x14ac:dyDescent="0.2">
      <c r="A1917" s="159">
        <v>14986315</v>
      </c>
      <c r="B1917" s="159" t="s">
        <v>2211</v>
      </c>
    </row>
    <row r="1918" spans="1:2" x14ac:dyDescent="0.2">
      <c r="A1918" s="159">
        <v>14988711</v>
      </c>
      <c r="B1918" s="159" t="s">
        <v>1285</v>
      </c>
    </row>
    <row r="1919" spans="1:2" x14ac:dyDescent="0.2">
      <c r="A1919" s="159">
        <v>15078711</v>
      </c>
      <c r="B1919" s="159" t="s">
        <v>1286</v>
      </c>
    </row>
    <row r="1920" spans="1:2" x14ac:dyDescent="0.2">
      <c r="A1920" s="159">
        <v>15079668</v>
      </c>
      <c r="B1920" s="159" t="s">
        <v>1857</v>
      </c>
    </row>
    <row r="1921" spans="1:2" x14ac:dyDescent="0.2">
      <c r="A1921" s="159">
        <v>15079940</v>
      </c>
      <c r="B1921" s="159" t="s">
        <v>2136</v>
      </c>
    </row>
    <row r="1922" spans="1:2" x14ac:dyDescent="0.2">
      <c r="A1922" s="159">
        <v>15088711</v>
      </c>
      <c r="B1922" s="159" t="s">
        <v>1286</v>
      </c>
    </row>
    <row r="1923" spans="1:2" x14ac:dyDescent="0.2">
      <c r="A1923" s="159">
        <v>15178021</v>
      </c>
      <c r="B1923" s="159" t="s">
        <v>1194</v>
      </c>
    </row>
    <row r="1924" spans="1:2" x14ac:dyDescent="0.2">
      <c r="A1924" s="159">
        <v>15178711</v>
      </c>
      <c r="B1924" s="159" t="s">
        <v>1287</v>
      </c>
    </row>
    <row r="1925" spans="1:2" x14ac:dyDescent="0.2">
      <c r="A1925" s="159">
        <v>15179084</v>
      </c>
      <c r="B1925" s="159" t="s">
        <v>1497</v>
      </c>
    </row>
    <row r="1926" spans="1:2" x14ac:dyDescent="0.2">
      <c r="A1926" s="159">
        <v>15179300</v>
      </c>
      <c r="B1926" s="159" t="s">
        <v>1721</v>
      </c>
    </row>
    <row r="1927" spans="1:2" x14ac:dyDescent="0.2">
      <c r="A1927" s="159">
        <v>15179668</v>
      </c>
      <c r="B1927" s="159" t="s">
        <v>1858</v>
      </c>
    </row>
    <row r="1928" spans="1:2" x14ac:dyDescent="0.2">
      <c r="A1928" s="159">
        <v>15179940</v>
      </c>
      <c r="B1928" s="159" t="s">
        <v>2137</v>
      </c>
    </row>
    <row r="1929" spans="1:2" x14ac:dyDescent="0.2">
      <c r="A1929" s="159">
        <v>15186315</v>
      </c>
      <c r="B1929" s="159" t="s">
        <v>2212</v>
      </c>
    </row>
    <row r="1930" spans="1:2" x14ac:dyDescent="0.2">
      <c r="A1930" s="159">
        <v>15188711</v>
      </c>
      <c r="B1930" s="159" t="s">
        <v>1287</v>
      </c>
    </row>
    <row r="1931" spans="1:2" x14ac:dyDescent="0.2">
      <c r="A1931" s="159">
        <v>15278021</v>
      </c>
      <c r="B1931" s="159" t="s">
        <v>1195</v>
      </c>
    </row>
    <row r="1932" spans="1:2" x14ac:dyDescent="0.2">
      <c r="A1932" s="159">
        <v>15279668</v>
      </c>
      <c r="B1932" s="159" t="s">
        <v>1859</v>
      </c>
    </row>
    <row r="1933" spans="1:2" x14ac:dyDescent="0.2">
      <c r="A1933" s="159">
        <v>15279940</v>
      </c>
      <c r="B1933" s="159" t="s">
        <v>2138</v>
      </c>
    </row>
    <row r="1934" spans="1:2" x14ac:dyDescent="0.2">
      <c r="A1934" s="159">
        <v>15478021</v>
      </c>
      <c r="B1934" s="159" t="s">
        <v>1196</v>
      </c>
    </row>
    <row r="1935" spans="1:2" x14ac:dyDescent="0.2">
      <c r="A1935" s="159">
        <v>15479668</v>
      </c>
      <c r="B1935" s="159" t="s">
        <v>1860</v>
      </c>
    </row>
    <row r="1936" spans="1:2" x14ac:dyDescent="0.2">
      <c r="A1936" s="159">
        <v>15479940</v>
      </c>
      <c r="B1936" s="159" t="s">
        <v>2139</v>
      </c>
    </row>
    <row r="1937" spans="1:2" x14ac:dyDescent="0.2">
      <c r="A1937" s="159">
        <v>15578021</v>
      </c>
      <c r="B1937" s="159" t="s">
        <v>1197</v>
      </c>
    </row>
    <row r="1938" spans="1:2" x14ac:dyDescent="0.2">
      <c r="A1938" s="159">
        <v>15678021</v>
      </c>
      <c r="B1938" s="159" t="s">
        <v>1198</v>
      </c>
    </row>
    <row r="1939" spans="1:2" x14ac:dyDescent="0.2">
      <c r="A1939" s="159">
        <v>15678711</v>
      </c>
      <c r="B1939" s="159" t="s">
        <v>1288</v>
      </c>
    </row>
    <row r="1940" spans="1:2" x14ac:dyDescent="0.2">
      <c r="A1940" s="159">
        <v>15688711</v>
      </c>
      <c r="B1940" s="159" t="s">
        <v>1288</v>
      </c>
    </row>
    <row r="1941" spans="1:2" x14ac:dyDescent="0.2">
      <c r="A1941" s="159">
        <v>15778021</v>
      </c>
      <c r="B1941" s="159" t="s">
        <v>1199</v>
      </c>
    </row>
    <row r="1942" spans="1:2" x14ac:dyDescent="0.2">
      <c r="A1942" s="159">
        <v>15778711</v>
      </c>
      <c r="B1942" s="159" t="s">
        <v>1289</v>
      </c>
    </row>
    <row r="1943" spans="1:2" x14ac:dyDescent="0.2">
      <c r="A1943" s="159">
        <v>15788711</v>
      </c>
      <c r="B1943" s="159" t="s">
        <v>1289</v>
      </c>
    </row>
    <row r="1944" spans="1:2" x14ac:dyDescent="0.2">
      <c r="A1944" s="159">
        <v>15818100</v>
      </c>
      <c r="B1944" s="159" t="s">
        <v>957</v>
      </c>
    </row>
    <row r="1945" spans="1:2" x14ac:dyDescent="0.2">
      <c r="A1945" s="159">
        <v>15878021</v>
      </c>
      <c r="B1945" s="159" t="s">
        <v>1200</v>
      </c>
    </row>
    <row r="1946" spans="1:2" x14ac:dyDescent="0.2">
      <c r="A1946" s="159">
        <v>15878711</v>
      </c>
      <c r="B1946" s="159" t="s">
        <v>1290</v>
      </c>
    </row>
    <row r="1947" spans="1:2" x14ac:dyDescent="0.2">
      <c r="A1947" s="159">
        <v>15879668</v>
      </c>
      <c r="B1947" s="159" t="s">
        <v>1861</v>
      </c>
    </row>
    <row r="1948" spans="1:2" x14ac:dyDescent="0.2">
      <c r="A1948" s="159">
        <v>15879940</v>
      </c>
      <c r="B1948" s="159" t="s">
        <v>2140</v>
      </c>
    </row>
    <row r="1949" spans="1:2" x14ac:dyDescent="0.2">
      <c r="A1949" s="159">
        <v>15888711</v>
      </c>
      <c r="B1949" s="159" t="s">
        <v>1290</v>
      </c>
    </row>
    <row r="1950" spans="1:2" x14ac:dyDescent="0.2">
      <c r="A1950" s="159">
        <v>15918100</v>
      </c>
      <c r="B1950" s="159" t="s">
        <v>958</v>
      </c>
    </row>
    <row r="1951" spans="1:2" x14ac:dyDescent="0.2">
      <c r="A1951" s="159">
        <v>15978021</v>
      </c>
      <c r="B1951" s="159" t="s">
        <v>1201</v>
      </c>
    </row>
    <row r="1952" spans="1:2" x14ac:dyDescent="0.2">
      <c r="A1952" s="159">
        <v>15978711</v>
      </c>
      <c r="B1952" s="159" t="s">
        <v>1291</v>
      </c>
    </row>
    <row r="1953" spans="1:2" x14ac:dyDescent="0.2">
      <c r="A1953" s="159">
        <v>15986315</v>
      </c>
      <c r="B1953" s="159" t="s">
        <v>2213</v>
      </c>
    </row>
    <row r="1954" spans="1:2" x14ac:dyDescent="0.2">
      <c r="A1954" s="159">
        <v>15988711</v>
      </c>
      <c r="B1954" s="159" t="s">
        <v>1291</v>
      </c>
    </row>
    <row r="1955" spans="1:2" x14ac:dyDescent="0.2">
      <c r="A1955" s="159">
        <v>16078711</v>
      </c>
      <c r="B1955" s="159" t="s">
        <v>1292</v>
      </c>
    </row>
    <row r="1956" spans="1:2" x14ac:dyDescent="0.2">
      <c r="A1956" s="159">
        <v>16088711</v>
      </c>
      <c r="B1956" s="159" t="s">
        <v>1292</v>
      </c>
    </row>
    <row r="1957" spans="1:2" x14ac:dyDescent="0.2">
      <c r="A1957" s="159">
        <v>16178021</v>
      </c>
      <c r="B1957" s="159" t="s">
        <v>1202</v>
      </c>
    </row>
    <row r="1958" spans="1:2" x14ac:dyDescent="0.2">
      <c r="A1958" s="159">
        <v>16179084</v>
      </c>
      <c r="B1958" s="159" t="s">
        <v>1498</v>
      </c>
    </row>
    <row r="1959" spans="1:2" x14ac:dyDescent="0.2">
      <c r="A1959" s="159">
        <v>16179300</v>
      </c>
      <c r="B1959" s="159" t="s">
        <v>1722</v>
      </c>
    </row>
    <row r="1960" spans="1:2" x14ac:dyDescent="0.2">
      <c r="A1960" s="159">
        <v>16278021</v>
      </c>
      <c r="B1960" s="159" t="s">
        <v>1203</v>
      </c>
    </row>
    <row r="1961" spans="1:2" x14ac:dyDescent="0.2">
      <c r="A1961" s="159">
        <v>16286315</v>
      </c>
      <c r="B1961" s="159" t="s">
        <v>2214</v>
      </c>
    </row>
    <row r="1962" spans="1:2" x14ac:dyDescent="0.2">
      <c r="A1962" s="159">
        <v>16378021</v>
      </c>
      <c r="B1962" s="159" t="s">
        <v>1204</v>
      </c>
    </row>
    <row r="1963" spans="1:2" x14ac:dyDescent="0.2">
      <c r="A1963" s="159">
        <v>16378711</v>
      </c>
      <c r="B1963" s="159" t="s">
        <v>1293</v>
      </c>
    </row>
    <row r="1964" spans="1:2" x14ac:dyDescent="0.2">
      <c r="A1964" s="159">
        <v>16386315</v>
      </c>
      <c r="B1964" s="159" t="s">
        <v>2215</v>
      </c>
    </row>
    <row r="1965" spans="1:2" x14ac:dyDescent="0.2">
      <c r="A1965" s="159">
        <v>16388711</v>
      </c>
      <c r="B1965" s="159" t="s">
        <v>1293</v>
      </c>
    </row>
    <row r="1966" spans="1:2" x14ac:dyDescent="0.2">
      <c r="A1966" s="159">
        <v>16478021</v>
      </c>
      <c r="B1966" s="159" t="s">
        <v>1205</v>
      </c>
    </row>
    <row r="1967" spans="1:2" x14ac:dyDescent="0.2">
      <c r="A1967" s="159">
        <v>16478711</v>
      </c>
      <c r="B1967" s="159" t="s">
        <v>1294</v>
      </c>
    </row>
    <row r="1968" spans="1:2" x14ac:dyDescent="0.2">
      <c r="A1968" s="159">
        <v>16486315</v>
      </c>
      <c r="B1968" s="159" t="s">
        <v>2216</v>
      </c>
    </row>
    <row r="1969" spans="1:2" x14ac:dyDescent="0.2">
      <c r="A1969" s="159">
        <v>16488711</v>
      </c>
      <c r="B1969" s="159" t="s">
        <v>1294</v>
      </c>
    </row>
    <row r="1970" spans="1:2" x14ac:dyDescent="0.2">
      <c r="A1970" s="159">
        <v>16578711</v>
      </c>
      <c r="B1970" s="159" t="s">
        <v>1295</v>
      </c>
    </row>
    <row r="1971" spans="1:2" x14ac:dyDescent="0.2">
      <c r="A1971" s="159">
        <v>16586315</v>
      </c>
      <c r="B1971" s="159" t="s">
        <v>2217</v>
      </c>
    </row>
    <row r="1972" spans="1:2" x14ac:dyDescent="0.2">
      <c r="A1972" s="159">
        <v>16588711</v>
      </c>
      <c r="B1972" s="159" t="s">
        <v>1295</v>
      </c>
    </row>
    <row r="1973" spans="1:2" x14ac:dyDescent="0.2">
      <c r="A1973" s="159">
        <v>16679668</v>
      </c>
      <c r="B1973" s="159" t="s">
        <v>1862</v>
      </c>
    </row>
    <row r="1974" spans="1:2" x14ac:dyDescent="0.2">
      <c r="A1974" s="159">
        <v>16679940</v>
      </c>
      <c r="B1974" s="159" t="s">
        <v>2141</v>
      </c>
    </row>
    <row r="1975" spans="1:2" x14ac:dyDescent="0.2">
      <c r="A1975" s="159">
        <v>16686315</v>
      </c>
      <c r="B1975" s="159" t="s">
        <v>2218</v>
      </c>
    </row>
    <row r="1976" spans="1:2" x14ac:dyDescent="0.2">
      <c r="A1976" s="159">
        <v>16778711</v>
      </c>
      <c r="B1976" s="159" t="s">
        <v>1296</v>
      </c>
    </row>
    <row r="1977" spans="1:2" x14ac:dyDescent="0.2">
      <c r="A1977" s="159">
        <v>16779668</v>
      </c>
      <c r="B1977" s="159" t="s">
        <v>1863</v>
      </c>
    </row>
    <row r="1978" spans="1:2" x14ac:dyDescent="0.2">
      <c r="A1978" s="159">
        <v>16779940</v>
      </c>
      <c r="B1978" s="159" t="s">
        <v>2142</v>
      </c>
    </row>
    <row r="1979" spans="1:2" x14ac:dyDescent="0.2">
      <c r="A1979" s="159">
        <v>16786315</v>
      </c>
      <c r="B1979" s="159" t="s">
        <v>2219</v>
      </c>
    </row>
    <row r="1980" spans="1:2" x14ac:dyDescent="0.2">
      <c r="A1980" s="159">
        <v>16788711</v>
      </c>
      <c r="B1980" s="159" t="s">
        <v>1296</v>
      </c>
    </row>
    <row r="1981" spans="1:2" x14ac:dyDescent="0.2">
      <c r="A1981" s="159">
        <v>16878711</v>
      </c>
      <c r="B1981" s="159" t="s">
        <v>1297</v>
      </c>
    </row>
    <row r="1982" spans="1:2" x14ac:dyDescent="0.2">
      <c r="A1982" s="159">
        <v>16879668</v>
      </c>
      <c r="B1982" s="159" t="s">
        <v>1864</v>
      </c>
    </row>
    <row r="1983" spans="1:2" x14ac:dyDescent="0.2">
      <c r="A1983" s="159">
        <v>16879940</v>
      </c>
      <c r="B1983" s="159" t="s">
        <v>2143</v>
      </c>
    </row>
    <row r="1984" spans="1:2" x14ac:dyDescent="0.2">
      <c r="A1984" s="159">
        <v>16886315</v>
      </c>
      <c r="B1984" s="159" t="s">
        <v>2220</v>
      </c>
    </row>
    <row r="1985" spans="1:2" x14ac:dyDescent="0.2">
      <c r="A1985" s="159">
        <v>16888711</v>
      </c>
      <c r="B1985" s="159" t="s">
        <v>2269</v>
      </c>
    </row>
    <row r="1986" spans="1:2" x14ac:dyDescent="0.2">
      <c r="A1986" s="159">
        <v>16978711</v>
      </c>
      <c r="B1986" s="159" t="s">
        <v>1298</v>
      </c>
    </row>
    <row r="1987" spans="1:2" x14ac:dyDescent="0.2">
      <c r="A1987" s="159">
        <v>16979668</v>
      </c>
      <c r="B1987" s="159" t="s">
        <v>1865</v>
      </c>
    </row>
    <row r="1988" spans="1:2" x14ac:dyDescent="0.2">
      <c r="A1988" s="159">
        <v>16979940</v>
      </c>
      <c r="B1988" s="159" t="s">
        <v>2144</v>
      </c>
    </row>
    <row r="1989" spans="1:2" x14ac:dyDescent="0.2">
      <c r="A1989" s="159">
        <v>16986315</v>
      </c>
      <c r="B1989" s="159" t="s">
        <v>2221</v>
      </c>
    </row>
    <row r="1990" spans="1:2" x14ac:dyDescent="0.2">
      <c r="A1990" s="159">
        <v>16988711</v>
      </c>
      <c r="B1990" s="159" t="s">
        <v>1298</v>
      </c>
    </row>
    <row r="1991" spans="1:2" x14ac:dyDescent="0.2">
      <c r="A1991" s="159">
        <v>17078711</v>
      </c>
      <c r="B1991" s="159" t="s">
        <v>1299</v>
      </c>
    </row>
    <row r="1992" spans="1:2" x14ac:dyDescent="0.2">
      <c r="A1992" s="159">
        <v>17079668</v>
      </c>
      <c r="B1992" s="159" t="s">
        <v>1866</v>
      </c>
    </row>
    <row r="1993" spans="1:2" x14ac:dyDescent="0.2">
      <c r="A1993" s="159">
        <v>17079940</v>
      </c>
      <c r="B1993" s="159" t="s">
        <v>2145</v>
      </c>
    </row>
    <row r="1994" spans="1:2" x14ac:dyDescent="0.2">
      <c r="A1994" s="159">
        <v>17086315</v>
      </c>
      <c r="B1994" s="159" t="s">
        <v>2222</v>
      </c>
    </row>
    <row r="1995" spans="1:2" x14ac:dyDescent="0.2">
      <c r="A1995" s="159">
        <v>17088711</v>
      </c>
      <c r="B1995" s="159" t="s">
        <v>1299</v>
      </c>
    </row>
    <row r="1996" spans="1:2" x14ac:dyDescent="0.2">
      <c r="A1996" s="159">
        <v>17178711</v>
      </c>
      <c r="B1996" s="159" t="s">
        <v>1300</v>
      </c>
    </row>
    <row r="1997" spans="1:2" x14ac:dyDescent="0.2">
      <c r="A1997" s="159">
        <v>17179668</v>
      </c>
      <c r="B1997" s="159" t="s">
        <v>1867</v>
      </c>
    </row>
    <row r="1998" spans="1:2" x14ac:dyDescent="0.2">
      <c r="A1998" s="159">
        <v>17179940</v>
      </c>
      <c r="B1998" s="159" t="s">
        <v>2146</v>
      </c>
    </row>
    <row r="1999" spans="1:2" x14ac:dyDescent="0.2">
      <c r="A1999" s="159">
        <v>17188711</v>
      </c>
      <c r="B1999" s="159" t="s">
        <v>1300</v>
      </c>
    </row>
    <row r="2000" spans="1:2" x14ac:dyDescent="0.2">
      <c r="A2000" s="159">
        <v>17278711</v>
      </c>
      <c r="B2000" s="159" t="s">
        <v>1301</v>
      </c>
    </row>
    <row r="2001" spans="1:2" x14ac:dyDescent="0.2">
      <c r="A2001" s="159">
        <v>17279668</v>
      </c>
      <c r="B2001" s="159" t="s">
        <v>1868</v>
      </c>
    </row>
    <row r="2002" spans="1:2" x14ac:dyDescent="0.2">
      <c r="A2002" s="159">
        <v>17279940</v>
      </c>
      <c r="B2002" s="159" t="s">
        <v>2147</v>
      </c>
    </row>
    <row r="2003" spans="1:2" x14ac:dyDescent="0.2">
      <c r="A2003" s="159">
        <v>17288711</v>
      </c>
      <c r="B2003" s="159" t="s">
        <v>1301</v>
      </c>
    </row>
    <row r="2004" spans="1:2" x14ac:dyDescent="0.2">
      <c r="A2004" s="159">
        <v>17378711</v>
      </c>
      <c r="B2004" s="159" t="s">
        <v>1302</v>
      </c>
    </row>
    <row r="2005" spans="1:2" x14ac:dyDescent="0.2">
      <c r="A2005" s="159">
        <v>17379668</v>
      </c>
      <c r="B2005" s="159" t="s">
        <v>1869</v>
      </c>
    </row>
    <row r="2006" spans="1:2" x14ac:dyDescent="0.2">
      <c r="A2006" s="159">
        <v>17379940</v>
      </c>
      <c r="B2006" s="159" t="s">
        <v>2148</v>
      </c>
    </row>
    <row r="2007" spans="1:2" x14ac:dyDescent="0.2">
      <c r="A2007" s="159">
        <v>17386315</v>
      </c>
      <c r="B2007" s="159" t="s">
        <v>2223</v>
      </c>
    </row>
    <row r="2008" spans="1:2" x14ac:dyDescent="0.2">
      <c r="A2008" s="159">
        <v>17388711</v>
      </c>
      <c r="B2008" s="159" t="s">
        <v>1302</v>
      </c>
    </row>
    <row r="2009" spans="1:2" x14ac:dyDescent="0.2">
      <c r="A2009" s="159">
        <v>17579668</v>
      </c>
      <c r="B2009" s="159" t="s">
        <v>1870</v>
      </c>
    </row>
    <row r="2010" spans="1:2" x14ac:dyDescent="0.2">
      <c r="A2010" s="159">
        <v>17579940</v>
      </c>
      <c r="B2010" s="159" t="s">
        <v>2149</v>
      </c>
    </row>
    <row r="2011" spans="1:2" x14ac:dyDescent="0.2">
      <c r="A2011" s="159">
        <v>17678711</v>
      </c>
      <c r="B2011" s="159" t="s">
        <v>1303</v>
      </c>
    </row>
    <row r="2012" spans="1:2" x14ac:dyDescent="0.2">
      <c r="A2012" s="159">
        <v>17686315</v>
      </c>
      <c r="B2012" s="159" t="s">
        <v>2224</v>
      </c>
    </row>
    <row r="2013" spans="1:2" x14ac:dyDescent="0.2">
      <c r="A2013" s="159">
        <v>17688711</v>
      </c>
      <c r="B2013" s="159" t="s">
        <v>1303</v>
      </c>
    </row>
    <row r="2014" spans="1:2" x14ac:dyDescent="0.2">
      <c r="A2014" s="159">
        <v>17778711</v>
      </c>
      <c r="B2014" s="159" t="s">
        <v>1304</v>
      </c>
    </row>
    <row r="2015" spans="1:2" x14ac:dyDescent="0.2">
      <c r="A2015" s="159">
        <v>17786315</v>
      </c>
      <c r="B2015" s="159" t="s">
        <v>2225</v>
      </c>
    </row>
    <row r="2016" spans="1:2" x14ac:dyDescent="0.2">
      <c r="A2016" s="159">
        <v>17788711</v>
      </c>
      <c r="B2016" s="159" t="s">
        <v>1304</v>
      </c>
    </row>
    <row r="2017" spans="1:2" x14ac:dyDescent="0.2">
      <c r="A2017" s="159">
        <v>17878711</v>
      </c>
      <c r="B2017" s="159" t="s">
        <v>1305</v>
      </c>
    </row>
    <row r="2018" spans="1:2" x14ac:dyDescent="0.2">
      <c r="A2018" s="159">
        <v>17888711</v>
      </c>
      <c r="B2018" s="159" t="s">
        <v>1305</v>
      </c>
    </row>
    <row r="2019" spans="1:2" x14ac:dyDescent="0.2">
      <c r="A2019" s="159">
        <v>17978711</v>
      </c>
      <c r="B2019" s="159" t="s">
        <v>1306</v>
      </c>
    </row>
    <row r="2020" spans="1:2" x14ac:dyDescent="0.2">
      <c r="A2020" s="159">
        <v>17986315</v>
      </c>
      <c r="B2020" s="159" t="s">
        <v>2226</v>
      </c>
    </row>
    <row r="2021" spans="1:2" x14ac:dyDescent="0.2">
      <c r="A2021" s="159">
        <v>17988711</v>
      </c>
      <c r="B2021" s="159" t="s">
        <v>1306</v>
      </c>
    </row>
    <row r="2022" spans="1:2" x14ac:dyDescent="0.2">
      <c r="A2022" s="159">
        <v>18018100</v>
      </c>
      <c r="B2022" s="159" t="s">
        <v>959</v>
      </c>
    </row>
    <row r="2023" spans="1:2" x14ac:dyDescent="0.2">
      <c r="A2023" s="159">
        <v>18030699</v>
      </c>
      <c r="B2023" s="159" t="s">
        <v>971</v>
      </c>
    </row>
    <row r="2024" spans="1:2" x14ac:dyDescent="0.2">
      <c r="A2024" s="159">
        <v>18078711</v>
      </c>
      <c r="B2024" s="159" t="s">
        <v>1307</v>
      </c>
    </row>
    <row r="2025" spans="1:2" x14ac:dyDescent="0.2">
      <c r="A2025" s="159">
        <v>18088711</v>
      </c>
      <c r="B2025" s="159" t="s">
        <v>1307</v>
      </c>
    </row>
    <row r="2026" spans="1:2" x14ac:dyDescent="0.2">
      <c r="A2026" s="159">
        <v>18118100</v>
      </c>
      <c r="B2026" s="159" t="s">
        <v>960</v>
      </c>
    </row>
    <row r="2027" spans="1:2" x14ac:dyDescent="0.2">
      <c r="A2027" s="159">
        <v>18130699</v>
      </c>
      <c r="B2027" s="159" t="s">
        <v>972</v>
      </c>
    </row>
    <row r="2028" spans="1:2" x14ac:dyDescent="0.2">
      <c r="A2028" s="159">
        <v>18178711</v>
      </c>
      <c r="B2028" s="159" t="s">
        <v>1308</v>
      </c>
    </row>
    <row r="2029" spans="1:2" x14ac:dyDescent="0.2">
      <c r="A2029" s="159">
        <v>18179668</v>
      </c>
      <c r="B2029" s="159" t="s">
        <v>1871</v>
      </c>
    </row>
    <row r="2030" spans="1:2" x14ac:dyDescent="0.2">
      <c r="A2030" s="159">
        <v>18179940</v>
      </c>
      <c r="B2030" s="159" t="s">
        <v>2150</v>
      </c>
    </row>
    <row r="2031" spans="1:2" x14ac:dyDescent="0.2">
      <c r="A2031" s="159">
        <v>18186315</v>
      </c>
      <c r="B2031" s="159" t="s">
        <v>2227</v>
      </c>
    </row>
    <row r="2032" spans="1:2" x14ac:dyDescent="0.2">
      <c r="A2032" s="159">
        <v>18188711</v>
      </c>
      <c r="B2032" s="159" t="s">
        <v>1308</v>
      </c>
    </row>
    <row r="2033" spans="1:2" x14ac:dyDescent="0.2">
      <c r="A2033" s="159">
        <v>18218100</v>
      </c>
      <c r="B2033" s="159" t="s">
        <v>961</v>
      </c>
    </row>
    <row r="2034" spans="1:2" x14ac:dyDescent="0.2">
      <c r="A2034" s="159">
        <v>18230699</v>
      </c>
      <c r="B2034" s="159" t="s">
        <v>973</v>
      </c>
    </row>
    <row r="2035" spans="1:2" x14ac:dyDescent="0.2">
      <c r="A2035" s="159">
        <v>18278711</v>
      </c>
      <c r="B2035" s="159" t="s">
        <v>1309</v>
      </c>
    </row>
    <row r="2036" spans="1:2" x14ac:dyDescent="0.2">
      <c r="A2036" s="159">
        <v>18279668</v>
      </c>
      <c r="B2036" s="159" t="s">
        <v>1872</v>
      </c>
    </row>
    <row r="2037" spans="1:2" x14ac:dyDescent="0.2">
      <c r="A2037" s="159">
        <v>18279753</v>
      </c>
      <c r="B2037" s="159" t="s">
        <v>1906</v>
      </c>
    </row>
    <row r="2038" spans="1:2" x14ac:dyDescent="0.2">
      <c r="A2038" s="159">
        <v>18279940</v>
      </c>
      <c r="B2038" s="159" t="s">
        <v>2151</v>
      </c>
    </row>
    <row r="2039" spans="1:2" x14ac:dyDescent="0.2">
      <c r="A2039" s="159">
        <v>18286315</v>
      </c>
      <c r="B2039" s="159" t="s">
        <v>2228</v>
      </c>
    </row>
    <row r="2040" spans="1:2" x14ac:dyDescent="0.2">
      <c r="A2040" s="159">
        <v>18288711</v>
      </c>
      <c r="B2040" s="159" t="s">
        <v>1309</v>
      </c>
    </row>
    <row r="2041" spans="1:2" x14ac:dyDescent="0.2">
      <c r="A2041" s="159">
        <v>18318100</v>
      </c>
      <c r="B2041" s="159" t="s">
        <v>962</v>
      </c>
    </row>
    <row r="2042" spans="1:2" x14ac:dyDescent="0.2">
      <c r="A2042" s="159">
        <v>18330699</v>
      </c>
      <c r="B2042" s="159" t="s">
        <v>974</v>
      </c>
    </row>
    <row r="2043" spans="1:2" x14ac:dyDescent="0.2">
      <c r="A2043" s="159">
        <v>18378711</v>
      </c>
      <c r="B2043" s="159" t="s">
        <v>1310</v>
      </c>
    </row>
    <row r="2044" spans="1:2" x14ac:dyDescent="0.2">
      <c r="A2044" s="159">
        <v>18379170</v>
      </c>
      <c r="B2044" s="159" t="s">
        <v>1626</v>
      </c>
    </row>
    <row r="2045" spans="1:2" x14ac:dyDescent="0.2">
      <c r="A2045" s="159">
        <v>18379668</v>
      </c>
      <c r="B2045" s="159" t="s">
        <v>1873</v>
      </c>
    </row>
    <row r="2046" spans="1:2" x14ac:dyDescent="0.2">
      <c r="A2046" s="159">
        <v>18379940</v>
      </c>
      <c r="B2046" s="159" t="s">
        <v>2152</v>
      </c>
    </row>
    <row r="2047" spans="1:2" x14ac:dyDescent="0.2">
      <c r="A2047" s="159">
        <v>18386315</v>
      </c>
      <c r="B2047" s="159" t="s">
        <v>2229</v>
      </c>
    </row>
    <row r="2048" spans="1:2" x14ac:dyDescent="0.2">
      <c r="A2048" s="159">
        <v>18388711</v>
      </c>
      <c r="B2048" s="159" t="s">
        <v>2270</v>
      </c>
    </row>
    <row r="2049" spans="1:2" x14ac:dyDescent="0.2">
      <c r="A2049" s="159">
        <v>18430699</v>
      </c>
      <c r="B2049" s="159" t="s">
        <v>975</v>
      </c>
    </row>
    <row r="2050" spans="1:2" x14ac:dyDescent="0.2">
      <c r="A2050" s="159">
        <v>18478711</v>
      </c>
      <c r="B2050" s="159" t="s">
        <v>1311</v>
      </c>
    </row>
    <row r="2051" spans="1:2" x14ac:dyDescent="0.2">
      <c r="A2051" s="159">
        <v>18479668</v>
      </c>
      <c r="B2051" s="159" t="s">
        <v>1874</v>
      </c>
    </row>
    <row r="2052" spans="1:2" x14ac:dyDescent="0.2">
      <c r="A2052" s="159">
        <v>18479940</v>
      </c>
      <c r="B2052" s="159" t="s">
        <v>2153</v>
      </c>
    </row>
    <row r="2053" spans="1:2" x14ac:dyDescent="0.2">
      <c r="A2053" s="159">
        <v>18486315</v>
      </c>
      <c r="B2053" s="159" t="s">
        <v>2230</v>
      </c>
    </row>
    <row r="2054" spans="1:2" x14ac:dyDescent="0.2">
      <c r="A2054" s="159">
        <v>18488711</v>
      </c>
      <c r="B2054" s="159" t="s">
        <v>1311</v>
      </c>
    </row>
    <row r="2055" spans="1:2" x14ac:dyDescent="0.2">
      <c r="A2055" s="159">
        <v>18530699</v>
      </c>
      <c r="B2055" s="159" t="s">
        <v>976</v>
      </c>
    </row>
    <row r="2056" spans="1:2" x14ac:dyDescent="0.2">
      <c r="A2056" s="159">
        <v>18578021</v>
      </c>
      <c r="B2056" s="159" t="s">
        <v>1206</v>
      </c>
    </row>
    <row r="2057" spans="1:2" x14ac:dyDescent="0.2">
      <c r="A2057" s="159">
        <v>18578711</v>
      </c>
      <c r="B2057" s="159" t="s">
        <v>1312</v>
      </c>
    </row>
    <row r="2058" spans="1:2" x14ac:dyDescent="0.2">
      <c r="A2058" s="159">
        <v>18579668</v>
      </c>
      <c r="B2058" s="159" t="s">
        <v>1875</v>
      </c>
    </row>
    <row r="2059" spans="1:2" x14ac:dyDescent="0.2">
      <c r="A2059" s="159">
        <v>18579940</v>
      </c>
      <c r="B2059" s="159" t="s">
        <v>2154</v>
      </c>
    </row>
    <row r="2060" spans="1:2" x14ac:dyDescent="0.2">
      <c r="A2060" s="159">
        <v>18586315</v>
      </c>
      <c r="B2060" s="159" t="s">
        <v>2231</v>
      </c>
    </row>
    <row r="2061" spans="1:2" x14ac:dyDescent="0.2">
      <c r="A2061" s="159">
        <v>18588711</v>
      </c>
      <c r="B2061" s="159" t="s">
        <v>2271</v>
      </c>
    </row>
    <row r="2062" spans="1:2" x14ac:dyDescent="0.2">
      <c r="A2062" s="159">
        <v>18618100</v>
      </c>
      <c r="B2062" s="159" t="s">
        <v>963</v>
      </c>
    </row>
    <row r="2063" spans="1:2" x14ac:dyDescent="0.2">
      <c r="A2063" s="159">
        <v>18630699</v>
      </c>
      <c r="B2063" s="159" t="s">
        <v>977</v>
      </c>
    </row>
    <row r="2064" spans="1:2" x14ac:dyDescent="0.2">
      <c r="A2064" s="159">
        <v>18678021</v>
      </c>
      <c r="B2064" s="159" t="s">
        <v>1207</v>
      </c>
    </row>
    <row r="2065" spans="1:2" x14ac:dyDescent="0.2">
      <c r="A2065" s="159">
        <v>18678711</v>
      </c>
      <c r="B2065" s="159" t="s">
        <v>1313</v>
      </c>
    </row>
    <row r="2066" spans="1:2" x14ac:dyDescent="0.2">
      <c r="A2066" s="159">
        <v>18679668</v>
      </c>
      <c r="B2066" s="159" t="s">
        <v>1876</v>
      </c>
    </row>
    <row r="2067" spans="1:2" x14ac:dyDescent="0.2">
      <c r="A2067" s="159">
        <v>18679940</v>
      </c>
      <c r="B2067" s="159" t="s">
        <v>2155</v>
      </c>
    </row>
    <row r="2068" spans="1:2" x14ac:dyDescent="0.2">
      <c r="A2068" s="159">
        <v>18688711</v>
      </c>
      <c r="B2068" s="159" t="s">
        <v>1313</v>
      </c>
    </row>
    <row r="2069" spans="1:2" x14ac:dyDescent="0.2">
      <c r="A2069" s="159">
        <v>18718100</v>
      </c>
      <c r="B2069" s="159" t="s">
        <v>964</v>
      </c>
    </row>
    <row r="2070" spans="1:2" x14ac:dyDescent="0.2">
      <c r="A2070" s="159">
        <v>18730699</v>
      </c>
      <c r="B2070" s="159" t="s">
        <v>978</v>
      </c>
    </row>
    <row r="2071" spans="1:2" x14ac:dyDescent="0.2">
      <c r="A2071" s="159">
        <v>18778711</v>
      </c>
      <c r="B2071" s="159" t="s">
        <v>1314</v>
      </c>
    </row>
    <row r="2072" spans="1:2" x14ac:dyDescent="0.2">
      <c r="A2072" s="159">
        <v>18779668</v>
      </c>
      <c r="B2072" s="159" t="s">
        <v>1877</v>
      </c>
    </row>
    <row r="2073" spans="1:2" x14ac:dyDescent="0.2">
      <c r="A2073" s="159">
        <v>18779940</v>
      </c>
      <c r="B2073" s="159" t="s">
        <v>2156</v>
      </c>
    </row>
    <row r="2074" spans="1:2" x14ac:dyDescent="0.2">
      <c r="A2074" s="159">
        <v>18786315</v>
      </c>
      <c r="B2074" s="159" t="s">
        <v>2232</v>
      </c>
    </row>
    <row r="2075" spans="1:2" x14ac:dyDescent="0.2">
      <c r="A2075" s="159">
        <v>18788711</v>
      </c>
      <c r="B2075" s="159" t="s">
        <v>1314</v>
      </c>
    </row>
    <row r="2076" spans="1:2" x14ac:dyDescent="0.2">
      <c r="A2076" s="159">
        <v>18818100</v>
      </c>
      <c r="B2076" s="159" t="s">
        <v>965</v>
      </c>
    </row>
    <row r="2077" spans="1:2" x14ac:dyDescent="0.2">
      <c r="A2077" s="159">
        <v>18830699</v>
      </c>
      <c r="B2077" s="159" t="s">
        <v>979</v>
      </c>
    </row>
    <row r="2078" spans="1:2" x14ac:dyDescent="0.2">
      <c r="A2078" s="159">
        <v>18878711</v>
      </c>
      <c r="B2078" s="159" t="s">
        <v>1315</v>
      </c>
    </row>
    <row r="2079" spans="1:2" x14ac:dyDescent="0.2">
      <c r="A2079" s="159">
        <v>18879668</v>
      </c>
      <c r="B2079" s="159" t="s">
        <v>1878</v>
      </c>
    </row>
    <row r="2080" spans="1:2" x14ac:dyDescent="0.2">
      <c r="A2080" s="159">
        <v>18879940</v>
      </c>
      <c r="B2080" s="159" t="s">
        <v>2157</v>
      </c>
    </row>
    <row r="2081" spans="1:2" x14ac:dyDescent="0.2">
      <c r="A2081" s="159">
        <v>18888711</v>
      </c>
      <c r="B2081" s="159" t="s">
        <v>1315</v>
      </c>
    </row>
    <row r="2082" spans="1:2" x14ac:dyDescent="0.2">
      <c r="A2082" s="159">
        <v>18918100</v>
      </c>
      <c r="B2082" s="159" t="s">
        <v>966</v>
      </c>
    </row>
    <row r="2083" spans="1:2" x14ac:dyDescent="0.2">
      <c r="A2083" s="159">
        <v>18930699</v>
      </c>
      <c r="B2083" s="159" t="s">
        <v>980</v>
      </c>
    </row>
    <row r="2084" spans="1:2" x14ac:dyDescent="0.2">
      <c r="A2084" s="159">
        <v>18979668</v>
      </c>
      <c r="B2084" s="159" t="s">
        <v>1879</v>
      </c>
    </row>
    <row r="2085" spans="1:2" x14ac:dyDescent="0.2">
      <c r="A2085" s="159">
        <v>18979940</v>
      </c>
      <c r="B2085" s="159" t="s">
        <v>2158</v>
      </c>
    </row>
    <row r="2086" spans="1:2" x14ac:dyDescent="0.2">
      <c r="A2086" s="159">
        <v>18986315</v>
      </c>
      <c r="B2086" s="159" t="s">
        <v>2233</v>
      </c>
    </row>
    <row r="2087" spans="1:2" x14ac:dyDescent="0.2">
      <c r="A2087" s="159">
        <v>19018100</v>
      </c>
      <c r="B2087" s="159" t="s">
        <v>967</v>
      </c>
    </row>
    <row r="2088" spans="1:2" x14ac:dyDescent="0.2">
      <c r="A2088" s="159">
        <v>19030699</v>
      </c>
      <c r="B2088" s="159" t="s">
        <v>981</v>
      </c>
    </row>
    <row r="2089" spans="1:2" x14ac:dyDescent="0.2">
      <c r="A2089" s="159">
        <v>19078711</v>
      </c>
      <c r="B2089" s="159" t="s">
        <v>1316</v>
      </c>
    </row>
    <row r="2090" spans="1:2" x14ac:dyDescent="0.2">
      <c r="A2090" s="159">
        <v>19086315</v>
      </c>
      <c r="B2090" s="159" t="s">
        <v>2234</v>
      </c>
    </row>
    <row r="2091" spans="1:2" x14ac:dyDescent="0.2">
      <c r="A2091" s="159">
        <v>19088711</v>
      </c>
      <c r="B2091" s="159" t="s">
        <v>1316</v>
      </c>
    </row>
    <row r="2092" spans="1:2" x14ac:dyDescent="0.2">
      <c r="A2092" s="159">
        <v>19130699</v>
      </c>
      <c r="B2092" s="159" t="s">
        <v>982</v>
      </c>
    </row>
    <row r="2093" spans="1:2" x14ac:dyDescent="0.2">
      <c r="A2093" s="159">
        <v>19178711</v>
      </c>
      <c r="B2093" s="159" t="s">
        <v>1317</v>
      </c>
    </row>
    <row r="2094" spans="1:2" x14ac:dyDescent="0.2">
      <c r="A2094" s="159">
        <v>19179084</v>
      </c>
      <c r="B2094" s="159" t="s">
        <v>1499</v>
      </c>
    </row>
    <row r="2095" spans="1:2" x14ac:dyDescent="0.2">
      <c r="A2095" s="159">
        <v>19179300</v>
      </c>
      <c r="B2095" s="159" t="s">
        <v>1723</v>
      </c>
    </row>
    <row r="2096" spans="1:2" x14ac:dyDescent="0.2">
      <c r="A2096" s="159">
        <v>19179668</v>
      </c>
      <c r="B2096" s="159" t="s">
        <v>1880</v>
      </c>
    </row>
    <row r="2097" spans="1:2" x14ac:dyDescent="0.2">
      <c r="A2097" s="159">
        <v>19179940</v>
      </c>
      <c r="B2097" s="159" t="s">
        <v>2159</v>
      </c>
    </row>
    <row r="2098" spans="1:2" x14ac:dyDescent="0.2">
      <c r="A2098" s="159">
        <v>19188711</v>
      </c>
      <c r="B2098" s="159" t="s">
        <v>1317</v>
      </c>
    </row>
    <row r="2099" spans="1:2" x14ac:dyDescent="0.2">
      <c r="A2099" s="159">
        <v>19230699</v>
      </c>
      <c r="B2099" s="159" t="s">
        <v>983</v>
      </c>
    </row>
    <row r="2100" spans="1:2" x14ac:dyDescent="0.2">
      <c r="A2100" s="159">
        <v>19278711</v>
      </c>
      <c r="B2100" s="159" t="s">
        <v>1318</v>
      </c>
    </row>
    <row r="2101" spans="1:2" x14ac:dyDescent="0.2">
      <c r="A2101" s="159">
        <v>19288711</v>
      </c>
      <c r="B2101" s="159" t="s">
        <v>1318</v>
      </c>
    </row>
    <row r="2102" spans="1:2" x14ac:dyDescent="0.2">
      <c r="A2102" s="159">
        <v>19330699</v>
      </c>
      <c r="B2102" s="159" t="s">
        <v>984</v>
      </c>
    </row>
    <row r="2103" spans="1:2" x14ac:dyDescent="0.2">
      <c r="A2103" s="159">
        <v>19378711</v>
      </c>
      <c r="B2103" s="159" t="s">
        <v>1319</v>
      </c>
    </row>
    <row r="2104" spans="1:2" x14ac:dyDescent="0.2">
      <c r="A2104" s="159">
        <v>19379170</v>
      </c>
      <c r="B2104" s="159" t="s">
        <v>1627</v>
      </c>
    </row>
    <row r="2105" spans="1:2" x14ac:dyDescent="0.2">
      <c r="A2105" s="159">
        <v>19379668</v>
      </c>
      <c r="B2105" s="159" t="s">
        <v>1881</v>
      </c>
    </row>
    <row r="2106" spans="1:2" x14ac:dyDescent="0.2">
      <c r="A2106" s="159">
        <v>19379940</v>
      </c>
      <c r="B2106" s="159" t="s">
        <v>2160</v>
      </c>
    </row>
    <row r="2107" spans="1:2" x14ac:dyDescent="0.2">
      <c r="A2107" s="159">
        <v>19388711</v>
      </c>
      <c r="B2107" s="159" t="s">
        <v>1319</v>
      </c>
    </row>
    <row r="2108" spans="1:2" x14ac:dyDescent="0.2">
      <c r="A2108" s="159">
        <v>19478711</v>
      </c>
      <c r="B2108" s="159" t="s">
        <v>1320</v>
      </c>
    </row>
    <row r="2109" spans="1:2" x14ac:dyDescent="0.2">
      <c r="A2109" s="159">
        <v>19488711</v>
      </c>
      <c r="B2109" s="159" t="s">
        <v>1320</v>
      </c>
    </row>
    <row r="2110" spans="1:2" x14ac:dyDescent="0.2">
      <c r="A2110" s="159">
        <v>19578711</v>
      </c>
      <c r="B2110" s="159" t="s">
        <v>1321</v>
      </c>
    </row>
    <row r="2111" spans="1:2" x14ac:dyDescent="0.2">
      <c r="A2111" s="159">
        <v>19579668</v>
      </c>
      <c r="B2111" s="159" t="s">
        <v>1882</v>
      </c>
    </row>
    <row r="2112" spans="1:2" x14ac:dyDescent="0.2">
      <c r="A2112" s="159">
        <v>19579940</v>
      </c>
      <c r="B2112" s="159" t="s">
        <v>2161</v>
      </c>
    </row>
    <row r="2113" spans="1:2" x14ac:dyDescent="0.2">
      <c r="A2113" s="159">
        <v>19588711</v>
      </c>
      <c r="B2113" s="159" t="s">
        <v>1321</v>
      </c>
    </row>
    <row r="2114" spans="1:2" x14ac:dyDescent="0.2">
      <c r="A2114" s="159">
        <v>19678711</v>
      </c>
      <c r="B2114" s="159" t="s">
        <v>1322</v>
      </c>
    </row>
    <row r="2115" spans="1:2" x14ac:dyDescent="0.2">
      <c r="A2115" s="159">
        <v>19688711</v>
      </c>
      <c r="B2115" s="159" t="s">
        <v>1322</v>
      </c>
    </row>
    <row r="2116" spans="1:2" x14ac:dyDescent="0.2">
      <c r="A2116" s="159">
        <v>19778711</v>
      </c>
      <c r="B2116" s="159" t="s">
        <v>1323</v>
      </c>
    </row>
    <row r="2117" spans="1:2" x14ac:dyDescent="0.2">
      <c r="A2117" s="159">
        <v>19788711</v>
      </c>
      <c r="B2117" s="159" t="s">
        <v>1323</v>
      </c>
    </row>
    <row r="2118" spans="1:2" x14ac:dyDescent="0.2">
      <c r="A2118" s="159">
        <v>19878711</v>
      </c>
      <c r="B2118" s="159" t="s">
        <v>1324</v>
      </c>
    </row>
    <row r="2119" spans="1:2" x14ac:dyDescent="0.2">
      <c r="A2119" s="159">
        <v>19879170</v>
      </c>
      <c r="B2119" s="159" t="s">
        <v>1628</v>
      </c>
    </row>
    <row r="2120" spans="1:2" x14ac:dyDescent="0.2">
      <c r="A2120" s="159">
        <v>19879668</v>
      </c>
      <c r="B2120" s="159" t="s">
        <v>1883</v>
      </c>
    </row>
    <row r="2121" spans="1:2" x14ac:dyDescent="0.2">
      <c r="A2121" s="159">
        <v>19879753</v>
      </c>
      <c r="B2121" s="159" t="s">
        <v>1907</v>
      </c>
    </row>
    <row r="2122" spans="1:2" x14ac:dyDescent="0.2">
      <c r="A2122" s="159">
        <v>19879940</v>
      </c>
      <c r="B2122" s="159" t="s">
        <v>2162</v>
      </c>
    </row>
    <row r="2123" spans="1:2" x14ac:dyDescent="0.2">
      <c r="A2123" s="159">
        <v>19888711</v>
      </c>
      <c r="B2123" s="159" t="s">
        <v>1324</v>
      </c>
    </row>
    <row r="2124" spans="1:2" x14ac:dyDescent="0.2">
      <c r="A2124" s="159">
        <v>19977055</v>
      </c>
      <c r="B2124" s="159" t="s">
        <v>1125</v>
      </c>
    </row>
    <row r="2125" spans="1:2" x14ac:dyDescent="0.2">
      <c r="A2125" s="159">
        <v>19978021</v>
      </c>
      <c r="B2125" s="159" t="s">
        <v>1208</v>
      </c>
    </row>
    <row r="2126" spans="1:2" x14ac:dyDescent="0.2">
      <c r="A2126" s="159">
        <v>19979084</v>
      </c>
      <c r="B2126" s="159" t="s">
        <v>1500</v>
      </c>
    </row>
    <row r="2127" spans="1:2" x14ac:dyDescent="0.2">
      <c r="A2127" s="159">
        <v>19979170</v>
      </c>
      <c r="B2127" s="159" t="s">
        <v>1629</v>
      </c>
    </row>
    <row r="2128" spans="1:2" x14ac:dyDescent="0.2">
      <c r="A2128" s="159">
        <v>19979300</v>
      </c>
      <c r="B2128" s="159" t="s">
        <v>1724</v>
      </c>
    </row>
    <row r="2129" spans="1:2" x14ac:dyDescent="0.2">
      <c r="A2129" s="159">
        <v>19979668</v>
      </c>
      <c r="B2129" s="159" t="s">
        <v>1884</v>
      </c>
    </row>
    <row r="2130" spans="1:2" x14ac:dyDescent="0.2">
      <c r="A2130" s="159">
        <v>19979753</v>
      </c>
      <c r="B2130" s="159" t="s">
        <v>1908</v>
      </c>
    </row>
    <row r="2131" spans="1:2" x14ac:dyDescent="0.2">
      <c r="A2131" s="159">
        <v>19979940</v>
      </c>
      <c r="B2131" s="159" t="s">
        <v>2163</v>
      </c>
    </row>
    <row r="2132" spans="1:2" x14ac:dyDescent="0.2">
      <c r="A2132" s="159">
        <v>19988711</v>
      </c>
      <c r="B2132" s="159" t="s">
        <v>2272</v>
      </c>
    </row>
    <row r="2133" spans="1:2" x14ac:dyDescent="0.2">
      <c r="A2133" s="159">
        <v>20059253</v>
      </c>
      <c r="B2133" s="159" t="s">
        <v>1060</v>
      </c>
    </row>
    <row r="2134" spans="1:2" x14ac:dyDescent="0.2">
      <c r="A2134" s="159">
        <v>20078021</v>
      </c>
      <c r="B2134" s="159" t="s">
        <v>1209</v>
      </c>
    </row>
    <row r="2135" spans="1:2" x14ac:dyDescent="0.2">
      <c r="A2135" s="159">
        <v>20078711</v>
      </c>
      <c r="B2135" s="159" t="s">
        <v>1325</v>
      </c>
    </row>
    <row r="2136" spans="1:2" x14ac:dyDescent="0.2">
      <c r="A2136" s="159">
        <v>20086315</v>
      </c>
      <c r="B2136" s="159" t="s">
        <v>2235</v>
      </c>
    </row>
    <row r="2137" spans="1:2" x14ac:dyDescent="0.2">
      <c r="A2137" s="159">
        <v>20088711</v>
      </c>
      <c r="B2137" s="159" t="s">
        <v>1325</v>
      </c>
    </row>
    <row r="2138" spans="1:2" x14ac:dyDescent="0.2">
      <c r="A2138" s="159">
        <v>20089494</v>
      </c>
      <c r="B2138" s="159" t="s">
        <v>2329</v>
      </c>
    </row>
    <row r="2139" spans="1:2" x14ac:dyDescent="0.2">
      <c r="A2139" s="159">
        <v>20158356</v>
      </c>
      <c r="B2139" s="159" t="s">
        <v>988</v>
      </c>
    </row>
    <row r="2140" spans="1:2" x14ac:dyDescent="0.2">
      <c r="A2140" s="159">
        <v>20177055</v>
      </c>
      <c r="B2140" s="159" t="s">
        <v>1126</v>
      </c>
    </row>
    <row r="2141" spans="1:2" x14ac:dyDescent="0.2">
      <c r="A2141" s="159">
        <v>20178021</v>
      </c>
      <c r="B2141" s="159" t="s">
        <v>1210</v>
      </c>
    </row>
    <row r="2142" spans="1:2" x14ac:dyDescent="0.2">
      <c r="A2142" s="159">
        <v>20178711</v>
      </c>
      <c r="B2142" s="159" t="s">
        <v>1326</v>
      </c>
    </row>
    <row r="2143" spans="1:2" x14ac:dyDescent="0.2">
      <c r="A2143" s="159">
        <v>20179155</v>
      </c>
      <c r="B2143" s="159" t="s">
        <v>1575</v>
      </c>
    </row>
    <row r="2144" spans="1:2" x14ac:dyDescent="0.2">
      <c r="A2144" s="159">
        <v>20179439</v>
      </c>
      <c r="B2144" s="159" t="s">
        <v>1777</v>
      </c>
    </row>
    <row r="2145" spans="1:2" x14ac:dyDescent="0.2">
      <c r="A2145" s="159">
        <v>20186315</v>
      </c>
      <c r="B2145" s="159" t="s">
        <v>2236</v>
      </c>
    </row>
    <row r="2146" spans="1:2" x14ac:dyDescent="0.2">
      <c r="A2146" s="159">
        <v>20188711</v>
      </c>
      <c r="B2146" s="159" t="s">
        <v>1326</v>
      </c>
    </row>
    <row r="2147" spans="1:2" x14ac:dyDescent="0.2">
      <c r="A2147" s="159">
        <v>20189494</v>
      </c>
      <c r="B2147" s="159" t="s">
        <v>2330</v>
      </c>
    </row>
    <row r="2148" spans="1:2" x14ac:dyDescent="0.2">
      <c r="A2148" s="159">
        <v>20258356</v>
      </c>
      <c r="B2148" s="159" t="s">
        <v>989</v>
      </c>
    </row>
    <row r="2149" spans="1:2" x14ac:dyDescent="0.2">
      <c r="A2149" s="159">
        <v>20278021</v>
      </c>
      <c r="B2149" s="159" t="s">
        <v>1211</v>
      </c>
    </row>
    <row r="2150" spans="1:2" x14ac:dyDescent="0.2">
      <c r="A2150" s="159">
        <v>20278711</v>
      </c>
      <c r="B2150" s="159" t="s">
        <v>1327</v>
      </c>
    </row>
    <row r="2151" spans="1:2" x14ac:dyDescent="0.2">
      <c r="A2151" s="159">
        <v>20278790</v>
      </c>
      <c r="B2151" s="159" t="s">
        <v>1400</v>
      </c>
    </row>
    <row r="2152" spans="1:2" x14ac:dyDescent="0.2">
      <c r="A2152" s="159">
        <v>20278950</v>
      </c>
      <c r="B2152" s="159" t="s">
        <v>1400</v>
      </c>
    </row>
    <row r="2153" spans="1:2" x14ac:dyDescent="0.2">
      <c r="A2153" s="159">
        <v>20279155</v>
      </c>
      <c r="B2153" s="159" t="s">
        <v>1576</v>
      </c>
    </row>
    <row r="2154" spans="1:2" x14ac:dyDescent="0.2">
      <c r="A2154" s="159">
        <v>20279778</v>
      </c>
      <c r="B2154" s="159" t="s">
        <v>1400</v>
      </c>
    </row>
    <row r="2155" spans="1:2" x14ac:dyDescent="0.2">
      <c r="A2155" s="159">
        <v>20286315</v>
      </c>
      <c r="B2155" s="159" t="s">
        <v>2237</v>
      </c>
    </row>
    <row r="2156" spans="1:2" x14ac:dyDescent="0.2">
      <c r="A2156" s="159">
        <v>20288711</v>
      </c>
      <c r="B2156" s="159" t="s">
        <v>1327</v>
      </c>
    </row>
    <row r="2157" spans="1:2" x14ac:dyDescent="0.2">
      <c r="A2157" s="159">
        <v>20289494</v>
      </c>
      <c r="B2157" s="159" t="s">
        <v>2331</v>
      </c>
    </row>
    <row r="2158" spans="1:2" x14ac:dyDescent="0.2">
      <c r="A2158" s="159">
        <v>20378021</v>
      </c>
      <c r="B2158" s="159" t="s">
        <v>1212</v>
      </c>
    </row>
    <row r="2159" spans="1:2" x14ac:dyDescent="0.2">
      <c r="A2159" s="159">
        <v>20378711</v>
      </c>
      <c r="B2159" s="159" t="s">
        <v>1328</v>
      </c>
    </row>
    <row r="2160" spans="1:2" x14ac:dyDescent="0.2">
      <c r="A2160" s="159">
        <v>20379155</v>
      </c>
      <c r="B2160" s="159" t="s">
        <v>1577</v>
      </c>
    </row>
    <row r="2161" spans="1:2" x14ac:dyDescent="0.2">
      <c r="A2161" s="159">
        <v>20379771</v>
      </c>
      <c r="B2161" s="159" t="s">
        <v>1913</v>
      </c>
    </row>
    <row r="2162" spans="1:2" x14ac:dyDescent="0.2">
      <c r="A2162" s="159">
        <v>20386315</v>
      </c>
      <c r="B2162" s="159" t="s">
        <v>2238</v>
      </c>
    </row>
    <row r="2163" spans="1:2" x14ac:dyDescent="0.2">
      <c r="A2163" s="159">
        <v>20388711</v>
      </c>
      <c r="B2163" s="159" t="s">
        <v>1328</v>
      </c>
    </row>
    <row r="2164" spans="1:2" x14ac:dyDescent="0.2">
      <c r="A2164" s="159">
        <v>20389494</v>
      </c>
      <c r="B2164" s="159" t="s">
        <v>2332</v>
      </c>
    </row>
    <row r="2165" spans="1:2" x14ac:dyDescent="0.2">
      <c r="A2165" s="159">
        <v>20458356</v>
      </c>
      <c r="B2165" s="159" t="s">
        <v>990</v>
      </c>
    </row>
    <row r="2166" spans="1:2" x14ac:dyDescent="0.2">
      <c r="A2166" s="159">
        <v>20478021</v>
      </c>
      <c r="B2166" s="159" t="s">
        <v>1213</v>
      </c>
    </row>
    <row r="2167" spans="1:2" x14ac:dyDescent="0.2">
      <c r="A2167" s="159">
        <v>20478711</v>
      </c>
      <c r="B2167" s="159" t="s">
        <v>1329</v>
      </c>
    </row>
    <row r="2168" spans="1:2" x14ac:dyDescent="0.2">
      <c r="A2168" s="159">
        <v>20478790</v>
      </c>
      <c r="B2168" s="159" t="s">
        <v>1401</v>
      </c>
    </row>
    <row r="2169" spans="1:2" x14ac:dyDescent="0.2">
      <c r="A2169" s="159">
        <v>20478950</v>
      </c>
      <c r="B2169" s="159" t="s">
        <v>1401</v>
      </c>
    </row>
    <row r="2170" spans="1:2" x14ac:dyDescent="0.2">
      <c r="A2170" s="159">
        <v>20479155</v>
      </c>
      <c r="B2170" s="159" t="s">
        <v>1578</v>
      </c>
    </row>
    <row r="2171" spans="1:2" x14ac:dyDescent="0.2">
      <c r="A2171" s="159">
        <v>20479771</v>
      </c>
      <c r="B2171" s="159" t="s">
        <v>1914</v>
      </c>
    </row>
    <row r="2172" spans="1:2" x14ac:dyDescent="0.2">
      <c r="A2172" s="159">
        <v>20479778</v>
      </c>
      <c r="B2172" s="159" t="s">
        <v>1401</v>
      </c>
    </row>
    <row r="2173" spans="1:2" x14ac:dyDescent="0.2">
      <c r="A2173" s="159">
        <v>20486315</v>
      </c>
      <c r="B2173" s="159" t="s">
        <v>2239</v>
      </c>
    </row>
    <row r="2174" spans="1:2" x14ac:dyDescent="0.2">
      <c r="A2174" s="159">
        <v>20488711</v>
      </c>
      <c r="B2174" s="159" t="s">
        <v>1329</v>
      </c>
    </row>
    <row r="2175" spans="1:2" x14ac:dyDescent="0.2">
      <c r="A2175" s="159">
        <v>20489494</v>
      </c>
      <c r="B2175" s="159" t="s">
        <v>2333</v>
      </c>
    </row>
    <row r="2176" spans="1:2" x14ac:dyDescent="0.2">
      <c r="A2176" s="159">
        <v>20558356</v>
      </c>
      <c r="B2176" s="159" t="s">
        <v>991</v>
      </c>
    </row>
    <row r="2177" spans="1:2" x14ac:dyDescent="0.2">
      <c r="A2177" s="159">
        <v>20578021</v>
      </c>
      <c r="B2177" s="159" t="s">
        <v>1214</v>
      </c>
    </row>
    <row r="2178" spans="1:2" x14ac:dyDescent="0.2">
      <c r="A2178" s="159">
        <v>20578790</v>
      </c>
      <c r="B2178" s="159" t="s">
        <v>1402</v>
      </c>
    </row>
    <row r="2179" spans="1:2" x14ac:dyDescent="0.2">
      <c r="A2179" s="159">
        <v>20578950</v>
      </c>
      <c r="B2179" s="159" t="s">
        <v>1402</v>
      </c>
    </row>
    <row r="2180" spans="1:2" x14ac:dyDescent="0.2">
      <c r="A2180" s="159">
        <v>20579155</v>
      </c>
      <c r="B2180" s="159" t="s">
        <v>1579</v>
      </c>
    </row>
    <row r="2181" spans="1:2" x14ac:dyDescent="0.2">
      <c r="A2181" s="159">
        <v>20579778</v>
      </c>
      <c r="B2181" s="159" t="s">
        <v>1402</v>
      </c>
    </row>
    <row r="2182" spans="1:2" x14ac:dyDescent="0.2">
      <c r="A2182" s="159">
        <v>20586315</v>
      </c>
      <c r="B2182" s="159" t="s">
        <v>2240</v>
      </c>
    </row>
    <row r="2183" spans="1:2" x14ac:dyDescent="0.2">
      <c r="A2183" s="159">
        <v>20589494</v>
      </c>
      <c r="B2183" s="159" t="s">
        <v>2334</v>
      </c>
    </row>
    <row r="2184" spans="1:2" x14ac:dyDescent="0.2">
      <c r="A2184" s="159">
        <v>20658356</v>
      </c>
      <c r="B2184" s="159" t="s">
        <v>992</v>
      </c>
    </row>
    <row r="2185" spans="1:2" x14ac:dyDescent="0.2">
      <c r="A2185" s="159">
        <v>20678021</v>
      </c>
      <c r="B2185" s="159" t="s">
        <v>1215</v>
      </c>
    </row>
    <row r="2186" spans="1:2" x14ac:dyDescent="0.2">
      <c r="A2186" s="159">
        <v>20678711</v>
      </c>
      <c r="B2186" s="159" t="s">
        <v>1330</v>
      </c>
    </row>
    <row r="2187" spans="1:2" x14ac:dyDescent="0.2">
      <c r="A2187" s="159">
        <v>20678790</v>
      </c>
      <c r="B2187" s="159" t="s">
        <v>1403</v>
      </c>
    </row>
    <row r="2188" spans="1:2" x14ac:dyDescent="0.2">
      <c r="A2188" s="159">
        <v>20678950</v>
      </c>
      <c r="B2188" s="159" t="s">
        <v>1403</v>
      </c>
    </row>
    <row r="2189" spans="1:2" x14ac:dyDescent="0.2">
      <c r="A2189" s="159">
        <v>20679155</v>
      </c>
      <c r="B2189" s="159" t="s">
        <v>1580</v>
      </c>
    </row>
    <row r="2190" spans="1:2" x14ac:dyDescent="0.2">
      <c r="A2190" s="159">
        <v>20679771</v>
      </c>
      <c r="B2190" s="159" t="s">
        <v>1915</v>
      </c>
    </row>
    <row r="2191" spans="1:2" x14ac:dyDescent="0.2">
      <c r="A2191" s="159">
        <v>20679778</v>
      </c>
      <c r="B2191" s="159" t="s">
        <v>1403</v>
      </c>
    </row>
    <row r="2192" spans="1:2" x14ac:dyDescent="0.2">
      <c r="A2192" s="159">
        <v>20686315</v>
      </c>
      <c r="B2192" s="159" t="s">
        <v>2241</v>
      </c>
    </row>
    <row r="2193" spans="1:2" x14ac:dyDescent="0.2">
      <c r="A2193" s="159">
        <v>20688711</v>
      </c>
      <c r="B2193" s="159" t="s">
        <v>1330</v>
      </c>
    </row>
    <row r="2194" spans="1:2" x14ac:dyDescent="0.2">
      <c r="A2194" s="159">
        <v>20689494</v>
      </c>
      <c r="B2194" s="159" t="s">
        <v>2335</v>
      </c>
    </row>
    <row r="2195" spans="1:2" x14ac:dyDescent="0.2">
      <c r="A2195" s="159">
        <v>20758356</v>
      </c>
      <c r="B2195" s="159" t="s">
        <v>993</v>
      </c>
    </row>
    <row r="2196" spans="1:2" x14ac:dyDescent="0.2">
      <c r="A2196" s="159">
        <v>20778021</v>
      </c>
      <c r="B2196" s="159" t="s">
        <v>1216</v>
      </c>
    </row>
    <row r="2197" spans="1:2" x14ac:dyDescent="0.2">
      <c r="A2197" s="159">
        <v>20778711</v>
      </c>
      <c r="B2197" s="159" t="s">
        <v>1331</v>
      </c>
    </row>
    <row r="2198" spans="1:2" x14ac:dyDescent="0.2">
      <c r="A2198" s="159">
        <v>20778790</v>
      </c>
      <c r="B2198" s="159" t="s">
        <v>1404</v>
      </c>
    </row>
    <row r="2199" spans="1:2" x14ac:dyDescent="0.2">
      <c r="A2199" s="159">
        <v>20778950</v>
      </c>
      <c r="B2199" s="159" t="s">
        <v>1404</v>
      </c>
    </row>
    <row r="2200" spans="1:2" x14ac:dyDescent="0.2">
      <c r="A2200" s="159">
        <v>20779155</v>
      </c>
      <c r="B2200" s="159" t="s">
        <v>1581</v>
      </c>
    </row>
    <row r="2201" spans="1:2" x14ac:dyDescent="0.2">
      <c r="A2201" s="159">
        <v>20779771</v>
      </c>
      <c r="B2201" s="159" t="s">
        <v>1916</v>
      </c>
    </row>
    <row r="2202" spans="1:2" x14ac:dyDescent="0.2">
      <c r="A2202" s="159">
        <v>20779778</v>
      </c>
      <c r="B2202" s="159" t="s">
        <v>1404</v>
      </c>
    </row>
    <row r="2203" spans="1:2" x14ac:dyDescent="0.2">
      <c r="A2203" s="159">
        <v>20788711</v>
      </c>
      <c r="B2203" s="159" t="s">
        <v>1331</v>
      </c>
    </row>
    <row r="2204" spans="1:2" x14ac:dyDescent="0.2">
      <c r="A2204" s="159">
        <v>20789494</v>
      </c>
      <c r="B2204" s="159" t="s">
        <v>2336</v>
      </c>
    </row>
    <row r="2205" spans="1:2" x14ac:dyDescent="0.2">
      <c r="A2205" s="159">
        <v>20858356</v>
      </c>
      <c r="B2205" s="159" t="s">
        <v>994</v>
      </c>
    </row>
    <row r="2206" spans="1:2" x14ac:dyDescent="0.2">
      <c r="A2206" s="159">
        <v>20878021</v>
      </c>
      <c r="B2206" s="159" t="s">
        <v>1217</v>
      </c>
    </row>
    <row r="2207" spans="1:2" x14ac:dyDescent="0.2">
      <c r="A2207" s="159">
        <v>20878711</v>
      </c>
      <c r="B2207" s="159" t="s">
        <v>1332</v>
      </c>
    </row>
    <row r="2208" spans="1:2" x14ac:dyDescent="0.2">
      <c r="A2208" s="159">
        <v>20878790</v>
      </c>
      <c r="B2208" s="159" t="s">
        <v>1405</v>
      </c>
    </row>
    <row r="2209" spans="1:2" x14ac:dyDescent="0.2">
      <c r="A2209" s="159">
        <v>20878950</v>
      </c>
      <c r="B2209" s="159" t="s">
        <v>1405</v>
      </c>
    </row>
    <row r="2210" spans="1:2" x14ac:dyDescent="0.2">
      <c r="A2210" s="159">
        <v>20879155</v>
      </c>
      <c r="B2210" s="159" t="s">
        <v>1582</v>
      </c>
    </row>
    <row r="2211" spans="1:2" x14ac:dyDescent="0.2">
      <c r="A2211" s="159">
        <v>20879771</v>
      </c>
      <c r="B2211" s="159" t="s">
        <v>1917</v>
      </c>
    </row>
    <row r="2212" spans="1:2" x14ac:dyDescent="0.2">
      <c r="A2212" s="159">
        <v>20879778</v>
      </c>
      <c r="B2212" s="159" t="s">
        <v>1405</v>
      </c>
    </row>
    <row r="2213" spans="1:2" x14ac:dyDescent="0.2">
      <c r="A2213" s="159">
        <v>20888711</v>
      </c>
      <c r="B2213" s="159" t="s">
        <v>1332</v>
      </c>
    </row>
    <row r="2214" spans="1:2" x14ac:dyDescent="0.2">
      <c r="A2214" s="159">
        <v>20889494</v>
      </c>
      <c r="B2214" s="159" t="s">
        <v>2337</v>
      </c>
    </row>
    <row r="2215" spans="1:2" x14ac:dyDescent="0.2">
      <c r="A2215" s="159">
        <v>20958356</v>
      </c>
      <c r="B2215" s="159" t="s">
        <v>995</v>
      </c>
    </row>
    <row r="2216" spans="1:2" x14ac:dyDescent="0.2">
      <c r="A2216" s="159">
        <v>20978021</v>
      </c>
      <c r="B2216" s="159" t="s">
        <v>1218</v>
      </c>
    </row>
    <row r="2217" spans="1:2" x14ac:dyDescent="0.2">
      <c r="A2217" s="159">
        <v>20978711</v>
      </c>
      <c r="B2217" s="159" t="s">
        <v>1333</v>
      </c>
    </row>
    <row r="2218" spans="1:2" x14ac:dyDescent="0.2">
      <c r="A2218" s="159">
        <v>20979155</v>
      </c>
      <c r="B2218" s="159" t="s">
        <v>1583</v>
      </c>
    </row>
    <row r="2219" spans="1:2" x14ac:dyDescent="0.2">
      <c r="A2219" s="159">
        <v>20986315</v>
      </c>
      <c r="B2219" s="159" t="s">
        <v>2242</v>
      </c>
    </row>
    <row r="2220" spans="1:2" x14ac:dyDescent="0.2">
      <c r="A2220" s="159">
        <v>20988711</v>
      </c>
      <c r="B2220" s="159" t="s">
        <v>1333</v>
      </c>
    </row>
    <row r="2221" spans="1:2" x14ac:dyDescent="0.2">
      <c r="A2221" s="159">
        <v>20989494</v>
      </c>
      <c r="B2221" s="159" t="s">
        <v>2338</v>
      </c>
    </row>
    <row r="2222" spans="1:2" x14ac:dyDescent="0.2">
      <c r="A2222" s="159">
        <v>21058356</v>
      </c>
      <c r="B2222" s="159" t="s">
        <v>996</v>
      </c>
    </row>
    <row r="2223" spans="1:2" x14ac:dyDescent="0.2">
      <c r="A2223" s="159">
        <v>21078021</v>
      </c>
      <c r="B2223" s="159" t="s">
        <v>1219</v>
      </c>
    </row>
    <row r="2224" spans="1:2" x14ac:dyDescent="0.2">
      <c r="A2224" s="159">
        <v>21078790</v>
      </c>
      <c r="B2224" s="159" t="s">
        <v>1406</v>
      </c>
    </row>
    <row r="2225" spans="1:2" x14ac:dyDescent="0.2">
      <c r="A2225" s="159">
        <v>21078950</v>
      </c>
      <c r="B2225" s="159" t="s">
        <v>1406</v>
      </c>
    </row>
    <row r="2226" spans="1:2" x14ac:dyDescent="0.2">
      <c r="A2226" s="159">
        <v>21079771</v>
      </c>
      <c r="B2226" s="159" t="s">
        <v>1918</v>
      </c>
    </row>
    <row r="2227" spans="1:2" x14ac:dyDescent="0.2">
      <c r="A2227" s="159">
        <v>21079778</v>
      </c>
      <c r="B2227" s="159" t="s">
        <v>1406</v>
      </c>
    </row>
    <row r="2228" spans="1:2" x14ac:dyDescent="0.2">
      <c r="A2228" s="159">
        <v>21088711</v>
      </c>
      <c r="B2228" s="159" t="s">
        <v>2273</v>
      </c>
    </row>
    <row r="2229" spans="1:2" x14ac:dyDescent="0.2">
      <c r="A2229" s="159">
        <v>21089494</v>
      </c>
      <c r="B2229" s="159" t="s">
        <v>2339</v>
      </c>
    </row>
    <row r="2230" spans="1:2" x14ac:dyDescent="0.2">
      <c r="A2230" s="159">
        <v>21158356</v>
      </c>
      <c r="B2230" s="159" t="s">
        <v>997</v>
      </c>
    </row>
    <row r="2231" spans="1:2" x14ac:dyDescent="0.2">
      <c r="A2231" s="159">
        <v>21178021</v>
      </c>
      <c r="B2231" s="159" t="s">
        <v>1220</v>
      </c>
    </row>
    <row r="2232" spans="1:2" x14ac:dyDescent="0.2">
      <c r="A2232" s="159">
        <v>21178790</v>
      </c>
      <c r="B2232" s="159" t="s">
        <v>1407</v>
      </c>
    </row>
    <row r="2233" spans="1:2" x14ac:dyDescent="0.2">
      <c r="A2233" s="159">
        <v>21178950</v>
      </c>
      <c r="B2233" s="159" t="s">
        <v>1407</v>
      </c>
    </row>
    <row r="2234" spans="1:2" x14ac:dyDescent="0.2">
      <c r="A2234" s="159">
        <v>21179084</v>
      </c>
      <c r="B2234" s="159" t="s">
        <v>1501</v>
      </c>
    </row>
    <row r="2235" spans="1:2" x14ac:dyDescent="0.2">
      <c r="A2235" s="159">
        <v>21179300</v>
      </c>
      <c r="B2235" s="159" t="s">
        <v>1725</v>
      </c>
    </row>
    <row r="2236" spans="1:2" x14ac:dyDescent="0.2">
      <c r="A2236" s="159">
        <v>21179778</v>
      </c>
      <c r="B2236" s="159" t="s">
        <v>1407</v>
      </c>
    </row>
    <row r="2237" spans="1:2" x14ac:dyDescent="0.2">
      <c r="A2237" s="159">
        <v>21188711</v>
      </c>
      <c r="B2237" s="159" t="s">
        <v>2274</v>
      </c>
    </row>
    <row r="2238" spans="1:2" x14ac:dyDescent="0.2">
      <c r="A2238" s="159">
        <v>21189494</v>
      </c>
      <c r="B2238" s="159" t="s">
        <v>2340</v>
      </c>
    </row>
    <row r="2239" spans="1:2" x14ac:dyDescent="0.2">
      <c r="A2239" s="159">
        <v>21258356</v>
      </c>
      <c r="B2239" s="159" t="s">
        <v>998</v>
      </c>
    </row>
    <row r="2240" spans="1:2" x14ac:dyDescent="0.2">
      <c r="A2240" s="159">
        <v>21278021</v>
      </c>
      <c r="B2240" s="159" t="s">
        <v>1221</v>
      </c>
    </row>
    <row r="2241" spans="1:2" x14ac:dyDescent="0.2">
      <c r="A2241" s="159">
        <v>21278711</v>
      </c>
      <c r="B2241" s="159" t="s">
        <v>1334</v>
      </c>
    </row>
    <row r="2242" spans="1:2" x14ac:dyDescent="0.2">
      <c r="A2242" s="159">
        <v>21279084</v>
      </c>
      <c r="B2242" s="159" t="s">
        <v>1502</v>
      </c>
    </row>
    <row r="2243" spans="1:2" x14ac:dyDescent="0.2">
      <c r="A2243" s="159">
        <v>21279235</v>
      </c>
      <c r="B2243" s="159" t="s">
        <v>1648</v>
      </c>
    </row>
    <row r="2244" spans="1:2" x14ac:dyDescent="0.2">
      <c r="A2244" s="159">
        <v>21279300</v>
      </c>
      <c r="B2244" s="159" t="s">
        <v>1726</v>
      </c>
    </row>
    <row r="2245" spans="1:2" x14ac:dyDescent="0.2">
      <c r="A2245" s="159">
        <v>21288711</v>
      </c>
      <c r="B2245" s="159" t="s">
        <v>1334</v>
      </c>
    </row>
    <row r="2246" spans="1:2" x14ac:dyDescent="0.2">
      <c r="A2246" s="159">
        <v>21289494</v>
      </c>
      <c r="B2246" s="159" t="s">
        <v>2341</v>
      </c>
    </row>
    <row r="2247" spans="1:2" x14ac:dyDescent="0.2">
      <c r="A2247" s="159">
        <v>21378711</v>
      </c>
      <c r="B2247" s="159" t="s">
        <v>1335</v>
      </c>
    </row>
    <row r="2248" spans="1:2" x14ac:dyDescent="0.2">
      <c r="A2248" s="159">
        <v>21378790</v>
      </c>
      <c r="B2248" s="159" t="s">
        <v>1408</v>
      </c>
    </row>
    <row r="2249" spans="1:2" x14ac:dyDescent="0.2">
      <c r="A2249" s="159">
        <v>21378950</v>
      </c>
      <c r="B2249" s="159" t="s">
        <v>1408</v>
      </c>
    </row>
    <row r="2250" spans="1:2" x14ac:dyDescent="0.2">
      <c r="A2250" s="159">
        <v>21379084</v>
      </c>
      <c r="B2250" s="159" t="s">
        <v>1503</v>
      </c>
    </row>
    <row r="2251" spans="1:2" x14ac:dyDescent="0.2">
      <c r="A2251" s="159">
        <v>21379300</v>
      </c>
      <c r="B2251" s="159" t="s">
        <v>1727</v>
      </c>
    </row>
    <row r="2252" spans="1:2" x14ac:dyDescent="0.2">
      <c r="A2252" s="159">
        <v>21379778</v>
      </c>
      <c r="B2252" s="159" t="s">
        <v>1408</v>
      </c>
    </row>
    <row r="2253" spans="1:2" x14ac:dyDescent="0.2">
      <c r="A2253" s="159">
        <v>21386315</v>
      </c>
      <c r="B2253" s="159" t="s">
        <v>2243</v>
      </c>
    </row>
    <row r="2254" spans="1:2" x14ac:dyDescent="0.2">
      <c r="A2254" s="159">
        <v>21388711</v>
      </c>
      <c r="B2254" s="159" t="s">
        <v>1335</v>
      </c>
    </row>
    <row r="2255" spans="1:2" x14ac:dyDescent="0.2">
      <c r="A2255" s="159">
        <v>21389494</v>
      </c>
      <c r="B2255" s="159" t="s">
        <v>2342</v>
      </c>
    </row>
    <row r="2256" spans="1:2" x14ac:dyDescent="0.2">
      <c r="A2256" s="159">
        <v>21458356</v>
      </c>
      <c r="B2256" s="159" t="s">
        <v>999</v>
      </c>
    </row>
    <row r="2257" spans="1:2" x14ac:dyDescent="0.2">
      <c r="A2257" s="159">
        <v>21478790</v>
      </c>
      <c r="B2257" s="159" t="s">
        <v>1409</v>
      </c>
    </row>
    <row r="2258" spans="1:2" x14ac:dyDescent="0.2">
      <c r="A2258" s="159">
        <v>21478950</v>
      </c>
      <c r="B2258" s="159" t="s">
        <v>1409</v>
      </c>
    </row>
    <row r="2259" spans="1:2" x14ac:dyDescent="0.2">
      <c r="A2259" s="159">
        <v>21479084</v>
      </c>
      <c r="B2259" s="159" t="s">
        <v>1504</v>
      </c>
    </row>
    <row r="2260" spans="1:2" x14ac:dyDescent="0.2">
      <c r="A2260" s="159">
        <v>21479300</v>
      </c>
      <c r="B2260" s="159" t="s">
        <v>1728</v>
      </c>
    </row>
    <row r="2261" spans="1:2" x14ac:dyDescent="0.2">
      <c r="A2261" s="159">
        <v>21479778</v>
      </c>
      <c r="B2261" s="159" t="s">
        <v>1409</v>
      </c>
    </row>
    <row r="2262" spans="1:2" x14ac:dyDescent="0.2">
      <c r="A2262" s="159">
        <v>21486315</v>
      </c>
      <c r="B2262" s="159" t="s">
        <v>2244</v>
      </c>
    </row>
    <row r="2263" spans="1:2" x14ac:dyDescent="0.2">
      <c r="A2263" s="159">
        <v>21488711</v>
      </c>
      <c r="B2263" s="159" t="s">
        <v>2275</v>
      </c>
    </row>
    <row r="2264" spans="1:2" x14ac:dyDescent="0.2">
      <c r="A2264" s="159">
        <v>21489494</v>
      </c>
      <c r="B2264" s="159" t="s">
        <v>2343</v>
      </c>
    </row>
    <row r="2265" spans="1:2" x14ac:dyDescent="0.2">
      <c r="A2265" s="159">
        <v>21558356</v>
      </c>
      <c r="B2265" s="159" t="s">
        <v>1000</v>
      </c>
    </row>
    <row r="2266" spans="1:2" x14ac:dyDescent="0.2">
      <c r="A2266" s="159">
        <v>21578790</v>
      </c>
      <c r="B2266" s="159" t="s">
        <v>1410</v>
      </c>
    </row>
    <row r="2267" spans="1:2" x14ac:dyDescent="0.2">
      <c r="A2267" s="159">
        <v>21578950</v>
      </c>
      <c r="B2267" s="159" t="s">
        <v>1410</v>
      </c>
    </row>
    <row r="2268" spans="1:2" x14ac:dyDescent="0.2">
      <c r="A2268" s="159">
        <v>21579084</v>
      </c>
      <c r="B2268" s="159" t="s">
        <v>1505</v>
      </c>
    </row>
    <row r="2269" spans="1:2" x14ac:dyDescent="0.2">
      <c r="A2269" s="159">
        <v>21579235</v>
      </c>
      <c r="B2269" s="159" t="s">
        <v>1649</v>
      </c>
    </row>
    <row r="2270" spans="1:2" x14ac:dyDescent="0.2">
      <c r="A2270" s="159">
        <v>21579300</v>
      </c>
      <c r="B2270" s="159" t="s">
        <v>1729</v>
      </c>
    </row>
    <row r="2271" spans="1:2" x14ac:dyDescent="0.2">
      <c r="A2271" s="159">
        <v>21579778</v>
      </c>
      <c r="B2271" s="159" t="s">
        <v>1410</v>
      </c>
    </row>
    <row r="2272" spans="1:2" x14ac:dyDescent="0.2">
      <c r="A2272" s="159">
        <v>21586315</v>
      </c>
      <c r="B2272" s="159" t="s">
        <v>2245</v>
      </c>
    </row>
    <row r="2273" spans="1:2" x14ac:dyDescent="0.2">
      <c r="A2273" s="159">
        <v>21588711</v>
      </c>
      <c r="B2273" s="159" t="s">
        <v>2276</v>
      </c>
    </row>
    <row r="2274" spans="1:2" x14ac:dyDescent="0.2">
      <c r="A2274" s="159">
        <v>21589494</v>
      </c>
      <c r="B2274" s="159" t="s">
        <v>2344</v>
      </c>
    </row>
    <row r="2275" spans="1:2" x14ac:dyDescent="0.2">
      <c r="A2275" s="159">
        <v>21678711</v>
      </c>
      <c r="B2275" s="159" t="s">
        <v>1336</v>
      </c>
    </row>
    <row r="2276" spans="1:2" x14ac:dyDescent="0.2">
      <c r="A2276" s="159">
        <v>21678790</v>
      </c>
      <c r="B2276" s="159" t="s">
        <v>1411</v>
      </c>
    </row>
    <row r="2277" spans="1:2" x14ac:dyDescent="0.2">
      <c r="A2277" s="159">
        <v>21678950</v>
      </c>
      <c r="B2277" s="159" t="s">
        <v>1411</v>
      </c>
    </row>
    <row r="2278" spans="1:2" x14ac:dyDescent="0.2">
      <c r="A2278" s="159">
        <v>21679235</v>
      </c>
      <c r="B2278" s="159" t="s">
        <v>1650</v>
      </c>
    </row>
    <row r="2279" spans="1:2" x14ac:dyDescent="0.2">
      <c r="A2279" s="159">
        <v>21679778</v>
      </c>
      <c r="B2279" s="159" t="s">
        <v>1411</v>
      </c>
    </row>
    <row r="2280" spans="1:2" x14ac:dyDescent="0.2">
      <c r="A2280" s="159">
        <v>21688711</v>
      </c>
      <c r="B2280" s="159" t="s">
        <v>1336</v>
      </c>
    </row>
    <row r="2281" spans="1:2" x14ac:dyDescent="0.2">
      <c r="A2281" s="159">
        <v>21689494</v>
      </c>
      <c r="B2281" s="159" t="s">
        <v>2345</v>
      </c>
    </row>
    <row r="2282" spans="1:2" x14ac:dyDescent="0.2">
      <c r="A2282" s="159">
        <v>21758356</v>
      </c>
      <c r="B2282" s="159" t="s">
        <v>133</v>
      </c>
    </row>
    <row r="2283" spans="1:2" x14ac:dyDescent="0.2">
      <c r="A2283" s="159">
        <v>21778711</v>
      </c>
      <c r="B2283" s="159" t="s">
        <v>1337</v>
      </c>
    </row>
    <row r="2284" spans="1:2" x14ac:dyDescent="0.2">
      <c r="A2284" s="159">
        <v>21778790</v>
      </c>
      <c r="B2284" s="159" t="s">
        <v>1412</v>
      </c>
    </row>
    <row r="2285" spans="1:2" x14ac:dyDescent="0.2">
      <c r="A2285" s="159">
        <v>21778950</v>
      </c>
      <c r="B2285" s="159" t="s">
        <v>1412</v>
      </c>
    </row>
    <row r="2286" spans="1:2" x14ac:dyDescent="0.2">
      <c r="A2286" s="159">
        <v>21779235</v>
      </c>
      <c r="B2286" s="159" t="s">
        <v>1651</v>
      </c>
    </row>
    <row r="2287" spans="1:2" x14ac:dyDescent="0.2">
      <c r="A2287" s="159">
        <v>21779778</v>
      </c>
      <c r="B2287" s="159" t="s">
        <v>1412</v>
      </c>
    </row>
    <row r="2288" spans="1:2" x14ac:dyDescent="0.2">
      <c r="A2288" s="159">
        <v>21786315</v>
      </c>
      <c r="B2288" s="159" t="s">
        <v>2246</v>
      </c>
    </row>
    <row r="2289" spans="1:2" x14ac:dyDescent="0.2">
      <c r="A2289" s="159">
        <v>21788711</v>
      </c>
      <c r="B2289" s="159" t="s">
        <v>1337</v>
      </c>
    </row>
    <row r="2290" spans="1:2" x14ac:dyDescent="0.2">
      <c r="A2290" s="159">
        <v>21789494</v>
      </c>
      <c r="B2290" s="159" t="s">
        <v>2346</v>
      </c>
    </row>
    <row r="2291" spans="1:2" x14ac:dyDescent="0.2">
      <c r="A2291" s="159">
        <v>21858356</v>
      </c>
      <c r="B2291" s="159" t="s">
        <v>1001</v>
      </c>
    </row>
    <row r="2292" spans="1:2" x14ac:dyDescent="0.2">
      <c r="A2292" s="159">
        <v>21878790</v>
      </c>
      <c r="B2292" s="159" t="s">
        <v>1413</v>
      </c>
    </row>
    <row r="2293" spans="1:2" x14ac:dyDescent="0.2">
      <c r="A2293" s="159">
        <v>21878950</v>
      </c>
      <c r="B2293" s="159" t="s">
        <v>1413</v>
      </c>
    </row>
    <row r="2294" spans="1:2" x14ac:dyDescent="0.2">
      <c r="A2294" s="159">
        <v>21879235</v>
      </c>
      <c r="B2294" s="159" t="s">
        <v>1652</v>
      </c>
    </row>
    <row r="2295" spans="1:2" x14ac:dyDescent="0.2">
      <c r="A2295" s="159">
        <v>21879778</v>
      </c>
      <c r="B2295" s="159" t="s">
        <v>1413</v>
      </c>
    </row>
    <row r="2296" spans="1:2" x14ac:dyDescent="0.2">
      <c r="A2296" s="159">
        <v>21888711</v>
      </c>
      <c r="B2296" s="159" t="s">
        <v>2277</v>
      </c>
    </row>
    <row r="2297" spans="1:2" x14ac:dyDescent="0.2">
      <c r="A2297" s="159">
        <v>21889494</v>
      </c>
      <c r="B2297" s="159" t="s">
        <v>2347</v>
      </c>
    </row>
    <row r="2298" spans="1:2" x14ac:dyDescent="0.2">
      <c r="A2298" s="159">
        <v>21958356</v>
      </c>
      <c r="B2298" s="159" t="s">
        <v>1002</v>
      </c>
    </row>
    <row r="2299" spans="1:2" x14ac:dyDescent="0.2">
      <c r="A2299" s="159">
        <v>21978790</v>
      </c>
      <c r="B2299" s="159" t="s">
        <v>1414</v>
      </c>
    </row>
    <row r="2300" spans="1:2" x14ac:dyDescent="0.2">
      <c r="A2300" s="159">
        <v>21978950</v>
      </c>
      <c r="B2300" s="159" t="s">
        <v>1414</v>
      </c>
    </row>
    <row r="2301" spans="1:2" x14ac:dyDescent="0.2">
      <c r="A2301" s="159">
        <v>21979235</v>
      </c>
      <c r="B2301" s="159" t="s">
        <v>1653</v>
      </c>
    </row>
    <row r="2302" spans="1:2" x14ac:dyDescent="0.2">
      <c r="A2302" s="159">
        <v>21979778</v>
      </c>
      <c r="B2302" s="159" t="s">
        <v>1414</v>
      </c>
    </row>
    <row r="2303" spans="1:2" x14ac:dyDescent="0.2">
      <c r="A2303" s="159">
        <v>21988711</v>
      </c>
      <c r="B2303" s="159" t="s">
        <v>2278</v>
      </c>
    </row>
    <row r="2304" spans="1:2" x14ac:dyDescent="0.2">
      <c r="A2304" s="159">
        <v>21989494</v>
      </c>
      <c r="B2304" s="159" t="s">
        <v>2348</v>
      </c>
    </row>
    <row r="2305" spans="1:2" x14ac:dyDescent="0.2">
      <c r="A2305" s="159">
        <v>22078711</v>
      </c>
      <c r="B2305" s="159" t="s">
        <v>1338</v>
      </c>
    </row>
    <row r="2306" spans="1:2" x14ac:dyDescent="0.2">
      <c r="A2306" s="159">
        <v>22078790</v>
      </c>
      <c r="B2306" s="159" t="s">
        <v>1415</v>
      </c>
    </row>
    <row r="2307" spans="1:2" x14ac:dyDescent="0.2">
      <c r="A2307" s="159">
        <v>22078950</v>
      </c>
      <c r="B2307" s="159" t="s">
        <v>1415</v>
      </c>
    </row>
    <row r="2308" spans="1:2" x14ac:dyDescent="0.2">
      <c r="A2308" s="159">
        <v>22079778</v>
      </c>
      <c r="B2308" s="159" t="s">
        <v>1415</v>
      </c>
    </row>
    <row r="2309" spans="1:2" x14ac:dyDescent="0.2">
      <c r="A2309" s="159">
        <v>22086315</v>
      </c>
      <c r="B2309" s="159" t="s">
        <v>2247</v>
      </c>
    </row>
    <row r="2310" spans="1:2" x14ac:dyDescent="0.2">
      <c r="A2310" s="159">
        <v>22088711</v>
      </c>
      <c r="B2310" s="159" t="s">
        <v>1338</v>
      </c>
    </row>
    <row r="2311" spans="1:2" x14ac:dyDescent="0.2">
      <c r="A2311" s="159">
        <v>22089494</v>
      </c>
      <c r="B2311" s="159" t="s">
        <v>2349</v>
      </c>
    </row>
    <row r="2312" spans="1:2" x14ac:dyDescent="0.2">
      <c r="A2312" s="159">
        <v>22178711</v>
      </c>
      <c r="B2312" s="159" t="s">
        <v>1339</v>
      </c>
    </row>
    <row r="2313" spans="1:2" x14ac:dyDescent="0.2">
      <c r="A2313" s="159">
        <v>22178790</v>
      </c>
      <c r="B2313" s="159" t="s">
        <v>1416</v>
      </c>
    </row>
    <row r="2314" spans="1:2" x14ac:dyDescent="0.2">
      <c r="A2314" s="159">
        <v>22178950</v>
      </c>
      <c r="B2314" s="159" t="s">
        <v>1416</v>
      </c>
    </row>
    <row r="2315" spans="1:2" x14ac:dyDescent="0.2">
      <c r="A2315" s="159">
        <v>22179084</v>
      </c>
      <c r="B2315" s="159" t="s">
        <v>1506</v>
      </c>
    </row>
    <row r="2316" spans="1:2" x14ac:dyDescent="0.2">
      <c r="A2316" s="159">
        <v>22179235</v>
      </c>
      <c r="B2316" s="159" t="s">
        <v>1654</v>
      </c>
    </row>
    <row r="2317" spans="1:2" x14ac:dyDescent="0.2">
      <c r="A2317" s="159">
        <v>22179300</v>
      </c>
      <c r="B2317" s="159" t="s">
        <v>1730</v>
      </c>
    </row>
    <row r="2318" spans="1:2" x14ac:dyDescent="0.2">
      <c r="A2318" s="159">
        <v>22179778</v>
      </c>
      <c r="B2318" s="159" t="s">
        <v>1416</v>
      </c>
    </row>
    <row r="2319" spans="1:2" x14ac:dyDescent="0.2">
      <c r="A2319" s="159">
        <v>22188711</v>
      </c>
      <c r="B2319" s="159" t="s">
        <v>2279</v>
      </c>
    </row>
    <row r="2320" spans="1:2" x14ac:dyDescent="0.2">
      <c r="A2320" s="159">
        <v>22189494</v>
      </c>
      <c r="B2320" s="159" t="s">
        <v>2350</v>
      </c>
    </row>
    <row r="2321" spans="1:2" x14ac:dyDescent="0.2">
      <c r="A2321" s="159">
        <v>22278790</v>
      </c>
      <c r="B2321" s="159" t="s">
        <v>1417</v>
      </c>
    </row>
    <row r="2322" spans="1:2" x14ac:dyDescent="0.2">
      <c r="A2322" s="159">
        <v>22278950</v>
      </c>
      <c r="B2322" s="159" t="s">
        <v>1417</v>
      </c>
    </row>
    <row r="2323" spans="1:2" x14ac:dyDescent="0.2">
      <c r="A2323" s="159">
        <v>22279084</v>
      </c>
      <c r="B2323" s="159" t="s">
        <v>1507</v>
      </c>
    </row>
    <row r="2324" spans="1:2" x14ac:dyDescent="0.2">
      <c r="A2324" s="159">
        <v>22279300</v>
      </c>
      <c r="B2324" s="159" t="s">
        <v>1731</v>
      </c>
    </row>
    <row r="2325" spans="1:2" x14ac:dyDescent="0.2">
      <c r="A2325" s="159">
        <v>22279778</v>
      </c>
      <c r="B2325" s="159" t="s">
        <v>1417</v>
      </c>
    </row>
    <row r="2326" spans="1:2" x14ac:dyDescent="0.2">
      <c r="A2326" s="159">
        <v>22288711</v>
      </c>
      <c r="B2326" s="159" t="s">
        <v>2280</v>
      </c>
    </row>
    <row r="2327" spans="1:2" x14ac:dyDescent="0.2">
      <c r="A2327" s="159">
        <v>22358356</v>
      </c>
      <c r="B2327" s="159" t="s">
        <v>1003</v>
      </c>
    </row>
    <row r="2328" spans="1:2" x14ac:dyDescent="0.2">
      <c r="A2328" s="159">
        <v>22378790</v>
      </c>
      <c r="B2328" s="159" t="s">
        <v>1418</v>
      </c>
    </row>
    <row r="2329" spans="1:2" x14ac:dyDescent="0.2">
      <c r="A2329" s="159">
        <v>22378950</v>
      </c>
      <c r="B2329" s="159" t="s">
        <v>1418</v>
      </c>
    </row>
    <row r="2330" spans="1:2" x14ac:dyDescent="0.2">
      <c r="A2330" s="159">
        <v>22379235</v>
      </c>
      <c r="B2330" s="159" t="s">
        <v>1655</v>
      </c>
    </row>
    <row r="2331" spans="1:2" x14ac:dyDescent="0.2">
      <c r="A2331" s="159">
        <v>22379778</v>
      </c>
      <c r="B2331" s="159" t="s">
        <v>1418</v>
      </c>
    </row>
    <row r="2332" spans="1:2" x14ac:dyDescent="0.2">
      <c r="A2332" s="159">
        <v>22388711</v>
      </c>
      <c r="B2332" s="159" t="s">
        <v>2281</v>
      </c>
    </row>
    <row r="2333" spans="1:2" x14ac:dyDescent="0.2">
      <c r="A2333" s="159">
        <v>22389494</v>
      </c>
      <c r="B2333" s="159" t="s">
        <v>2351</v>
      </c>
    </row>
    <row r="2334" spans="1:2" x14ac:dyDescent="0.2">
      <c r="A2334" s="159">
        <v>22458356</v>
      </c>
      <c r="B2334" s="159" t="s">
        <v>1004</v>
      </c>
    </row>
    <row r="2335" spans="1:2" x14ac:dyDescent="0.2">
      <c r="A2335" s="159">
        <v>22478790</v>
      </c>
      <c r="B2335" s="159" t="s">
        <v>1419</v>
      </c>
    </row>
    <row r="2336" spans="1:2" x14ac:dyDescent="0.2">
      <c r="A2336" s="159">
        <v>22478950</v>
      </c>
      <c r="B2336" s="159" t="s">
        <v>1419</v>
      </c>
    </row>
    <row r="2337" spans="1:2" x14ac:dyDescent="0.2">
      <c r="A2337" s="159">
        <v>22479778</v>
      </c>
      <c r="B2337" s="159" t="s">
        <v>1419</v>
      </c>
    </row>
    <row r="2338" spans="1:2" x14ac:dyDescent="0.2">
      <c r="A2338" s="159">
        <v>22488711</v>
      </c>
      <c r="B2338" s="159" t="s">
        <v>2282</v>
      </c>
    </row>
    <row r="2339" spans="1:2" x14ac:dyDescent="0.2">
      <c r="A2339" s="159">
        <v>22489494</v>
      </c>
      <c r="B2339" s="159" t="s">
        <v>2352</v>
      </c>
    </row>
    <row r="2340" spans="1:2" x14ac:dyDescent="0.2">
      <c r="A2340" s="159">
        <v>22558356</v>
      </c>
      <c r="B2340" s="159" t="s">
        <v>1005</v>
      </c>
    </row>
    <row r="2341" spans="1:2" x14ac:dyDescent="0.2">
      <c r="A2341" s="159">
        <v>22578790</v>
      </c>
      <c r="B2341" s="159" t="s">
        <v>1420</v>
      </c>
    </row>
    <row r="2342" spans="1:2" x14ac:dyDescent="0.2">
      <c r="A2342" s="159">
        <v>22578950</v>
      </c>
      <c r="B2342" s="159" t="s">
        <v>1420</v>
      </c>
    </row>
    <row r="2343" spans="1:2" x14ac:dyDescent="0.2">
      <c r="A2343" s="159">
        <v>22579235</v>
      </c>
      <c r="B2343" s="159" t="s">
        <v>1656</v>
      </c>
    </row>
    <row r="2344" spans="1:2" x14ac:dyDescent="0.2">
      <c r="A2344" s="159">
        <v>22579778</v>
      </c>
      <c r="B2344" s="159" t="s">
        <v>1420</v>
      </c>
    </row>
    <row r="2345" spans="1:2" x14ac:dyDescent="0.2">
      <c r="A2345" s="159">
        <v>22588711</v>
      </c>
      <c r="B2345" s="159" t="s">
        <v>2283</v>
      </c>
    </row>
    <row r="2346" spans="1:2" x14ac:dyDescent="0.2">
      <c r="A2346" s="159">
        <v>22589494</v>
      </c>
      <c r="B2346" s="159" t="s">
        <v>2353</v>
      </c>
    </row>
    <row r="2347" spans="1:2" x14ac:dyDescent="0.2">
      <c r="A2347" s="159">
        <v>22678790</v>
      </c>
      <c r="B2347" s="159" t="s">
        <v>1421</v>
      </c>
    </row>
    <row r="2348" spans="1:2" x14ac:dyDescent="0.2">
      <c r="A2348" s="159">
        <v>22678950</v>
      </c>
      <c r="B2348" s="159" t="s">
        <v>1421</v>
      </c>
    </row>
    <row r="2349" spans="1:2" x14ac:dyDescent="0.2">
      <c r="A2349" s="159">
        <v>22679235</v>
      </c>
      <c r="B2349" s="159" t="s">
        <v>1657</v>
      </c>
    </row>
    <row r="2350" spans="1:2" x14ac:dyDescent="0.2">
      <c r="A2350" s="159">
        <v>22679778</v>
      </c>
      <c r="B2350" s="159" t="s">
        <v>1421</v>
      </c>
    </row>
    <row r="2351" spans="1:2" x14ac:dyDescent="0.2">
      <c r="A2351" s="159">
        <v>22688711</v>
      </c>
      <c r="B2351" s="159" t="s">
        <v>2284</v>
      </c>
    </row>
    <row r="2352" spans="1:2" x14ac:dyDescent="0.2">
      <c r="A2352" s="159">
        <v>22778790</v>
      </c>
      <c r="B2352" s="159" t="s">
        <v>1422</v>
      </c>
    </row>
    <row r="2353" spans="1:2" x14ac:dyDescent="0.2">
      <c r="A2353" s="159">
        <v>22778950</v>
      </c>
      <c r="B2353" s="159" t="s">
        <v>1422</v>
      </c>
    </row>
    <row r="2354" spans="1:2" x14ac:dyDescent="0.2">
      <c r="A2354" s="159">
        <v>22779778</v>
      </c>
      <c r="B2354" s="159" t="s">
        <v>1422</v>
      </c>
    </row>
    <row r="2355" spans="1:2" x14ac:dyDescent="0.2">
      <c r="A2355" s="159">
        <v>22786315</v>
      </c>
      <c r="B2355" s="159" t="s">
        <v>2248</v>
      </c>
    </row>
    <row r="2356" spans="1:2" x14ac:dyDescent="0.2">
      <c r="A2356" s="159">
        <v>22788711</v>
      </c>
      <c r="B2356" s="159" t="s">
        <v>2285</v>
      </c>
    </row>
    <row r="2357" spans="1:2" x14ac:dyDescent="0.2">
      <c r="A2357" s="159">
        <v>22789494</v>
      </c>
      <c r="B2357" s="159" t="s">
        <v>2354</v>
      </c>
    </row>
    <row r="2358" spans="1:2" x14ac:dyDescent="0.2">
      <c r="A2358" s="159">
        <v>22858356</v>
      </c>
      <c r="B2358" s="159" t="s">
        <v>1006</v>
      </c>
    </row>
    <row r="2359" spans="1:2" x14ac:dyDescent="0.2">
      <c r="A2359" s="159">
        <v>22878790</v>
      </c>
      <c r="B2359" s="159" t="s">
        <v>1423</v>
      </c>
    </row>
    <row r="2360" spans="1:2" x14ac:dyDescent="0.2">
      <c r="A2360" s="159">
        <v>22878950</v>
      </c>
      <c r="B2360" s="159" t="s">
        <v>1423</v>
      </c>
    </row>
    <row r="2361" spans="1:2" x14ac:dyDescent="0.2">
      <c r="A2361" s="159">
        <v>22879778</v>
      </c>
      <c r="B2361" s="159" t="s">
        <v>1423</v>
      </c>
    </row>
    <row r="2362" spans="1:2" x14ac:dyDescent="0.2">
      <c r="A2362" s="159">
        <v>22888711</v>
      </c>
      <c r="B2362" s="159" t="s">
        <v>2286</v>
      </c>
    </row>
    <row r="2363" spans="1:2" x14ac:dyDescent="0.2">
      <c r="A2363" s="159">
        <v>22889494</v>
      </c>
      <c r="B2363" s="159" t="s">
        <v>2355</v>
      </c>
    </row>
    <row r="2364" spans="1:2" x14ac:dyDescent="0.2">
      <c r="A2364" s="159">
        <v>22978790</v>
      </c>
      <c r="B2364" s="159" t="s">
        <v>1424</v>
      </c>
    </row>
    <row r="2365" spans="1:2" x14ac:dyDescent="0.2">
      <c r="A2365" s="159">
        <v>22978950</v>
      </c>
      <c r="B2365" s="159" t="s">
        <v>1424</v>
      </c>
    </row>
    <row r="2366" spans="1:2" x14ac:dyDescent="0.2">
      <c r="A2366" s="159">
        <v>22979778</v>
      </c>
      <c r="B2366" s="159" t="s">
        <v>1424</v>
      </c>
    </row>
    <row r="2367" spans="1:2" x14ac:dyDescent="0.2">
      <c r="A2367" s="159">
        <v>22988711</v>
      </c>
      <c r="B2367" s="159" t="s">
        <v>2287</v>
      </c>
    </row>
    <row r="2368" spans="1:2" x14ac:dyDescent="0.2">
      <c r="A2368" s="159">
        <v>22989494</v>
      </c>
      <c r="B2368" s="159" t="s">
        <v>2356</v>
      </c>
    </row>
    <row r="2369" spans="1:2" x14ac:dyDescent="0.2">
      <c r="A2369" s="159">
        <v>23058356</v>
      </c>
      <c r="B2369" s="159" t="s">
        <v>1007</v>
      </c>
    </row>
    <row r="2370" spans="1:2" x14ac:dyDescent="0.2">
      <c r="A2370" s="159">
        <v>23078790</v>
      </c>
      <c r="B2370" s="159" t="s">
        <v>1425</v>
      </c>
    </row>
    <row r="2371" spans="1:2" x14ac:dyDescent="0.2">
      <c r="A2371" s="159">
        <v>23078950</v>
      </c>
      <c r="B2371" s="159" t="s">
        <v>1425</v>
      </c>
    </row>
    <row r="2372" spans="1:2" x14ac:dyDescent="0.2">
      <c r="A2372" s="159">
        <v>23079235</v>
      </c>
      <c r="B2372" s="159" t="s">
        <v>1658</v>
      </c>
    </row>
    <row r="2373" spans="1:2" x14ac:dyDescent="0.2">
      <c r="A2373" s="159">
        <v>23079778</v>
      </c>
      <c r="B2373" s="159" t="s">
        <v>1425</v>
      </c>
    </row>
    <row r="2374" spans="1:2" x14ac:dyDescent="0.2">
      <c r="A2374" s="159">
        <v>23088711</v>
      </c>
      <c r="B2374" s="159" t="s">
        <v>2288</v>
      </c>
    </row>
    <row r="2375" spans="1:2" x14ac:dyDescent="0.2">
      <c r="A2375" s="159">
        <v>23089494</v>
      </c>
      <c r="B2375" s="159" t="s">
        <v>2357</v>
      </c>
    </row>
    <row r="2376" spans="1:2" x14ac:dyDescent="0.2">
      <c r="A2376" s="159">
        <v>23158356</v>
      </c>
      <c r="B2376" s="159" t="s">
        <v>1008</v>
      </c>
    </row>
    <row r="2377" spans="1:2" x14ac:dyDescent="0.2">
      <c r="A2377" s="159">
        <v>23178790</v>
      </c>
      <c r="B2377" s="159" t="s">
        <v>1426</v>
      </c>
    </row>
    <row r="2378" spans="1:2" x14ac:dyDescent="0.2">
      <c r="A2378" s="159">
        <v>23178950</v>
      </c>
      <c r="B2378" s="159" t="s">
        <v>1426</v>
      </c>
    </row>
    <row r="2379" spans="1:2" x14ac:dyDescent="0.2">
      <c r="A2379" s="159">
        <v>23179084</v>
      </c>
      <c r="B2379" s="159" t="s">
        <v>1508</v>
      </c>
    </row>
    <row r="2380" spans="1:2" x14ac:dyDescent="0.2">
      <c r="A2380" s="159">
        <v>23179300</v>
      </c>
      <c r="B2380" s="159" t="s">
        <v>1732</v>
      </c>
    </row>
    <row r="2381" spans="1:2" x14ac:dyDescent="0.2">
      <c r="A2381" s="159">
        <v>23179778</v>
      </c>
      <c r="B2381" s="159" t="s">
        <v>1426</v>
      </c>
    </row>
    <row r="2382" spans="1:2" x14ac:dyDescent="0.2">
      <c r="A2382" s="159">
        <v>23188711</v>
      </c>
      <c r="B2382" s="159" t="s">
        <v>2289</v>
      </c>
    </row>
    <row r="2383" spans="1:2" x14ac:dyDescent="0.2">
      <c r="A2383" s="159">
        <v>23189494</v>
      </c>
      <c r="B2383" s="159" t="s">
        <v>2358</v>
      </c>
    </row>
    <row r="2384" spans="1:2" x14ac:dyDescent="0.2">
      <c r="A2384" s="159">
        <v>23258356</v>
      </c>
      <c r="B2384" s="159" t="s">
        <v>1009</v>
      </c>
    </row>
    <row r="2385" spans="1:2" x14ac:dyDescent="0.2">
      <c r="A2385" s="159">
        <v>23288711</v>
      </c>
      <c r="B2385" s="159" t="s">
        <v>2290</v>
      </c>
    </row>
    <row r="2386" spans="1:2" x14ac:dyDescent="0.2">
      <c r="A2386" s="159">
        <v>23358356</v>
      </c>
      <c r="B2386" s="159" t="s">
        <v>1010</v>
      </c>
    </row>
    <row r="2387" spans="1:2" x14ac:dyDescent="0.2">
      <c r="A2387" s="159">
        <v>23378790</v>
      </c>
      <c r="B2387" s="159" t="s">
        <v>1427</v>
      </c>
    </row>
    <row r="2388" spans="1:2" x14ac:dyDescent="0.2">
      <c r="A2388" s="159">
        <v>23378950</v>
      </c>
      <c r="B2388" s="159" t="s">
        <v>1427</v>
      </c>
    </row>
    <row r="2389" spans="1:2" x14ac:dyDescent="0.2">
      <c r="A2389" s="159">
        <v>23379235</v>
      </c>
      <c r="B2389" s="159" t="s">
        <v>1659</v>
      </c>
    </row>
    <row r="2390" spans="1:2" x14ac:dyDescent="0.2">
      <c r="A2390" s="159">
        <v>23379778</v>
      </c>
      <c r="B2390" s="159" t="s">
        <v>1427</v>
      </c>
    </row>
    <row r="2391" spans="1:2" x14ac:dyDescent="0.2">
      <c r="A2391" s="159">
        <v>23388711</v>
      </c>
      <c r="B2391" s="159" t="s">
        <v>2291</v>
      </c>
    </row>
    <row r="2392" spans="1:2" x14ac:dyDescent="0.2">
      <c r="A2392" s="159">
        <v>23389494</v>
      </c>
      <c r="B2392" s="159" t="s">
        <v>2359</v>
      </c>
    </row>
    <row r="2393" spans="1:2" x14ac:dyDescent="0.2">
      <c r="A2393" s="159">
        <v>23458356</v>
      </c>
      <c r="B2393" s="159" t="s">
        <v>1011</v>
      </c>
    </row>
    <row r="2394" spans="1:2" x14ac:dyDescent="0.2">
      <c r="A2394" s="159">
        <v>23478790</v>
      </c>
      <c r="B2394" s="159" t="s">
        <v>1428</v>
      </c>
    </row>
    <row r="2395" spans="1:2" x14ac:dyDescent="0.2">
      <c r="A2395" s="159">
        <v>23478950</v>
      </c>
      <c r="B2395" s="159" t="s">
        <v>1428</v>
      </c>
    </row>
    <row r="2396" spans="1:2" x14ac:dyDescent="0.2">
      <c r="A2396" s="159">
        <v>23479771</v>
      </c>
      <c r="B2396" s="159" t="s">
        <v>1919</v>
      </c>
    </row>
    <row r="2397" spans="1:2" x14ac:dyDescent="0.2">
      <c r="A2397" s="159">
        <v>23479778</v>
      </c>
      <c r="B2397" s="159" t="s">
        <v>1428</v>
      </c>
    </row>
    <row r="2398" spans="1:2" x14ac:dyDescent="0.2">
      <c r="A2398" s="159">
        <v>23488711</v>
      </c>
      <c r="B2398" s="159" t="s">
        <v>2292</v>
      </c>
    </row>
    <row r="2399" spans="1:2" x14ac:dyDescent="0.2">
      <c r="A2399" s="159">
        <v>23489494</v>
      </c>
      <c r="B2399" s="159" t="s">
        <v>2360</v>
      </c>
    </row>
    <row r="2400" spans="1:2" x14ac:dyDescent="0.2">
      <c r="A2400" s="159">
        <v>23558356</v>
      </c>
      <c r="B2400" s="159" t="s">
        <v>1012</v>
      </c>
    </row>
    <row r="2401" spans="1:2" x14ac:dyDescent="0.2">
      <c r="A2401" s="159">
        <v>23579771</v>
      </c>
      <c r="B2401" s="159" t="s">
        <v>1920</v>
      </c>
    </row>
    <row r="2402" spans="1:2" x14ac:dyDescent="0.2">
      <c r="A2402" s="159">
        <v>23588711</v>
      </c>
      <c r="B2402" s="159" t="s">
        <v>2293</v>
      </c>
    </row>
    <row r="2403" spans="1:2" x14ac:dyDescent="0.2">
      <c r="A2403" s="159">
        <v>23589494</v>
      </c>
      <c r="B2403" s="159" t="s">
        <v>2361</v>
      </c>
    </row>
    <row r="2404" spans="1:2" x14ac:dyDescent="0.2">
      <c r="A2404" s="159">
        <v>23658356</v>
      </c>
      <c r="B2404" s="159" t="s">
        <v>1013</v>
      </c>
    </row>
    <row r="2405" spans="1:2" x14ac:dyDescent="0.2">
      <c r="A2405" s="159">
        <v>23679771</v>
      </c>
      <c r="B2405" s="159" t="s">
        <v>1921</v>
      </c>
    </row>
    <row r="2406" spans="1:2" x14ac:dyDescent="0.2">
      <c r="A2406" s="159">
        <v>23688711</v>
      </c>
      <c r="B2406" s="159" t="s">
        <v>2294</v>
      </c>
    </row>
    <row r="2407" spans="1:2" x14ac:dyDescent="0.2">
      <c r="A2407" s="159">
        <v>23689494</v>
      </c>
      <c r="B2407" s="159" t="s">
        <v>2362</v>
      </c>
    </row>
    <row r="2408" spans="1:2" x14ac:dyDescent="0.2">
      <c r="A2408" s="159">
        <v>23758356</v>
      </c>
      <c r="B2408" s="159" t="s">
        <v>1014</v>
      </c>
    </row>
    <row r="2409" spans="1:2" x14ac:dyDescent="0.2">
      <c r="A2409" s="159">
        <v>23789494</v>
      </c>
      <c r="B2409" s="159" t="s">
        <v>2363</v>
      </c>
    </row>
    <row r="2410" spans="1:2" x14ac:dyDescent="0.2">
      <c r="A2410" s="159">
        <v>23858356</v>
      </c>
      <c r="B2410" s="159" t="s">
        <v>1015</v>
      </c>
    </row>
    <row r="2411" spans="1:2" x14ac:dyDescent="0.2">
      <c r="A2411" s="159">
        <v>23879771</v>
      </c>
      <c r="B2411" s="159" t="s">
        <v>1922</v>
      </c>
    </row>
    <row r="2412" spans="1:2" x14ac:dyDescent="0.2">
      <c r="A2412" s="159">
        <v>23889494</v>
      </c>
      <c r="B2412" s="159" t="s">
        <v>2364</v>
      </c>
    </row>
    <row r="2413" spans="1:2" x14ac:dyDescent="0.2">
      <c r="A2413" s="159">
        <v>23979771</v>
      </c>
      <c r="B2413" s="159" t="s">
        <v>1923</v>
      </c>
    </row>
    <row r="2414" spans="1:2" x14ac:dyDescent="0.2">
      <c r="A2414" s="159">
        <v>23986315</v>
      </c>
      <c r="B2414" s="159" t="s">
        <v>2249</v>
      </c>
    </row>
    <row r="2415" spans="1:2" x14ac:dyDescent="0.2">
      <c r="A2415" s="159">
        <v>23988711</v>
      </c>
      <c r="B2415" s="159" t="s">
        <v>2295</v>
      </c>
    </row>
    <row r="2416" spans="1:2" x14ac:dyDescent="0.2">
      <c r="A2416" s="159">
        <v>23989494</v>
      </c>
      <c r="B2416" s="159" t="s">
        <v>2365</v>
      </c>
    </row>
    <row r="2417" spans="1:2" x14ac:dyDescent="0.2">
      <c r="A2417" s="159">
        <v>24058356</v>
      </c>
      <c r="B2417" s="159" t="s">
        <v>1016</v>
      </c>
    </row>
    <row r="2418" spans="1:2" x14ac:dyDescent="0.2">
      <c r="A2418" s="159">
        <v>24079771</v>
      </c>
      <c r="B2418" s="159" t="s">
        <v>1924</v>
      </c>
    </row>
    <row r="2419" spans="1:2" x14ac:dyDescent="0.2">
      <c r="A2419" s="159">
        <v>24089494</v>
      </c>
      <c r="B2419" s="159" t="s">
        <v>2366</v>
      </c>
    </row>
    <row r="2420" spans="1:2" x14ac:dyDescent="0.2">
      <c r="A2420" s="159">
        <v>24179084</v>
      </c>
      <c r="B2420" s="159" t="s">
        <v>1509</v>
      </c>
    </row>
    <row r="2421" spans="1:2" x14ac:dyDescent="0.2">
      <c r="A2421" s="159">
        <v>24179300</v>
      </c>
      <c r="B2421" s="159" t="s">
        <v>1733</v>
      </c>
    </row>
    <row r="2422" spans="1:2" x14ac:dyDescent="0.2">
      <c r="A2422" s="159">
        <v>24179771</v>
      </c>
      <c r="B2422" s="159" t="s">
        <v>1925</v>
      </c>
    </row>
    <row r="2423" spans="1:2" x14ac:dyDescent="0.2">
      <c r="A2423" s="159">
        <v>24189494</v>
      </c>
      <c r="B2423" s="159" t="s">
        <v>2367</v>
      </c>
    </row>
    <row r="2424" spans="1:2" x14ac:dyDescent="0.2">
      <c r="A2424" s="159">
        <v>24279771</v>
      </c>
      <c r="B2424" s="159" t="s">
        <v>1926</v>
      </c>
    </row>
    <row r="2425" spans="1:2" x14ac:dyDescent="0.2">
      <c r="A2425" s="159">
        <v>24286315</v>
      </c>
      <c r="B2425" s="159" t="s">
        <v>2250</v>
      </c>
    </row>
    <row r="2426" spans="1:2" x14ac:dyDescent="0.2">
      <c r="A2426" s="159">
        <v>24388711</v>
      </c>
      <c r="B2426" s="159" t="s">
        <v>2296</v>
      </c>
    </row>
    <row r="2427" spans="1:2" x14ac:dyDescent="0.2">
      <c r="A2427" s="159">
        <v>24389494</v>
      </c>
      <c r="B2427" s="159" t="s">
        <v>2368</v>
      </c>
    </row>
    <row r="2428" spans="1:2" x14ac:dyDescent="0.2">
      <c r="A2428" s="159">
        <v>24479771</v>
      </c>
      <c r="B2428" s="159" t="s">
        <v>1927</v>
      </c>
    </row>
    <row r="2429" spans="1:2" x14ac:dyDescent="0.2">
      <c r="A2429" s="159">
        <v>24488711</v>
      </c>
      <c r="B2429" s="159" t="s">
        <v>2297</v>
      </c>
    </row>
    <row r="2430" spans="1:2" x14ac:dyDescent="0.2">
      <c r="A2430" s="159">
        <v>24578021</v>
      </c>
      <c r="B2430" s="159" t="s">
        <v>1222</v>
      </c>
    </row>
    <row r="2431" spans="1:2" x14ac:dyDescent="0.2">
      <c r="A2431" s="159">
        <v>24578790</v>
      </c>
      <c r="B2431" s="159" t="s">
        <v>2328</v>
      </c>
    </row>
    <row r="2432" spans="1:2" x14ac:dyDescent="0.2">
      <c r="A2432" s="159">
        <v>24579235</v>
      </c>
      <c r="B2432" s="159" t="s">
        <v>1660</v>
      </c>
    </row>
    <row r="2433" spans="1:2" x14ac:dyDescent="0.2">
      <c r="A2433" s="159">
        <v>24588711</v>
      </c>
      <c r="B2433" s="159" t="s">
        <v>2298</v>
      </c>
    </row>
    <row r="2434" spans="1:2" x14ac:dyDescent="0.2">
      <c r="A2434" s="159">
        <v>24679771</v>
      </c>
      <c r="B2434" s="159" t="s">
        <v>1928</v>
      </c>
    </row>
    <row r="2435" spans="1:2" x14ac:dyDescent="0.2">
      <c r="A2435" s="159">
        <v>24688711</v>
      </c>
      <c r="B2435" s="159" t="s">
        <v>2299</v>
      </c>
    </row>
    <row r="2436" spans="1:2" x14ac:dyDescent="0.2">
      <c r="A2436" s="159">
        <v>24788711</v>
      </c>
      <c r="B2436" s="159" t="s">
        <v>2300</v>
      </c>
    </row>
    <row r="2437" spans="1:2" x14ac:dyDescent="0.2">
      <c r="A2437" s="159">
        <v>24888711</v>
      </c>
      <c r="B2437" s="159" t="s">
        <v>2301</v>
      </c>
    </row>
    <row r="2438" spans="1:2" x14ac:dyDescent="0.2">
      <c r="A2438" s="159">
        <v>24979771</v>
      </c>
      <c r="B2438" s="159" t="s">
        <v>1929</v>
      </c>
    </row>
    <row r="2439" spans="1:2" x14ac:dyDescent="0.2">
      <c r="A2439" s="159">
        <v>24988711</v>
      </c>
      <c r="B2439" s="159" t="s">
        <v>2302</v>
      </c>
    </row>
    <row r="2440" spans="1:2" x14ac:dyDescent="0.2">
      <c r="A2440" s="159">
        <v>25058356</v>
      </c>
      <c r="B2440" s="159" t="s">
        <v>1017</v>
      </c>
    </row>
    <row r="2441" spans="1:2" x14ac:dyDescent="0.2">
      <c r="A2441" s="159">
        <v>25079235</v>
      </c>
      <c r="B2441" s="159" t="s">
        <v>1661</v>
      </c>
    </row>
    <row r="2442" spans="1:2" x14ac:dyDescent="0.2">
      <c r="A2442" s="159">
        <v>25278021</v>
      </c>
      <c r="B2442" s="159" t="s">
        <v>1223</v>
      </c>
    </row>
    <row r="2443" spans="1:2" x14ac:dyDescent="0.2">
      <c r="A2443" s="159">
        <v>25288711</v>
      </c>
      <c r="B2443" s="159" t="s">
        <v>2303</v>
      </c>
    </row>
    <row r="2444" spans="1:2" x14ac:dyDescent="0.2">
      <c r="A2444" s="159">
        <v>25988711</v>
      </c>
      <c r="B2444" s="159" t="s">
        <v>2304</v>
      </c>
    </row>
    <row r="2445" spans="1:2" x14ac:dyDescent="0.2">
      <c r="A2445" s="159">
        <v>26089494</v>
      </c>
      <c r="B2445" s="159" t="s">
        <v>2369</v>
      </c>
    </row>
    <row r="2446" spans="1:2" x14ac:dyDescent="0.2">
      <c r="A2446" s="159">
        <v>26189494</v>
      </c>
      <c r="B2446" s="159" t="s">
        <v>2370</v>
      </c>
    </row>
    <row r="2447" spans="1:2" x14ac:dyDescent="0.2">
      <c r="A2447" s="159">
        <v>26289494</v>
      </c>
      <c r="B2447" s="159" t="s">
        <v>2371</v>
      </c>
    </row>
    <row r="2448" spans="1:2" x14ac:dyDescent="0.2">
      <c r="A2448" s="159">
        <v>26389494</v>
      </c>
      <c r="B2448" s="159" t="s">
        <v>2372</v>
      </c>
    </row>
    <row r="2449" spans="1:2" x14ac:dyDescent="0.2">
      <c r="A2449" s="159">
        <v>26588711</v>
      </c>
      <c r="B2449" s="159" t="s">
        <v>2305</v>
      </c>
    </row>
    <row r="2450" spans="1:2" x14ac:dyDescent="0.2">
      <c r="A2450" s="159">
        <v>26589494</v>
      </c>
      <c r="B2450" s="159" t="s">
        <v>2373</v>
      </c>
    </row>
    <row r="2451" spans="1:2" x14ac:dyDescent="0.2">
      <c r="A2451" s="159">
        <v>26688711</v>
      </c>
      <c r="B2451" s="159" t="s">
        <v>2306</v>
      </c>
    </row>
    <row r="2452" spans="1:2" x14ac:dyDescent="0.2">
      <c r="A2452" s="159">
        <v>26689494</v>
      </c>
      <c r="B2452" s="159" t="s">
        <v>2374</v>
      </c>
    </row>
    <row r="2453" spans="1:2" x14ac:dyDescent="0.2">
      <c r="A2453" s="159">
        <v>26789494</v>
      </c>
      <c r="B2453" s="159" t="s">
        <v>2375</v>
      </c>
    </row>
    <row r="2454" spans="1:2" x14ac:dyDescent="0.2">
      <c r="A2454" s="159">
        <v>26879235</v>
      </c>
      <c r="B2454" s="159" t="s">
        <v>1662</v>
      </c>
    </row>
    <row r="2455" spans="1:2" x14ac:dyDescent="0.2">
      <c r="A2455" s="159">
        <v>26889494</v>
      </c>
      <c r="B2455" s="159" t="s">
        <v>2376</v>
      </c>
    </row>
    <row r="2456" spans="1:2" x14ac:dyDescent="0.2">
      <c r="A2456" s="159">
        <v>26979235</v>
      </c>
      <c r="B2456" s="159" t="s">
        <v>1663</v>
      </c>
    </row>
    <row r="2457" spans="1:2" x14ac:dyDescent="0.2">
      <c r="A2457" s="159">
        <v>26989494</v>
      </c>
      <c r="B2457" s="159" t="s">
        <v>2377</v>
      </c>
    </row>
    <row r="2458" spans="1:2" x14ac:dyDescent="0.2">
      <c r="A2458" s="159">
        <v>27089494</v>
      </c>
      <c r="B2458" s="159" t="s">
        <v>2378</v>
      </c>
    </row>
    <row r="2459" spans="1:2" x14ac:dyDescent="0.2">
      <c r="A2459" s="159">
        <v>27179235</v>
      </c>
      <c r="B2459" s="159" t="s">
        <v>1664</v>
      </c>
    </row>
    <row r="2460" spans="1:2" x14ac:dyDescent="0.2">
      <c r="A2460" s="159">
        <v>27688711</v>
      </c>
      <c r="B2460" s="159" t="s">
        <v>2307</v>
      </c>
    </row>
    <row r="2461" spans="1:2" x14ac:dyDescent="0.2">
      <c r="A2461" s="159">
        <v>27788711</v>
      </c>
      <c r="B2461" s="159" t="s">
        <v>2308</v>
      </c>
    </row>
    <row r="2462" spans="1:2" x14ac:dyDescent="0.2">
      <c r="A2462" s="159">
        <v>28288711</v>
      </c>
      <c r="B2462" s="159" t="s">
        <v>2309</v>
      </c>
    </row>
    <row r="2463" spans="1:2" x14ac:dyDescent="0.2">
      <c r="A2463" s="159">
        <v>28888711</v>
      </c>
      <c r="B2463" s="159" t="s">
        <v>2295</v>
      </c>
    </row>
    <row r="2464" spans="1:2" x14ac:dyDescent="0.2">
      <c r="A2464" s="159">
        <v>29188711</v>
      </c>
      <c r="B2464" s="159" t="s">
        <v>2310</v>
      </c>
    </row>
    <row r="2465" spans="1:2" x14ac:dyDescent="0.2">
      <c r="A2465" s="159">
        <v>29879170</v>
      </c>
      <c r="B2465" s="159" t="s">
        <v>1630</v>
      </c>
    </row>
    <row r="2466" spans="1:2" x14ac:dyDescent="0.2">
      <c r="A2466" s="159">
        <v>29958356</v>
      </c>
      <c r="B2466" s="159" t="s">
        <v>1018</v>
      </c>
    </row>
    <row r="2467" spans="1:2" x14ac:dyDescent="0.2">
      <c r="A2467" s="159">
        <v>29979235</v>
      </c>
      <c r="B2467" s="159" t="s">
        <v>1665</v>
      </c>
    </row>
    <row r="2468" spans="1:2" x14ac:dyDescent="0.2">
      <c r="A2468" s="159">
        <v>29979753</v>
      </c>
      <c r="B2468" s="159" t="s">
        <v>1909</v>
      </c>
    </row>
    <row r="2469" spans="1:2" x14ac:dyDescent="0.2">
      <c r="A2469" s="159">
        <v>30078711</v>
      </c>
      <c r="B2469" s="159" t="s">
        <v>1340</v>
      </c>
    </row>
    <row r="2470" spans="1:2" x14ac:dyDescent="0.2">
      <c r="A2470" s="159">
        <v>30079668</v>
      </c>
      <c r="B2470" s="159" t="s">
        <v>1885</v>
      </c>
    </row>
    <row r="2471" spans="1:2" x14ac:dyDescent="0.2">
      <c r="A2471" s="159">
        <v>30079940</v>
      </c>
      <c r="B2471" s="159" t="s">
        <v>2164</v>
      </c>
    </row>
    <row r="2472" spans="1:2" x14ac:dyDescent="0.2">
      <c r="A2472" s="159">
        <v>30086315</v>
      </c>
      <c r="B2472" s="159" t="s">
        <v>2251</v>
      </c>
    </row>
    <row r="2473" spans="1:2" x14ac:dyDescent="0.2">
      <c r="A2473" s="159">
        <v>30088711</v>
      </c>
      <c r="B2473" s="159" t="s">
        <v>1340</v>
      </c>
    </row>
    <row r="2474" spans="1:2" x14ac:dyDescent="0.2">
      <c r="A2474" s="159">
        <v>30089683</v>
      </c>
      <c r="B2474" s="159" t="s">
        <v>2381</v>
      </c>
    </row>
    <row r="2475" spans="1:2" x14ac:dyDescent="0.2">
      <c r="A2475" s="159">
        <v>30178711</v>
      </c>
      <c r="B2475" s="159" t="s">
        <v>1341</v>
      </c>
    </row>
    <row r="2476" spans="1:2" x14ac:dyDescent="0.2">
      <c r="A2476" s="159">
        <v>30178790</v>
      </c>
      <c r="B2476" s="159" t="s">
        <v>1429</v>
      </c>
    </row>
    <row r="2477" spans="1:2" x14ac:dyDescent="0.2">
      <c r="A2477" s="159">
        <v>30178950</v>
      </c>
      <c r="B2477" s="159" t="s">
        <v>1429</v>
      </c>
    </row>
    <row r="2478" spans="1:2" x14ac:dyDescent="0.2">
      <c r="A2478" s="159">
        <v>30179668</v>
      </c>
      <c r="B2478" s="159" t="s">
        <v>1886</v>
      </c>
    </row>
    <row r="2479" spans="1:2" x14ac:dyDescent="0.2">
      <c r="A2479" s="159">
        <v>30179778</v>
      </c>
      <c r="B2479" s="159" t="s">
        <v>1429</v>
      </c>
    </row>
    <row r="2480" spans="1:2" x14ac:dyDescent="0.2">
      <c r="A2480" s="159">
        <v>30179868</v>
      </c>
      <c r="B2480" s="159" t="s">
        <v>1993</v>
      </c>
    </row>
    <row r="2481" spans="1:2" x14ac:dyDescent="0.2">
      <c r="A2481" s="159">
        <v>30179940</v>
      </c>
      <c r="B2481" s="159" t="s">
        <v>2165</v>
      </c>
    </row>
    <row r="2482" spans="1:2" x14ac:dyDescent="0.2">
      <c r="A2482" s="159">
        <v>30188711</v>
      </c>
      <c r="B2482" s="159" t="s">
        <v>1341</v>
      </c>
    </row>
    <row r="2483" spans="1:2" x14ac:dyDescent="0.2">
      <c r="A2483" s="159">
        <v>30189683</v>
      </c>
      <c r="B2483" s="159" t="s">
        <v>2382</v>
      </c>
    </row>
    <row r="2484" spans="1:2" x14ac:dyDescent="0.2">
      <c r="A2484" s="159">
        <v>30279868</v>
      </c>
      <c r="B2484" s="159" t="s">
        <v>1994</v>
      </c>
    </row>
    <row r="2485" spans="1:2" x14ac:dyDescent="0.2">
      <c r="A2485" s="159">
        <v>30378711</v>
      </c>
      <c r="B2485" s="159" t="s">
        <v>1342</v>
      </c>
    </row>
    <row r="2486" spans="1:2" x14ac:dyDescent="0.2">
      <c r="A2486" s="159">
        <v>30379868</v>
      </c>
      <c r="B2486" s="159" t="s">
        <v>1995</v>
      </c>
    </row>
    <row r="2487" spans="1:2" x14ac:dyDescent="0.2">
      <c r="A2487" s="159">
        <v>30388711</v>
      </c>
      <c r="B2487" s="159" t="s">
        <v>2311</v>
      </c>
    </row>
    <row r="2488" spans="1:2" x14ac:dyDescent="0.2">
      <c r="A2488" s="159">
        <v>30478711</v>
      </c>
      <c r="B2488" s="159" t="s">
        <v>1343</v>
      </c>
    </row>
    <row r="2489" spans="1:2" x14ac:dyDescent="0.2">
      <c r="A2489" s="159">
        <v>30479868</v>
      </c>
      <c r="B2489" s="159" t="s">
        <v>1996</v>
      </c>
    </row>
    <row r="2490" spans="1:2" x14ac:dyDescent="0.2">
      <c r="A2490" s="159">
        <v>30488711</v>
      </c>
      <c r="B2490" s="159" t="s">
        <v>1343</v>
      </c>
    </row>
    <row r="2491" spans="1:2" x14ac:dyDescent="0.2">
      <c r="A2491" s="159">
        <v>30578711</v>
      </c>
      <c r="B2491" s="159" t="s">
        <v>1344</v>
      </c>
    </row>
    <row r="2492" spans="1:2" x14ac:dyDescent="0.2">
      <c r="A2492" s="159">
        <v>30578790</v>
      </c>
      <c r="B2492" s="159" t="s">
        <v>1430</v>
      </c>
    </row>
    <row r="2493" spans="1:2" x14ac:dyDescent="0.2">
      <c r="A2493" s="159">
        <v>30578950</v>
      </c>
      <c r="B2493" s="159" t="s">
        <v>1430</v>
      </c>
    </row>
    <row r="2494" spans="1:2" x14ac:dyDescent="0.2">
      <c r="A2494" s="159">
        <v>30579778</v>
      </c>
      <c r="B2494" s="159" t="s">
        <v>1430</v>
      </c>
    </row>
    <row r="2495" spans="1:2" x14ac:dyDescent="0.2">
      <c r="A2495" s="159">
        <v>30579868</v>
      </c>
      <c r="B2495" s="159" t="s">
        <v>1997</v>
      </c>
    </row>
    <row r="2496" spans="1:2" x14ac:dyDescent="0.2">
      <c r="A2496" s="159">
        <v>30588711</v>
      </c>
      <c r="B2496" s="159" t="s">
        <v>1344</v>
      </c>
    </row>
    <row r="2497" spans="1:2" x14ac:dyDescent="0.2">
      <c r="A2497" s="159">
        <v>30679868</v>
      </c>
      <c r="B2497" s="159" t="s">
        <v>1998</v>
      </c>
    </row>
    <row r="2498" spans="1:2" x14ac:dyDescent="0.2">
      <c r="A2498" s="159">
        <v>30778790</v>
      </c>
      <c r="B2498" s="159" t="s">
        <v>1431</v>
      </c>
    </row>
    <row r="2499" spans="1:2" x14ac:dyDescent="0.2">
      <c r="A2499" s="159">
        <v>30778950</v>
      </c>
      <c r="B2499" s="159" t="s">
        <v>1431</v>
      </c>
    </row>
    <row r="2500" spans="1:2" x14ac:dyDescent="0.2">
      <c r="A2500" s="159">
        <v>30779778</v>
      </c>
      <c r="B2500" s="159" t="s">
        <v>1431</v>
      </c>
    </row>
    <row r="2501" spans="1:2" x14ac:dyDescent="0.2">
      <c r="A2501" s="159">
        <v>30779868</v>
      </c>
      <c r="B2501" s="159" t="s">
        <v>1999</v>
      </c>
    </row>
    <row r="2502" spans="1:2" x14ac:dyDescent="0.2">
      <c r="A2502" s="159">
        <v>30878790</v>
      </c>
      <c r="B2502" s="159" t="s">
        <v>1432</v>
      </c>
    </row>
    <row r="2503" spans="1:2" x14ac:dyDescent="0.2">
      <c r="A2503" s="159">
        <v>30878950</v>
      </c>
      <c r="B2503" s="159" t="s">
        <v>1432</v>
      </c>
    </row>
    <row r="2504" spans="1:2" x14ac:dyDescent="0.2">
      <c r="A2504" s="159">
        <v>30879778</v>
      </c>
      <c r="B2504" s="159" t="s">
        <v>1432</v>
      </c>
    </row>
    <row r="2505" spans="1:2" x14ac:dyDescent="0.2">
      <c r="A2505" s="159">
        <v>30879868</v>
      </c>
      <c r="B2505" s="159" t="s">
        <v>2000</v>
      </c>
    </row>
    <row r="2506" spans="1:2" x14ac:dyDescent="0.2">
      <c r="A2506" s="159">
        <v>30978711</v>
      </c>
      <c r="B2506" s="159" t="s">
        <v>1345</v>
      </c>
    </row>
    <row r="2507" spans="1:2" x14ac:dyDescent="0.2">
      <c r="A2507" s="159">
        <v>30978790</v>
      </c>
      <c r="B2507" s="159" t="s">
        <v>1433</v>
      </c>
    </row>
    <row r="2508" spans="1:2" x14ac:dyDescent="0.2">
      <c r="A2508" s="159">
        <v>30978950</v>
      </c>
      <c r="B2508" s="159" t="s">
        <v>1433</v>
      </c>
    </row>
    <row r="2509" spans="1:2" x14ac:dyDescent="0.2">
      <c r="A2509" s="159">
        <v>30979778</v>
      </c>
      <c r="B2509" s="159" t="s">
        <v>1433</v>
      </c>
    </row>
    <row r="2510" spans="1:2" x14ac:dyDescent="0.2">
      <c r="A2510" s="159">
        <v>30979868</v>
      </c>
      <c r="B2510" s="159" t="s">
        <v>2001</v>
      </c>
    </row>
    <row r="2511" spans="1:2" x14ac:dyDescent="0.2">
      <c r="A2511" s="159">
        <v>30988711</v>
      </c>
      <c r="B2511" s="159" t="s">
        <v>1345</v>
      </c>
    </row>
    <row r="2512" spans="1:2" x14ac:dyDescent="0.2">
      <c r="A2512" s="159">
        <v>31078711</v>
      </c>
      <c r="B2512" s="159" t="s">
        <v>1346</v>
      </c>
    </row>
    <row r="2513" spans="1:2" x14ac:dyDescent="0.2">
      <c r="A2513" s="159">
        <v>31079868</v>
      </c>
      <c r="B2513" s="159" t="s">
        <v>2002</v>
      </c>
    </row>
    <row r="2514" spans="1:2" x14ac:dyDescent="0.2">
      <c r="A2514" s="159">
        <v>31088711</v>
      </c>
      <c r="B2514" s="159" t="s">
        <v>1346</v>
      </c>
    </row>
    <row r="2515" spans="1:2" x14ac:dyDescent="0.2">
      <c r="A2515" s="159">
        <v>31178790</v>
      </c>
      <c r="B2515" s="159" t="s">
        <v>1434</v>
      </c>
    </row>
    <row r="2516" spans="1:2" x14ac:dyDescent="0.2">
      <c r="A2516" s="159">
        <v>31178950</v>
      </c>
      <c r="B2516" s="159" t="s">
        <v>1434</v>
      </c>
    </row>
    <row r="2517" spans="1:2" x14ac:dyDescent="0.2">
      <c r="A2517" s="159">
        <v>31179778</v>
      </c>
      <c r="B2517" s="159" t="s">
        <v>1434</v>
      </c>
    </row>
    <row r="2518" spans="1:2" x14ac:dyDescent="0.2">
      <c r="A2518" s="159">
        <v>31179868</v>
      </c>
      <c r="B2518" s="159" t="s">
        <v>2003</v>
      </c>
    </row>
    <row r="2519" spans="1:2" x14ac:dyDescent="0.2">
      <c r="A2519" s="159">
        <v>31188711</v>
      </c>
      <c r="B2519" s="159" t="s">
        <v>2312</v>
      </c>
    </row>
    <row r="2520" spans="1:2" x14ac:dyDescent="0.2">
      <c r="A2520" s="159">
        <v>31278711</v>
      </c>
      <c r="B2520" s="159" t="s">
        <v>1347</v>
      </c>
    </row>
    <row r="2521" spans="1:2" x14ac:dyDescent="0.2">
      <c r="A2521" s="159">
        <v>31278790</v>
      </c>
      <c r="B2521" s="159" t="s">
        <v>1435</v>
      </c>
    </row>
    <row r="2522" spans="1:2" x14ac:dyDescent="0.2">
      <c r="A2522" s="159">
        <v>31278950</v>
      </c>
      <c r="B2522" s="159" t="s">
        <v>1435</v>
      </c>
    </row>
    <row r="2523" spans="1:2" x14ac:dyDescent="0.2">
      <c r="A2523" s="159">
        <v>31279778</v>
      </c>
      <c r="B2523" s="159" t="s">
        <v>1435</v>
      </c>
    </row>
    <row r="2524" spans="1:2" x14ac:dyDescent="0.2">
      <c r="A2524" s="159">
        <v>31279868</v>
      </c>
      <c r="B2524" s="159" t="s">
        <v>2004</v>
      </c>
    </row>
    <row r="2525" spans="1:2" x14ac:dyDescent="0.2">
      <c r="A2525" s="159">
        <v>31288711</v>
      </c>
      <c r="B2525" s="159" t="s">
        <v>1347</v>
      </c>
    </row>
    <row r="2526" spans="1:2" x14ac:dyDescent="0.2">
      <c r="A2526" s="159">
        <v>31378711</v>
      </c>
      <c r="B2526" s="159" t="s">
        <v>1348</v>
      </c>
    </row>
    <row r="2527" spans="1:2" x14ac:dyDescent="0.2">
      <c r="A2527" s="159">
        <v>31378790</v>
      </c>
      <c r="B2527" s="159" t="s">
        <v>1436</v>
      </c>
    </row>
    <row r="2528" spans="1:2" x14ac:dyDescent="0.2">
      <c r="A2528" s="159">
        <v>31378950</v>
      </c>
      <c r="B2528" s="159" t="s">
        <v>1436</v>
      </c>
    </row>
    <row r="2529" spans="1:2" x14ac:dyDescent="0.2">
      <c r="A2529" s="159">
        <v>31379778</v>
      </c>
      <c r="B2529" s="159" t="s">
        <v>1436</v>
      </c>
    </row>
    <row r="2530" spans="1:2" x14ac:dyDescent="0.2">
      <c r="A2530" s="159">
        <v>31379868</v>
      </c>
      <c r="B2530" s="159" t="s">
        <v>2005</v>
      </c>
    </row>
    <row r="2531" spans="1:2" x14ac:dyDescent="0.2">
      <c r="A2531" s="159">
        <v>31388711</v>
      </c>
      <c r="B2531" s="159" t="s">
        <v>1348</v>
      </c>
    </row>
    <row r="2532" spans="1:2" x14ac:dyDescent="0.2">
      <c r="A2532" s="159">
        <v>31478711</v>
      </c>
      <c r="B2532" s="159" t="s">
        <v>1349</v>
      </c>
    </row>
    <row r="2533" spans="1:2" x14ac:dyDescent="0.2">
      <c r="A2533" s="159">
        <v>31478790</v>
      </c>
      <c r="B2533" s="159" t="s">
        <v>1437</v>
      </c>
    </row>
    <row r="2534" spans="1:2" x14ac:dyDescent="0.2">
      <c r="A2534" s="159">
        <v>31478950</v>
      </c>
      <c r="B2534" s="159" t="s">
        <v>1437</v>
      </c>
    </row>
    <row r="2535" spans="1:2" x14ac:dyDescent="0.2">
      <c r="A2535" s="159">
        <v>31479778</v>
      </c>
      <c r="B2535" s="159" t="s">
        <v>1437</v>
      </c>
    </row>
    <row r="2536" spans="1:2" x14ac:dyDescent="0.2">
      <c r="A2536" s="159">
        <v>31479868</v>
      </c>
      <c r="B2536" s="159" t="s">
        <v>2006</v>
      </c>
    </row>
    <row r="2537" spans="1:2" x14ac:dyDescent="0.2">
      <c r="A2537" s="159">
        <v>31488711</v>
      </c>
      <c r="B2537" s="159" t="s">
        <v>1349</v>
      </c>
    </row>
    <row r="2538" spans="1:2" x14ac:dyDescent="0.2">
      <c r="A2538" s="159">
        <v>31578711</v>
      </c>
      <c r="B2538" s="159" t="s">
        <v>1350</v>
      </c>
    </row>
    <row r="2539" spans="1:2" x14ac:dyDescent="0.2">
      <c r="A2539" s="159">
        <v>31578790</v>
      </c>
      <c r="B2539" s="159" t="s">
        <v>1438</v>
      </c>
    </row>
    <row r="2540" spans="1:2" x14ac:dyDescent="0.2">
      <c r="A2540" s="159">
        <v>31578950</v>
      </c>
      <c r="B2540" s="159" t="s">
        <v>1438</v>
      </c>
    </row>
    <row r="2541" spans="1:2" x14ac:dyDescent="0.2">
      <c r="A2541" s="159">
        <v>31579778</v>
      </c>
      <c r="B2541" s="159" t="s">
        <v>1438</v>
      </c>
    </row>
    <row r="2542" spans="1:2" x14ac:dyDescent="0.2">
      <c r="A2542" s="159">
        <v>31579868</v>
      </c>
      <c r="B2542" s="159" t="s">
        <v>2007</v>
      </c>
    </row>
    <row r="2543" spans="1:2" x14ac:dyDescent="0.2">
      <c r="A2543" s="159">
        <v>31588711</v>
      </c>
      <c r="B2543" s="159" t="s">
        <v>2313</v>
      </c>
    </row>
    <row r="2544" spans="1:2" x14ac:dyDescent="0.2">
      <c r="A2544" s="159">
        <v>31678711</v>
      </c>
      <c r="B2544" s="159" t="s">
        <v>1351</v>
      </c>
    </row>
    <row r="2545" spans="1:2" x14ac:dyDescent="0.2">
      <c r="A2545" s="159">
        <v>31678790</v>
      </c>
      <c r="B2545" s="159" t="s">
        <v>1439</v>
      </c>
    </row>
    <row r="2546" spans="1:2" x14ac:dyDescent="0.2">
      <c r="A2546" s="159">
        <v>31678950</v>
      </c>
      <c r="B2546" s="159" t="s">
        <v>1439</v>
      </c>
    </row>
    <row r="2547" spans="1:2" x14ac:dyDescent="0.2">
      <c r="A2547" s="159">
        <v>31679778</v>
      </c>
      <c r="B2547" s="159" t="s">
        <v>1439</v>
      </c>
    </row>
    <row r="2548" spans="1:2" x14ac:dyDescent="0.2">
      <c r="A2548" s="159">
        <v>31679868</v>
      </c>
      <c r="B2548" s="159" t="s">
        <v>2008</v>
      </c>
    </row>
    <row r="2549" spans="1:2" x14ac:dyDescent="0.2">
      <c r="A2549" s="159">
        <v>31688711</v>
      </c>
      <c r="B2549" s="159" t="s">
        <v>2314</v>
      </c>
    </row>
    <row r="2550" spans="1:2" x14ac:dyDescent="0.2">
      <c r="A2550" s="159">
        <v>31778711</v>
      </c>
      <c r="B2550" s="159" t="s">
        <v>1352</v>
      </c>
    </row>
    <row r="2551" spans="1:2" x14ac:dyDescent="0.2">
      <c r="A2551" s="159">
        <v>31779868</v>
      </c>
      <c r="B2551" s="159" t="s">
        <v>2009</v>
      </c>
    </row>
    <row r="2552" spans="1:2" x14ac:dyDescent="0.2">
      <c r="A2552" s="159">
        <v>31788711</v>
      </c>
      <c r="B2552" s="159" t="s">
        <v>1352</v>
      </c>
    </row>
    <row r="2553" spans="1:2" x14ac:dyDescent="0.2">
      <c r="A2553" s="159">
        <v>31878711</v>
      </c>
      <c r="B2553" s="159" t="s">
        <v>1353</v>
      </c>
    </row>
    <row r="2554" spans="1:2" x14ac:dyDescent="0.2">
      <c r="A2554" s="159">
        <v>31879868</v>
      </c>
      <c r="B2554" s="159" t="s">
        <v>2010</v>
      </c>
    </row>
    <row r="2555" spans="1:2" x14ac:dyDescent="0.2">
      <c r="A2555" s="159">
        <v>31888711</v>
      </c>
      <c r="B2555" s="159" t="s">
        <v>1353</v>
      </c>
    </row>
    <row r="2556" spans="1:2" x14ac:dyDescent="0.2">
      <c r="A2556" s="159">
        <v>31978711</v>
      </c>
      <c r="B2556" s="159" t="s">
        <v>1354</v>
      </c>
    </row>
    <row r="2557" spans="1:2" x14ac:dyDescent="0.2">
      <c r="A2557" s="159">
        <v>31978790</v>
      </c>
      <c r="B2557" s="159" t="s">
        <v>1440</v>
      </c>
    </row>
    <row r="2558" spans="1:2" x14ac:dyDescent="0.2">
      <c r="A2558" s="159">
        <v>31978950</v>
      </c>
      <c r="B2558" s="159" t="s">
        <v>1440</v>
      </c>
    </row>
    <row r="2559" spans="1:2" x14ac:dyDescent="0.2">
      <c r="A2559" s="159">
        <v>31979778</v>
      </c>
      <c r="B2559" s="159" t="s">
        <v>1440</v>
      </c>
    </row>
    <row r="2560" spans="1:2" x14ac:dyDescent="0.2">
      <c r="A2560" s="159">
        <v>31988711</v>
      </c>
      <c r="B2560" s="159" t="s">
        <v>1354</v>
      </c>
    </row>
    <row r="2561" spans="1:2" x14ac:dyDescent="0.2">
      <c r="A2561" s="159">
        <v>32078711</v>
      </c>
      <c r="B2561" s="159" t="s">
        <v>1355</v>
      </c>
    </row>
    <row r="2562" spans="1:2" x14ac:dyDescent="0.2">
      <c r="A2562" s="159">
        <v>32078790</v>
      </c>
      <c r="B2562" s="159" t="s">
        <v>1441</v>
      </c>
    </row>
    <row r="2563" spans="1:2" x14ac:dyDescent="0.2">
      <c r="A2563" s="159">
        <v>32078950</v>
      </c>
      <c r="B2563" s="159" t="s">
        <v>1441</v>
      </c>
    </row>
    <row r="2564" spans="1:2" x14ac:dyDescent="0.2">
      <c r="A2564" s="159">
        <v>32079778</v>
      </c>
      <c r="B2564" s="159" t="s">
        <v>1441</v>
      </c>
    </row>
    <row r="2565" spans="1:2" x14ac:dyDescent="0.2">
      <c r="A2565" s="159">
        <v>32088711</v>
      </c>
      <c r="B2565" s="159" t="s">
        <v>1355</v>
      </c>
    </row>
    <row r="2566" spans="1:2" x14ac:dyDescent="0.2">
      <c r="A2566" s="159">
        <v>32178711</v>
      </c>
      <c r="B2566" s="159" t="s">
        <v>1356</v>
      </c>
    </row>
    <row r="2567" spans="1:2" x14ac:dyDescent="0.2">
      <c r="A2567" s="159">
        <v>32178790</v>
      </c>
      <c r="B2567" s="159" t="s">
        <v>1442</v>
      </c>
    </row>
    <row r="2568" spans="1:2" x14ac:dyDescent="0.2">
      <c r="A2568" s="159">
        <v>32178950</v>
      </c>
      <c r="B2568" s="159" t="s">
        <v>1442</v>
      </c>
    </row>
    <row r="2569" spans="1:2" x14ac:dyDescent="0.2">
      <c r="A2569" s="159">
        <v>32179084</v>
      </c>
      <c r="B2569" s="159" t="s">
        <v>1510</v>
      </c>
    </row>
    <row r="2570" spans="1:2" x14ac:dyDescent="0.2">
      <c r="A2570" s="159">
        <v>32179300</v>
      </c>
      <c r="B2570" s="159" t="s">
        <v>1734</v>
      </c>
    </row>
    <row r="2571" spans="1:2" x14ac:dyDescent="0.2">
      <c r="A2571" s="159">
        <v>32179778</v>
      </c>
      <c r="B2571" s="159" t="s">
        <v>1442</v>
      </c>
    </row>
    <row r="2572" spans="1:2" x14ac:dyDescent="0.2">
      <c r="A2572" s="159">
        <v>32188711</v>
      </c>
      <c r="B2572" s="159" t="s">
        <v>1356</v>
      </c>
    </row>
    <row r="2573" spans="1:2" x14ac:dyDescent="0.2">
      <c r="A2573" s="159">
        <v>32278711</v>
      </c>
      <c r="B2573" s="159" t="s">
        <v>1357</v>
      </c>
    </row>
    <row r="2574" spans="1:2" x14ac:dyDescent="0.2">
      <c r="A2574" s="159">
        <v>32278790</v>
      </c>
      <c r="B2574" s="159" t="s">
        <v>1443</v>
      </c>
    </row>
    <row r="2575" spans="1:2" x14ac:dyDescent="0.2">
      <c r="A2575" s="159">
        <v>32278950</v>
      </c>
      <c r="B2575" s="159" t="s">
        <v>1443</v>
      </c>
    </row>
    <row r="2576" spans="1:2" x14ac:dyDescent="0.2">
      <c r="A2576" s="159">
        <v>32279778</v>
      </c>
      <c r="B2576" s="159" t="s">
        <v>1443</v>
      </c>
    </row>
    <row r="2577" spans="1:2" x14ac:dyDescent="0.2">
      <c r="A2577" s="159">
        <v>32288711</v>
      </c>
      <c r="B2577" s="159" t="s">
        <v>1357</v>
      </c>
    </row>
    <row r="2578" spans="1:2" x14ac:dyDescent="0.2">
      <c r="A2578" s="159">
        <v>32378711</v>
      </c>
      <c r="B2578" s="159" t="s">
        <v>1358</v>
      </c>
    </row>
    <row r="2579" spans="1:2" x14ac:dyDescent="0.2">
      <c r="A2579" s="159">
        <v>32388711</v>
      </c>
      <c r="B2579" s="159" t="s">
        <v>1358</v>
      </c>
    </row>
    <row r="2580" spans="1:2" x14ac:dyDescent="0.2">
      <c r="A2580" s="159">
        <v>32478711</v>
      </c>
      <c r="B2580" s="159" t="s">
        <v>1359</v>
      </c>
    </row>
    <row r="2581" spans="1:2" x14ac:dyDescent="0.2">
      <c r="A2581" s="159">
        <v>32478790</v>
      </c>
      <c r="B2581" s="159" t="s">
        <v>1444</v>
      </c>
    </row>
    <row r="2582" spans="1:2" x14ac:dyDescent="0.2">
      <c r="A2582" s="159">
        <v>32478950</v>
      </c>
      <c r="B2582" s="159" t="s">
        <v>1444</v>
      </c>
    </row>
    <row r="2583" spans="1:2" x14ac:dyDescent="0.2">
      <c r="A2583" s="159">
        <v>32479778</v>
      </c>
      <c r="B2583" s="159" t="s">
        <v>1444</v>
      </c>
    </row>
    <row r="2584" spans="1:2" x14ac:dyDescent="0.2">
      <c r="A2584" s="159">
        <v>32488711</v>
      </c>
      <c r="B2584" s="159" t="s">
        <v>1359</v>
      </c>
    </row>
    <row r="2585" spans="1:2" x14ac:dyDescent="0.2">
      <c r="A2585" s="159">
        <v>32578711</v>
      </c>
      <c r="B2585" s="159" t="s">
        <v>1360</v>
      </c>
    </row>
    <row r="2586" spans="1:2" x14ac:dyDescent="0.2">
      <c r="A2586" s="159">
        <v>32588711</v>
      </c>
      <c r="B2586" s="159" t="s">
        <v>1360</v>
      </c>
    </row>
    <row r="2587" spans="1:2" x14ac:dyDescent="0.2">
      <c r="A2587" s="159">
        <v>32678711</v>
      </c>
      <c r="B2587" s="159" t="s">
        <v>1361</v>
      </c>
    </row>
    <row r="2588" spans="1:2" x14ac:dyDescent="0.2">
      <c r="A2588" s="159">
        <v>32678790</v>
      </c>
      <c r="B2588" s="159" t="s">
        <v>1445</v>
      </c>
    </row>
    <row r="2589" spans="1:2" x14ac:dyDescent="0.2">
      <c r="A2589" s="159">
        <v>32678950</v>
      </c>
      <c r="B2589" s="159" t="s">
        <v>1445</v>
      </c>
    </row>
    <row r="2590" spans="1:2" x14ac:dyDescent="0.2">
      <c r="A2590" s="159">
        <v>32679778</v>
      </c>
      <c r="B2590" s="159" t="s">
        <v>1445</v>
      </c>
    </row>
    <row r="2591" spans="1:2" x14ac:dyDescent="0.2">
      <c r="A2591" s="159">
        <v>32688711</v>
      </c>
      <c r="B2591" s="159" t="s">
        <v>1361</v>
      </c>
    </row>
    <row r="2592" spans="1:2" x14ac:dyDescent="0.2">
      <c r="A2592" s="159">
        <v>32778711</v>
      </c>
      <c r="B2592" s="159" t="s">
        <v>1362</v>
      </c>
    </row>
    <row r="2593" spans="1:2" x14ac:dyDescent="0.2">
      <c r="A2593" s="159">
        <v>32778790</v>
      </c>
      <c r="B2593" s="159" t="s">
        <v>1446</v>
      </c>
    </row>
    <row r="2594" spans="1:2" x14ac:dyDescent="0.2">
      <c r="A2594" s="159">
        <v>32778950</v>
      </c>
      <c r="B2594" s="159" t="s">
        <v>1446</v>
      </c>
    </row>
    <row r="2595" spans="1:2" x14ac:dyDescent="0.2">
      <c r="A2595" s="159">
        <v>32779778</v>
      </c>
      <c r="B2595" s="159" t="s">
        <v>1446</v>
      </c>
    </row>
    <row r="2596" spans="1:2" x14ac:dyDescent="0.2">
      <c r="A2596" s="159">
        <v>32788711</v>
      </c>
      <c r="B2596" s="159" t="s">
        <v>1362</v>
      </c>
    </row>
    <row r="2597" spans="1:2" x14ac:dyDescent="0.2">
      <c r="A2597" s="159">
        <v>32878711</v>
      </c>
      <c r="B2597" s="159" t="s">
        <v>1363</v>
      </c>
    </row>
    <row r="2598" spans="1:2" x14ac:dyDescent="0.2">
      <c r="A2598" s="159">
        <v>32878790</v>
      </c>
      <c r="B2598" s="159" t="s">
        <v>1447</v>
      </c>
    </row>
    <row r="2599" spans="1:2" x14ac:dyDescent="0.2">
      <c r="A2599" s="159">
        <v>32878950</v>
      </c>
      <c r="B2599" s="159" t="s">
        <v>1447</v>
      </c>
    </row>
    <row r="2600" spans="1:2" x14ac:dyDescent="0.2">
      <c r="A2600" s="159">
        <v>32879778</v>
      </c>
      <c r="B2600" s="159" t="s">
        <v>1447</v>
      </c>
    </row>
    <row r="2601" spans="1:2" x14ac:dyDescent="0.2">
      <c r="A2601" s="159">
        <v>32888711</v>
      </c>
      <c r="B2601" s="159" t="s">
        <v>2315</v>
      </c>
    </row>
    <row r="2602" spans="1:2" x14ac:dyDescent="0.2">
      <c r="A2602" s="159">
        <v>32978711</v>
      </c>
      <c r="B2602" s="159" t="s">
        <v>1364</v>
      </c>
    </row>
    <row r="2603" spans="1:2" x14ac:dyDescent="0.2">
      <c r="A2603" s="159">
        <v>32978790</v>
      </c>
      <c r="B2603" s="159" t="s">
        <v>1448</v>
      </c>
    </row>
    <row r="2604" spans="1:2" x14ac:dyDescent="0.2">
      <c r="A2604" s="159">
        <v>32978950</v>
      </c>
      <c r="B2604" s="159" t="s">
        <v>1448</v>
      </c>
    </row>
    <row r="2605" spans="1:2" x14ac:dyDescent="0.2">
      <c r="A2605" s="159">
        <v>32979778</v>
      </c>
      <c r="B2605" s="159" t="s">
        <v>1448</v>
      </c>
    </row>
    <row r="2606" spans="1:2" x14ac:dyDescent="0.2">
      <c r="A2606" s="159">
        <v>32988711</v>
      </c>
      <c r="B2606" s="159" t="s">
        <v>1364</v>
      </c>
    </row>
    <row r="2607" spans="1:2" x14ac:dyDescent="0.2">
      <c r="A2607" s="159">
        <v>33078711</v>
      </c>
      <c r="B2607" s="159" t="s">
        <v>1365</v>
      </c>
    </row>
    <row r="2608" spans="1:2" x14ac:dyDescent="0.2">
      <c r="A2608" s="159">
        <v>33088711</v>
      </c>
      <c r="B2608" s="159" t="s">
        <v>1365</v>
      </c>
    </row>
    <row r="2609" spans="1:2" x14ac:dyDescent="0.2">
      <c r="A2609" s="159">
        <v>33178711</v>
      </c>
      <c r="B2609" s="159" t="s">
        <v>1366</v>
      </c>
    </row>
    <row r="2610" spans="1:2" x14ac:dyDescent="0.2">
      <c r="A2610" s="159">
        <v>33178790</v>
      </c>
      <c r="B2610" s="159" t="s">
        <v>1449</v>
      </c>
    </row>
    <row r="2611" spans="1:2" x14ac:dyDescent="0.2">
      <c r="A2611" s="159">
        <v>33178950</v>
      </c>
      <c r="B2611" s="159" t="s">
        <v>1449</v>
      </c>
    </row>
    <row r="2612" spans="1:2" x14ac:dyDescent="0.2">
      <c r="A2612" s="159">
        <v>33179778</v>
      </c>
      <c r="B2612" s="159" t="s">
        <v>1449</v>
      </c>
    </row>
    <row r="2613" spans="1:2" x14ac:dyDescent="0.2">
      <c r="A2613" s="159">
        <v>33188711</v>
      </c>
      <c r="B2613" s="159" t="s">
        <v>1366</v>
      </c>
    </row>
    <row r="2614" spans="1:2" x14ac:dyDescent="0.2">
      <c r="A2614" s="159">
        <v>33278711</v>
      </c>
      <c r="B2614" s="159" t="s">
        <v>1367</v>
      </c>
    </row>
    <row r="2615" spans="1:2" x14ac:dyDescent="0.2">
      <c r="A2615" s="159">
        <v>33278790</v>
      </c>
      <c r="B2615" s="159" t="s">
        <v>1450</v>
      </c>
    </row>
    <row r="2616" spans="1:2" x14ac:dyDescent="0.2">
      <c r="A2616" s="159">
        <v>33278950</v>
      </c>
      <c r="B2616" s="159" t="s">
        <v>1450</v>
      </c>
    </row>
    <row r="2617" spans="1:2" x14ac:dyDescent="0.2">
      <c r="A2617" s="159">
        <v>33279778</v>
      </c>
      <c r="B2617" s="159" t="s">
        <v>1450</v>
      </c>
    </row>
    <row r="2618" spans="1:2" x14ac:dyDescent="0.2">
      <c r="A2618" s="159">
        <v>33288711</v>
      </c>
      <c r="B2618" s="159" t="s">
        <v>1367</v>
      </c>
    </row>
    <row r="2619" spans="1:2" x14ac:dyDescent="0.2">
      <c r="A2619" s="159">
        <v>33378790</v>
      </c>
      <c r="B2619" s="159" t="s">
        <v>1451</v>
      </c>
    </row>
    <row r="2620" spans="1:2" x14ac:dyDescent="0.2">
      <c r="A2620" s="159">
        <v>33378950</v>
      </c>
      <c r="B2620" s="159" t="s">
        <v>1451</v>
      </c>
    </row>
    <row r="2621" spans="1:2" x14ac:dyDescent="0.2">
      <c r="A2621" s="159">
        <v>33379778</v>
      </c>
      <c r="B2621" s="159" t="s">
        <v>1451</v>
      </c>
    </row>
    <row r="2622" spans="1:2" x14ac:dyDescent="0.2">
      <c r="A2622" s="159">
        <v>33478790</v>
      </c>
      <c r="B2622" s="159" t="s">
        <v>1452</v>
      </c>
    </row>
    <row r="2623" spans="1:2" x14ac:dyDescent="0.2">
      <c r="A2623" s="159">
        <v>33478950</v>
      </c>
      <c r="B2623" s="159" t="s">
        <v>1452</v>
      </c>
    </row>
    <row r="2624" spans="1:2" x14ac:dyDescent="0.2">
      <c r="A2624" s="159">
        <v>33479778</v>
      </c>
      <c r="B2624" s="159" t="s">
        <v>1452</v>
      </c>
    </row>
    <row r="2625" spans="1:2" x14ac:dyDescent="0.2">
      <c r="A2625" s="159">
        <v>33578790</v>
      </c>
      <c r="B2625" s="159" t="s">
        <v>1453</v>
      </c>
    </row>
    <row r="2626" spans="1:2" x14ac:dyDescent="0.2">
      <c r="A2626" s="159">
        <v>33578950</v>
      </c>
      <c r="B2626" s="159" t="s">
        <v>1453</v>
      </c>
    </row>
    <row r="2627" spans="1:2" x14ac:dyDescent="0.2">
      <c r="A2627" s="159">
        <v>33579778</v>
      </c>
      <c r="B2627" s="159" t="s">
        <v>1453</v>
      </c>
    </row>
    <row r="2628" spans="1:2" x14ac:dyDescent="0.2">
      <c r="A2628" s="159">
        <v>33588711</v>
      </c>
      <c r="B2628" s="159" t="s">
        <v>2316</v>
      </c>
    </row>
    <row r="2629" spans="1:2" x14ac:dyDescent="0.2">
      <c r="A2629" s="159">
        <v>33778790</v>
      </c>
      <c r="B2629" s="159" t="s">
        <v>1454</v>
      </c>
    </row>
    <row r="2630" spans="1:2" x14ac:dyDescent="0.2">
      <c r="A2630" s="159">
        <v>33778950</v>
      </c>
      <c r="B2630" s="159" t="s">
        <v>1454</v>
      </c>
    </row>
    <row r="2631" spans="1:2" x14ac:dyDescent="0.2">
      <c r="A2631" s="159">
        <v>33779778</v>
      </c>
      <c r="B2631" s="159" t="s">
        <v>1454</v>
      </c>
    </row>
    <row r="2632" spans="1:2" x14ac:dyDescent="0.2">
      <c r="A2632" s="159">
        <v>33788711</v>
      </c>
      <c r="B2632" s="159" t="s">
        <v>2317</v>
      </c>
    </row>
    <row r="2633" spans="1:2" x14ac:dyDescent="0.2">
      <c r="A2633" s="159">
        <v>33888711</v>
      </c>
      <c r="B2633" s="159" t="s">
        <v>2318</v>
      </c>
    </row>
    <row r="2634" spans="1:2" x14ac:dyDescent="0.2">
      <c r="A2634" s="159">
        <v>33988711</v>
      </c>
      <c r="B2634" s="159" t="s">
        <v>2319</v>
      </c>
    </row>
    <row r="2635" spans="1:2" x14ac:dyDescent="0.2">
      <c r="A2635" s="159">
        <v>34088711</v>
      </c>
      <c r="B2635" s="159" t="s">
        <v>2320</v>
      </c>
    </row>
    <row r="2636" spans="1:2" x14ac:dyDescent="0.2">
      <c r="A2636" s="159">
        <v>34178790</v>
      </c>
      <c r="B2636" s="159" t="s">
        <v>1455</v>
      </c>
    </row>
    <row r="2637" spans="1:2" x14ac:dyDescent="0.2">
      <c r="A2637" s="159">
        <v>34178950</v>
      </c>
      <c r="B2637" s="159" t="s">
        <v>1455</v>
      </c>
    </row>
    <row r="2638" spans="1:2" x14ac:dyDescent="0.2">
      <c r="A2638" s="159">
        <v>34179778</v>
      </c>
      <c r="B2638" s="159" t="s">
        <v>1455</v>
      </c>
    </row>
    <row r="2639" spans="1:2" x14ac:dyDescent="0.2">
      <c r="A2639" s="159">
        <v>34278790</v>
      </c>
      <c r="B2639" s="159" t="s">
        <v>1456</v>
      </c>
    </row>
    <row r="2640" spans="1:2" x14ac:dyDescent="0.2">
      <c r="A2640" s="159">
        <v>34278950</v>
      </c>
      <c r="B2640" s="159" t="s">
        <v>1456</v>
      </c>
    </row>
    <row r="2641" spans="1:2" x14ac:dyDescent="0.2">
      <c r="A2641" s="159">
        <v>34279778</v>
      </c>
      <c r="B2641" s="159" t="s">
        <v>1456</v>
      </c>
    </row>
    <row r="2642" spans="1:2" x14ac:dyDescent="0.2">
      <c r="A2642" s="159">
        <v>34478790</v>
      </c>
      <c r="B2642" s="159" t="s">
        <v>1457</v>
      </c>
    </row>
    <row r="2643" spans="1:2" x14ac:dyDescent="0.2">
      <c r="A2643" s="159">
        <v>34478950</v>
      </c>
      <c r="B2643" s="159" t="s">
        <v>1457</v>
      </c>
    </row>
    <row r="2644" spans="1:2" x14ac:dyDescent="0.2">
      <c r="A2644" s="159">
        <v>34479778</v>
      </c>
      <c r="B2644" s="159" t="s">
        <v>1457</v>
      </c>
    </row>
    <row r="2645" spans="1:2" x14ac:dyDescent="0.2">
      <c r="A2645" s="159">
        <v>34578790</v>
      </c>
      <c r="B2645" s="159" t="s">
        <v>1458</v>
      </c>
    </row>
    <row r="2646" spans="1:2" x14ac:dyDescent="0.2">
      <c r="A2646" s="159">
        <v>34578950</v>
      </c>
      <c r="B2646" s="159" t="s">
        <v>1458</v>
      </c>
    </row>
    <row r="2647" spans="1:2" x14ac:dyDescent="0.2">
      <c r="A2647" s="159">
        <v>34579778</v>
      </c>
      <c r="B2647" s="159" t="s">
        <v>1458</v>
      </c>
    </row>
    <row r="2648" spans="1:2" x14ac:dyDescent="0.2">
      <c r="A2648" s="159">
        <v>34678790</v>
      </c>
      <c r="B2648" s="159" t="s">
        <v>1459</v>
      </c>
    </row>
    <row r="2649" spans="1:2" x14ac:dyDescent="0.2">
      <c r="A2649" s="159">
        <v>34678950</v>
      </c>
      <c r="B2649" s="159" t="s">
        <v>1459</v>
      </c>
    </row>
    <row r="2650" spans="1:2" x14ac:dyDescent="0.2">
      <c r="A2650" s="159">
        <v>34679778</v>
      </c>
      <c r="B2650" s="159" t="s">
        <v>1459</v>
      </c>
    </row>
    <row r="2651" spans="1:2" x14ac:dyDescent="0.2">
      <c r="A2651" s="159">
        <v>34778790</v>
      </c>
      <c r="B2651" s="159" t="s">
        <v>1460</v>
      </c>
    </row>
    <row r="2652" spans="1:2" x14ac:dyDescent="0.2">
      <c r="A2652" s="159">
        <v>34778950</v>
      </c>
      <c r="B2652" s="159" t="s">
        <v>1460</v>
      </c>
    </row>
    <row r="2653" spans="1:2" x14ac:dyDescent="0.2">
      <c r="A2653" s="159">
        <v>34779778</v>
      </c>
      <c r="B2653" s="159" t="s">
        <v>1460</v>
      </c>
    </row>
    <row r="2654" spans="1:2" x14ac:dyDescent="0.2">
      <c r="A2654" s="159">
        <v>34878790</v>
      </c>
      <c r="B2654" s="159" t="s">
        <v>1461</v>
      </c>
    </row>
    <row r="2655" spans="1:2" x14ac:dyDescent="0.2">
      <c r="A2655" s="159">
        <v>34878950</v>
      </c>
      <c r="B2655" s="159" t="s">
        <v>1461</v>
      </c>
    </row>
    <row r="2656" spans="1:2" x14ac:dyDescent="0.2">
      <c r="A2656" s="159">
        <v>34879778</v>
      </c>
      <c r="B2656" s="159" t="s">
        <v>1461</v>
      </c>
    </row>
    <row r="2657" spans="1:2" x14ac:dyDescent="0.2">
      <c r="A2657" s="159">
        <v>34978790</v>
      </c>
      <c r="B2657" s="159" t="s">
        <v>1462</v>
      </c>
    </row>
    <row r="2658" spans="1:2" x14ac:dyDescent="0.2">
      <c r="A2658" s="159">
        <v>34978950</v>
      </c>
      <c r="B2658" s="159" t="s">
        <v>1462</v>
      </c>
    </row>
    <row r="2659" spans="1:2" x14ac:dyDescent="0.2">
      <c r="A2659" s="159">
        <v>34979778</v>
      </c>
      <c r="B2659" s="159" t="s">
        <v>1462</v>
      </c>
    </row>
    <row r="2660" spans="1:2" x14ac:dyDescent="0.2">
      <c r="A2660" s="159">
        <v>35078790</v>
      </c>
      <c r="B2660" s="159" t="s">
        <v>1463</v>
      </c>
    </row>
    <row r="2661" spans="1:2" x14ac:dyDescent="0.2">
      <c r="A2661" s="159">
        <v>35078950</v>
      </c>
      <c r="B2661" s="159" t="s">
        <v>1463</v>
      </c>
    </row>
    <row r="2662" spans="1:2" x14ac:dyDescent="0.2">
      <c r="A2662" s="159">
        <v>35079778</v>
      </c>
      <c r="B2662" s="159" t="s">
        <v>1463</v>
      </c>
    </row>
    <row r="2663" spans="1:2" x14ac:dyDescent="0.2">
      <c r="A2663" s="159">
        <v>35179155</v>
      </c>
      <c r="B2663" s="159" t="s">
        <v>1584</v>
      </c>
    </row>
    <row r="2664" spans="1:2" x14ac:dyDescent="0.2">
      <c r="A2664" s="159">
        <v>35279155</v>
      </c>
      <c r="B2664" s="159" t="s">
        <v>1585</v>
      </c>
    </row>
    <row r="2665" spans="1:2" x14ac:dyDescent="0.2">
      <c r="A2665" s="159">
        <v>39979868</v>
      </c>
      <c r="B2665" s="159" t="s">
        <v>2011</v>
      </c>
    </row>
    <row r="2666" spans="1:2" x14ac:dyDescent="0.2">
      <c r="A2666" s="159">
        <v>40058792</v>
      </c>
      <c r="B2666" s="159" t="s">
        <v>1021</v>
      </c>
    </row>
    <row r="2667" spans="1:2" x14ac:dyDescent="0.2">
      <c r="A2667" s="159">
        <v>40059324</v>
      </c>
      <c r="B2667" s="159" t="s">
        <v>1062</v>
      </c>
    </row>
    <row r="2668" spans="1:2" x14ac:dyDescent="0.2">
      <c r="A2668" s="159">
        <v>40078711</v>
      </c>
      <c r="B2668" s="159" t="s">
        <v>1368</v>
      </c>
    </row>
    <row r="2669" spans="1:2" x14ac:dyDescent="0.2">
      <c r="A2669" s="159">
        <v>40078792</v>
      </c>
      <c r="B2669" s="159" t="s">
        <v>1021</v>
      </c>
    </row>
    <row r="2670" spans="1:2" x14ac:dyDescent="0.2">
      <c r="A2670" s="159">
        <v>40079235</v>
      </c>
      <c r="B2670" s="159" t="s">
        <v>1666</v>
      </c>
    </row>
    <row r="2671" spans="1:2" x14ac:dyDescent="0.2">
      <c r="A2671" s="159">
        <v>40079324</v>
      </c>
      <c r="B2671" s="159" t="s">
        <v>1746</v>
      </c>
    </row>
    <row r="2672" spans="1:2" x14ac:dyDescent="0.2">
      <c r="A2672" s="159">
        <v>40079771</v>
      </c>
      <c r="B2672" s="159" t="s">
        <v>1930</v>
      </c>
    </row>
    <row r="2673" spans="1:2" x14ac:dyDescent="0.2">
      <c r="A2673" s="159">
        <v>40079837</v>
      </c>
      <c r="B2673" s="159" t="s">
        <v>1989</v>
      </c>
    </row>
    <row r="2674" spans="1:2" x14ac:dyDescent="0.2">
      <c r="A2674" s="159">
        <v>40088711</v>
      </c>
      <c r="B2674" s="159" t="s">
        <v>1368</v>
      </c>
    </row>
    <row r="2675" spans="1:2" x14ac:dyDescent="0.2">
      <c r="A2675" s="159">
        <v>40158792</v>
      </c>
      <c r="B2675" s="159" t="s">
        <v>1022</v>
      </c>
    </row>
    <row r="2676" spans="1:2" x14ac:dyDescent="0.2">
      <c r="A2676" s="159">
        <v>40159324</v>
      </c>
      <c r="B2676" s="159" t="s">
        <v>1063</v>
      </c>
    </row>
    <row r="2677" spans="1:2" x14ac:dyDescent="0.2">
      <c r="A2677" s="159">
        <v>40178711</v>
      </c>
      <c r="B2677" s="159" t="s">
        <v>1369</v>
      </c>
    </row>
    <row r="2678" spans="1:2" x14ac:dyDescent="0.2">
      <c r="A2678" s="159">
        <v>40178792</v>
      </c>
      <c r="B2678" s="159" t="s">
        <v>1022</v>
      </c>
    </row>
    <row r="2679" spans="1:2" x14ac:dyDescent="0.2">
      <c r="A2679" s="159">
        <v>40179155</v>
      </c>
      <c r="B2679" s="159" t="s">
        <v>1586</v>
      </c>
    </row>
    <row r="2680" spans="1:2" x14ac:dyDescent="0.2">
      <c r="A2680" s="159">
        <v>40179324</v>
      </c>
      <c r="B2680" s="159" t="s">
        <v>1063</v>
      </c>
    </row>
    <row r="2681" spans="1:2" x14ac:dyDescent="0.2">
      <c r="A2681" s="159">
        <v>40188711</v>
      </c>
      <c r="B2681" s="159" t="s">
        <v>2321</v>
      </c>
    </row>
    <row r="2682" spans="1:2" x14ac:dyDescent="0.2">
      <c r="A2682" s="159">
        <v>40258792</v>
      </c>
      <c r="B2682" s="159" t="s">
        <v>1023</v>
      </c>
    </row>
    <row r="2683" spans="1:2" x14ac:dyDescent="0.2">
      <c r="A2683" s="159">
        <v>40259324</v>
      </c>
      <c r="B2683" s="159" t="s">
        <v>1064</v>
      </c>
    </row>
    <row r="2684" spans="1:2" x14ac:dyDescent="0.2">
      <c r="A2684" s="159">
        <v>40278792</v>
      </c>
      <c r="B2684" s="159" t="s">
        <v>1023</v>
      </c>
    </row>
    <row r="2685" spans="1:2" x14ac:dyDescent="0.2">
      <c r="A2685" s="159">
        <v>40279155</v>
      </c>
      <c r="B2685" s="159" t="s">
        <v>1587</v>
      </c>
    </row>
    <row r="2686" spans="1:2" x14ac:dyDescent="0.2">
      <c r="A2686" s="159">
        <v>40279324</v>
      </c>
      <c r="B2686" s="159" t="s">
        <v>1064</v>
      </c>
    </row>
    <row r="2687" spans="1:2" x14ac:dyDescent="0.2">
      <c r="A2687" s="159">
        <v>40288711</v>
      </c>
      <c r="B2687" s="159" t="s">
        <v>2322</v>
      </c>
    </row>
    <row r="2688" spans="1:2" x14ac:dyDescent="0.2">
      <c r="A2688" s="159">
        <v>40358792</v>
      </c>
      <c r="B2688" s="159" t="s">
        <v>1024</v>
      </c>
    </row>
    <row r="2689" spans="1:2" x14ac:dyDescent="0.2">
      <c r="A2689" s="159">
        <v>40359324</v>
      </c>
      <c r="B2689" s="159" t="s">
        <v>1065</v>
      </c>
    </row>
    <row r="2690" spans="1:2" x14ac:dyDescent="0.2">
      <c r="A2690" s="159">
        <v>40378792</v>
      </c>
      <c r="B2690" s="159" t="s">
        <v>1024</v>
      </c>
    </row>
    <row r="2691" spans="1:2" x14ac:dyDescent="0.2">
      <c r="A2691" s="159">
        <v>40379155</v>
      </c>
      <c r="B2691" s="159" t="s">
        <v>1588</v>
      </c>
    </row>
    <row r="2692" spans="1:2" x14ac:dyDescent="0.2">
      <c r="A2692" s="159">
        <v>40379324</v>
      </c>
      <c r="B2692" s="159" t="s">
        <v>1065</v>
      </c>
    </row>
    <row r="2693" spans="1:2" x14ac:dyDescent="0.2">
      <c r="A2693" s="159">
        <v>40388711</v>
      </c>
      <c r="B2693" s="159" t="s">
        <v>2323</v>
      </c>
    </row>
    <row r="2694" spans="1:2" x14ac:dyDescent="0.2">
      <c r="A2694" s="159">
        <v>40458792</v>
      </c>
      <c r="B2694" s="159" t="s">
        <v>1025</v>
      </c>
    </row>
    <row r="2695" spans="1:2" x14ac:dyDescent="0.2">
      <c r="A2695" s="159">
        <v>40459324</v>
      </c>
      <c r="B2695" s="159" t="s">
        <v>1066</v>
      </c>
    </row>
    <row r="2696" spans="1:2" x14ac:dyDescent="0.2">
      <c r="A2696" s="159">
        <v>40478792</v>
      </c>
      <c r="B2696" s="159" t="s">
        <v>1025</v>
      </c>
    </row>
    <row r="2697" spans="1:2" x14ac:dyDescent="0.2">
      <c r="A2697" s="159">
        <v>40479324</v>
      </c>
      <c r="B2697" s="159" t="s">
        <v>1066</v>
      </c>
    </row>
    <row r="2698" spans="1:2" x14ac:dyDescent="0.2">
      <c r="A2698" s="159">
        <v>40488711</v>
      </c>
      <c r="B2698" s="159" t="s">
        <v>2324</v>
      </c>
    </row>
    <row r="2699" spans="1:2" x14ac:dyDescent="0.2">
      <c r="A2699" s="159">
        <v>40558792</v>
      </c>
      <c r="B2699" s="159" t="s">
        <v>1026</v>
      </c>
    </row>
    <row r="2700" spans="1:2" x14ac:dyDescent="0.2">
      <c r="A2700" s="159">
        <v>40559324</v>
      </c>
      <c r="B2700" s="159" t="s">
        <v>1067</v>
      </c>
    </row>
    <row r="2701" spans="1:2" x14ac:dyDescent="0.2">
      <c r="A2701" s="159">
        <v>40578792</v>
      </c>
      <c r="B2701" s="159" t="s">
        <v>1026</v>
      </c>
    </row>
    <row r="2702" spans="1:2" x14ac:dyDescent="0.2">
      <c r="A2702" s="159">
        <v>40579324</v>
      </c>
      <c r="B2702" s="159" t="s">
        <v>1067</v>
      </c>
    </row>
    <row r="2703" spans="1:2" x14ac:dyDescent="0.2">
      <c r="A2703" s="159">
        <v>40658792</v>
      </c>
      <c r="B2703" s="159" t="s">
        <v>1027</v>
      </c>
    </row>
    <row r="2704" spans="1:2" x14ac:dyDescent="0.2">
      <c r="A2704" s="159">
        <v>40659324</v>
      </c>
      <c r="B2704" s="159" t="s">
        <v>1068</v>
      </c>
    </row>
    <row r="2705" spans="1:2" x14ac:dyDescent="0.2">
      <c r="A2705" s="159">
        <v>40678792</v>
      </c>
      <c r="B2705" s="159" t="s">
        <v>1027</v>
      </c>
    </row>
    <row r="2706" spans="1:2" x14ac:dyDescent="0.2">
      <c r="A2706" s="159">
        <v>40679324</v>
      </c>
      <c r="B2706" s="159" t="s">
        <v>1068</v>
      </c>
    </row>
    <row r="2707" spans="1:2" x14ac:dyDescent="0.2">
      <c r="A2707" s="159">
        <v>40758792</v>
      </c>
      <c r="B2707" s="159" t="s">
        <v>1028</v>
      </c>
    </row>
    <row r="2708" spans="1:2" x14ac:dyDescent="0.2">
      <c r="A2708" s="159">
        <v>40759324</v>
      </c>
      <c r="B2708" s="159" t="s">
        <v>1069</v>
      </c>
    </row>
    <row r="2709" spans="1:2" x14ac:dyDescent="0.2">
      <c r="A2709" s="159">
        <v>40778792</v>
      </c>
      <c r="B2709" s="159" t="s">
        <v>1028</v>
      </c>
    </row>
    <row r="2710" spans="1:2" x14ac:dyDescent="0.2">
      <c r="A2710" s="159">
        <v>40779324</v>
      </c>
      <c r="B2710" s="159" t="s">
        <v>1069</v>
      </c>
    </row>
    <row r="2711" spans="1:2" x14ac:dyDescent="0.2">
      <c r="A2711" s="159">
        <v>40858792</v>
      </c>
      <c r="B2711" s="159" t="s">
        <v>1029</v>
      </c>
    </row>
    <row r="2712" spans="1:2" x14ac:dyDescent="0.2">
      <c r="A2712" s="159">
        <v>40859324</v>
      </c>
      <c r="B2712" s="159" t="s">
        <v>1070</v>
      </c>
    </row>
    <row r="2713" spans="1:2" x14ac:dyDescent="0.2">
      <c r="A2713" s="159">
        <v>40878792</v>
      </c>
      <c r="B2713" s="159" t="s">
        <v>1029</v>
      </c>
    </row>
    <row r="2714" spans="1:2" x14ac:dyDescent="0.2">
      <c r="A2714" s="159">
        <v>40879324</v>
      </c>
      <c r="B2714" s="159" t="s">
        <v>1070</v>
      </c>
    </row>
    <row r="2715" spans="1:2" x14ac:dyDescent="0.2">
      <c r="A2715" s="159">
        <v>40958792</v>
      </c>
      <c r="B2715" s="159" t="s">
        <v>1030</v>
      </c>
    </row>
    <row r="2716" spans="1:2" x14ac:dyDescent="0.2">
      <c r="A2716" s="159">
        <v>40959324</v>
      </c>
      <c r="B2716" s="159" t="s">
        <v>1071</v>
      </c>
    </row>
    <row r="2717" spans="1:2" x14ac:dyDescent="0.2">
      <c r="A2717" s="159">
        <v>40978792</v>
      </c>
      <c r="B2717" s="159" t="s">
        <v>1030</v>
      </c>
    </row>
    <row r="2718" spans="1:2" x14ac:dyDescent="0.2">
      <c r="A2718" s="159">
        <v>40979324</v>
      </c>
      <c r="B2718" s="159" t="s">
        <v>1071</v>
      </c>
    </row>
    <row r="2719" spans="1:2" x14ac:dyDescent="0.2">
      <c r="A2719" s="159">
        <v>41058792</v>
      </c>
      <c r="B2719" s="159" t="s">
        <v>1031</v>
      </c>
    </row>
    <row r="2720" spans="1:2" x14ac:dyDescent="0.2">
      <c r="A2720" s="159">
        <v>41059324</v>
      </c>
      <c r="B2720" s="159" t="s">
        <v>1072</v>
      </c>
    </row>
    <row r="2721" spans="1:2" x14ac:dyDescent="0.2">
      <c r="A2721" s="159">
        <v>41078792</v>
      </c>
      <c r="B2721" s="159" t="s">
        <v>1031</v>
      </c>
    </row>
    <row r="2722" spans="1:2" x14ac:dyDescent="0.2">
      <c r="A2722" s="159">
        <v>41079324</v>
      </c>
      <c r="B2722" s="159" t="s">
        <v>1072</v>
      </c>
    </row>
    <row r="2723" spans="1:2" x14ac:dyDescent="0.2">
      <c r="A2723" s="159">
        <v>41158792</v>
      </c>
      <c r="B2723" s="159" t="s">
        <v>1032</v>
      </c>
    </row>
    <row r="2724" spans="1:2" x14ac:dyDescent="0.2">
      <c r="A2724" s="159">
        <v>41159324</v>
      </c>
      <c r="B2724" s="159" t="s">
        <v>1073</v>
      </c>
    </row>
    <row r="2725" spans="1:2" x14ac:dyDescent="0.2">
      <c r="A2725" s="159">
        <v>41178792</v>
      </c>
      <c r="B2725" s="159" t="s">
        <v>1032</v>
      </c>
    </row>
    <row r="2726" spans="1:2" x14ac:dyDescent="0.2">
      <c r="A2726" s="159">
        <v>41179084</v>
      </c>
      <c r="B2726" s="159" t="s">
        <v>1487</v>
      </c>
    </row>
    <row r="2727" spans="1:2" x14ac:dyDescent="0.2">
      <c r="A2727" s="159">
        <v>41179300</v>
      </c>
      <c r="B2727" s="159" t="s">
        <v>1735</v>
      </c>
    </row>
    <row r="2728" spans="1:2" x14ac:dyDescent="0.2">
      <c r="A2728" s="159">
        <v>41179324</v>
      </c>
      <c r="B2728" s="159" t="s">
        <v>1073</v>
      </c>
    </row>
    <row r="2729" spans="1:2" x14ac:dyDescent="0.2">
      <c r="A2729" s="159">
        <v>41258792</v>
      </c>
      <c r="B2729" s="159" t="s">
        <v>1033</v>
      </c>
    </row>
    <row r="2730" spans="1:2" x14ac:dyDescent="0.2">
      <c r="A2730" s="159">
        <v>41259324</v>
      </c>
      <c r="B2730" s="159" t="s">
        <v>1074</v>
      </c>
    </row>
    <row r="2731" spans="1:2" x14ac:dyDescent="0.2">
      <c r="A2731" s="159">
        <v>41278792</v>
      </c>
      <c r="B2731" s="159" t="s">
        <v>1033</v>
      </c>
    </row>
    <row r="2732" spans="1:2" x14ac:dyDescent="0.2">
      <c r="A2732" s="159">
        <v>41279084</v>
      </c>
      <c r="B2732" s="159" t="s">
        <v>1511</v>
      </c>
    </row>
    <row r="2733" spans="1:2" x14ac:dyDescent="0.2">
      <c r="A2733" s="159">
        <v>41279300</v>
      </c>
      <c r="B2733" s="159" t="s">
        <v>1736</v>
      </c>
    </row>
    <row r="2734" spans="1:2" x14ac:dyDescent="0.2">
      <c r="A2734" s="159">
        <v>41279324</v>
      </c>
      <c r="B2734" s="159" t="s">
        <v>1074</v>
      </c>
    </row>
    <row r="2735" spans="1:2" x14ac:dyDescent="0.2">
      <c r="A2735" s="159">
        <v>41358792</v>
      </c>
      <c r="B2735" s="159" t="s">
        <v>1034</v>
      </c>
    </row>
    <row r="2736" spans="1:2" x14ac:dyDescent="0.2">
      <c r="A2736" s="159">
        <v>41359324</v>
      </c>
      <c r="B2736" s="159" t="s">
        <v>1075</v>
      </c>
    </row>
    <row r="2737" spans="1:2" x14ac:dyDescent="0.2">
      <c r="A2737" s="159">
        <v>41378792</v>
      </c>
      <c r="B2737" s="159" t="s">
        <v>1034</v>
      </c>
    </row>
    <row r="2738" spans="1:2" x14ac:dyDescent="0.2">
      <c r="A2738" s="159">
        <v>41379084</v>
      </c>
      <c r="B2738" s="159" t="s">
        <v>1512</v>
      </c>
    </row>
    <row r="2739" spans="1:2" x14ac:dyDescent="0.2">
      <c r="A2739" s="159">
        <v>41379300</v>
      </c>
      <c r="B2739" s="159" t="s">
        <v>1737</v>
      </c>
    </row>
    <row r="2740" spans="1:2" x14ac:dyDescent="0.2">
      <c r="A2740" s="159">
        <v>41379324</v>
      </c>
      <c r="B2740" s="159" t="s">
        <v>1075</v>
      </c>
    </row>
    <row r="2741" spans="1:2" x14ac:dyDescent="0.2">
      <c r="A2741" s="159">
        <v>41458792</v>
      </c>
      <c r="B2741" s="159" t="s">
        <v>1035</v>
      </c>
    </row>
    <row r="2742" spans="1:2" x14ac:dyDescent="0.2">
      <c r="A2742" s="159">
        <v>41459324</v>
      </c>
      <c r="B2742" s="159" t="s">
        <v>1076</v>
      </c>
    </row>
    <row r="2743" spans="1:2" x14ac:dyDescent="0.2">
      <c r="A2743" s="159">
        <v>41478792</v>
      </c>
      <c r="B2743" s="159" t="s">
        <v>1035</v>
      </c>
    </row>
    <row r="2744" spans="1:2" x14ac:dyDescent="0.2">
      <c r="A2744" s="159">
        <v>41479084</v>
      </c>
      <c r="B2744" s="159" t="s">
        <v>1513</v>
      </c>
    </row>
    <row r="2745" spans="1:2" x14ac:dyDescent="0.2">
      <c r="A2745" s="159">
        <v>41479300</v>
      </c>
      <c r="B2745" s="159" t="s">
        <v>1738</v>
      </c>
    </row>
    <row r="2746" spans="1:2" x14ac:dyDescent="0.2">
      <c r="A2746" s="159">
        <v>41479324</v>
      </c>
      <c r="B2746" s="159" t="s">
        <v>1076</v>
      </c>
    </row>
    <row r="2747" spans="1:2" x14ac:dyDescent="0.2">
      <c r="A2747" s="159">
        <v>41558792</v>
      </c>
      <c r="B2747" s="159" t="s">
        <v>1036</v>
      </c>
    </row>
    <row r="2748" spans="1:2" x14ac:dyDescent="0.2">
      <c r="A2748" s="159">
        <v>41559324</v>
      </c>
      <c r="B2748" s="159" t="s">
        <v>1077</v>
      </c>
    </row>
    <row r="2749" spans="1:2" x14ac:dyDescent="0.2">
      <c r="A2749" s="159">
        <v>41579084</v>
      </c>
      <c r="B2749" s="159" t="s">
        <v>1514</v>
      </c>
    </row>
    <row r="2750" spans="1:2" x14ac:dyDescent="0.2">
      <c r="A2750" s="159">
        <v>41579300</v>
      </c>
      <c r="B2750" s="159" t="s">
        <v>1739</v>
      </c>
    </row>
    <row r="2751" spans="1:2" x14ac:dyDescent="0.2">
      <c r="A2751" s="159">
        <v>41579324</v>
      </c>
      <c r="B2751" s="159" t="s">
        <v>1077</v>
      </c>
    </row>
    <row r="2752" spans="1:2" x14ac:dyDescent="0.2">
      <c r="A2752" s="159">
        <v>41659324</v>
      </c>
      <c r="B2752" s="159" t="s">
        <v>1078</v>
      </c>
    </row>
    <row r="2753" spans="1:2" x14ac:dyDescent="0.2">
      <c r="A2753" s="159">
        <v>41679084</v>
      </c>
      <c r="B2753" s="159" t="s">
        <v>1515</v>
      </c>
    </row>
    <row r="2754" spans="1:2" x14ac:dyDescent="0.2">
      <c r="A2754" s="159">
        <v>41679300</v>
      </c>
      <c r="B2754" s="159" t="s">
        <v>1740</v>
      </c>
    </row>
    <row r="2755" spans="1:2" x14ac:dyDescent="0.2">
      <c r="A2755" s="159">
        <v>41679324</v>
      </c>
      <c r="B2755" s="159" t="s">
        <v>1078</v>
      </c>
    </row>
    <row r="2756" spans="1:2" x14ac:dyDescent="0.2">
      <c r="A2756" s="159">
        <v>41759324</v>
      </c>
      <c r="B2756" s="159" t="s">
        <v>1079</v>
      </c>
    </row>
    <row r="2757" spans="1:2" x14ac:dyDescent="0.2">
      <c r="A2757" s="159">
        <v>41779324</v>
      </c>
      <c r="B2757" s="159" t="s">
        <v>1079</v>
      </c>
    </row>
    <row r="2758" spans="1:2" x14ac:dyDescent="0.2">
      <c r="A2758" s="159">
        <v>41859324</v>
      </c>
      <c r="B2758" s="159" t="s">
        <v>1080</v>
      </c>
    </row>
    <row r="2759" spans="1:2" x14ac:dyDescent="0.2">
      <c r="A2759" s="159">
        <v>41879324</v>
      </c>
      <c r="B2759" s="159" t="s">
        <v>1080</v>
      </c>
    </row>
    <row r="2760" spans="1:2" x14ac:dyDescent="0.2">
      <c r="A2760" s="159">
        <v>41959324</v>
      </c>
      <c r="B2760" s="159" t="s">
        <v>1081</v>
      </c>
    </row>
    <row r="2761" spans="1:2" x14ac:dyDescent="0.2">
      <c r="A2761" s="159">
        <v>41979324</v>
      </c>
      <c r="B2761" s="159" t="s">
        <v>1081</v>
      </c>
    </row>
    <row r="2762" spans="1:2" x14ac:dyDescent="0.2">
      <c r="A2762" s="159">
        <v>42059324</v>
      </c>
      <c r="B2762" s="159" t="s">
        <v>1082</v>
      </c>
    </row>
    <row r="2763" spans="1:2" x14ac:dyDescent="0.2">
      <c r="A2763" s="159">
        <v>42079324</v>
      </c>
      <c r="B2763" s="159" t="s">
        <v>1082</v>
      </c>
    </row>
    <row r="2764" spans="1:2" x14ac:dyDescent="0.2">
      <c r="A2764" s="159">
        <v>42159324</v>
      </c>
      <c r="B2764" s="159" t="s">
        <v>1083</v>
      </c>
    </row>
    <row r="2765" spans="1:2" x14ac:dyDescent="0.2">
      <c r="A2765" s="159">
        <v>42179324</v>
      </c>
      <c r="B2765" s="159" t="s">
        <v>1083</v>
      </c>
    </row>
    <row r="2766" spans="1:2" x14ac:dyDescent="0.2">
      <c r="A2766" s="159">
        <v>42259324</v>
      </c>
      <c r="B2766" s="159" t="s">
        <v>1084</v>
      </c>
    </row>
    <row r="2767" spans="1:2" x14ac:dyDescent="0.2">
      <c r="A2767" s="159">
        <v>42279324</v>
      </c>
      <c r="B2767" s="159" t="s">
        <v>1084</v>
      </c>
    </row>
    <row r="2768" spans="1:2" x14ac:dyDescent="0.2">
      <c r="A2768" s="159">
        <v>42359324</v>
      </c>
      <c r="B2768" s="159" t="s">
        <v>1085</v>
      </c>
    </row>
    <row r="2769" spans="1:2" x14ac:dyDescent="0.2">
      <c r="A2769" s="159">
        <v>42379324</v>
      </c>
      <c r="B2769" s="159" t="s">
        <v>1747</v>
      </c>
    </row>
    <row r="2770" spans="1:2" x14ac:dyDescent="0.2">
      <c r="A2770" s="159">
        <v>42459324</v>
      </c>
      <c r="B2770" s="159" t="s">
        <v>1086</v>
      </c>
    </row>
    <row r="2771" spans="1:2" x14ac:dyDescent="0.2">
      <c r="A2771" s="159">
        <v>42479324</v>
      </c>
      <c r="B2771" s="159" t="s">
        <v>1086</v>
      </c>
    </row>
    <row r="2772" spans="1:2" x14ac:dyDescent="0.2">
      <c r="A2772" s="159">
        <v>42559324</v>
      </c>
      <c r="B2772" s="159" t="s">
        <v>1087</v>
      </c>
    </row>
    <row r="2773" spans="1:2" x14ac:dyDescent="0.2">
      <c r="A2773" s="159">
        <v>42579324</v>
      </c>
      <c r="B2773" s="159" t="s">
        <v>1087</v>
      </c>
    </row>
    <row r="2774" spans="1:2" x14ac:dyDescent="0.2">
      <c r="A2774" s="159">
        <v>42659324</v>
      </c>
      <c r="B2774" s="159" t="s">
        <v>1088</v>
      </c>
    </row>
    <row r="2775" spans="1:2" x14ac:dyDescent="0.2">
      <c r="A2775" s="159">
        <v>42679324</v>
      </c>
      <c r="B2775" s="159" t="s">
        <v>1088</v>
      </c>
    </row>
    <row r="2776" spans="1:2" x14ac:dyDescent="0.2">
      <c r="A2776" s="159">
        <v>42759324</v>
      </c>
      <c r="B2776" s="159" t="s">
        <v>1089</v>
      </c>
    </row>
    <row r="2777" spans="1:2" x14ac:dyDescent="0.2">
      <c r="A2777" s="159">
        <v>42779324</v>
      </c>
      <c r="B2777" s="159" t="s">
        <v>1089</v>
      </c>
    </row>
    <row r="2778" spans="1:2" x14ac:dyDescent="0.2">
      <c r="A2778" s="159">
        <v>42859324</v>
      </c>
      <c r="B2778" s="159" t="s">
        <v>1090</v>
      </c>
    </row>
    <row r="2779" spans="1:2" x14ac:dyDescent="0.2">
      <c r="A2779" s="159">
        <v>42879324</v>
      </c>
      <c r="B2779" s="159" t="s">
        <v>1090</v>
      </c>
    </row>
    <row r="2780" spans="1:2" x14ac:dyDescent="0.2">
      <c r="A2780" s="159">
        <v>42959324</v>
      </c>
      <c r="B2780" s="159" t="s">
        <v>1091</v>
      </c>
    </row>
    <row r="2781" spans="1:2" x14ac:dyDescent="0.2">
      <c r="A2781" s="159">
        <v>42979324</v>
      </c>
      <c r="B2781" s="159" t="s">
        <v>1091</v>
      </c>
    </row>
    <row r="2782" spans="1:2" x14ac:dyDescent="0.2">
      <c r="A2782" s="159">
        <v>43059324</v>
      </c>
      <c r="B2782" s="159" t="s">
        <v>1092</v>
      </c>
    </row>
    <row r="2783" spans="1:2" x14ac:dyDescent="0.2">
      <c r="A2783" s="159">
        <v>43079324</v>
      </c>
      <c r="B2783" s="159" t="s">
        <v>1092</v>
      </c>
    </row>
    <row r="2784" spans="1:2" x14ac:dyDescent="0.2">
      <c r="A2784" s="159">
        <v>43159324</v>
      </c>
      <c r="B2784" s="159" t="s">
        <v>1093</v>
      </c>
    </row>
    <row r="2785" spans="1:2" x14ac:dyDescent="0.2">
      <c r="A2785" s="159">
        <v>43179324</v>
      </c>
      <c r="B2785" s="159" t="s">
        <v>1093</v>
      </c>
    </row>
    <row r="2786" spans="1:2" x14ac:dyDescent="0.2">
      <c r="A2786" s="159">
        <v>43259324</v>
      </c>
      <c r="B2786" s="159" t="s">
        <v>1094</v>
      </c>
    </row>
    <row r="2787" spans="1:2" x14ac:dyDescent="0.2">
      <c r="A2787" s="159">
        <v>43279324</v>
      </c>
      <c r="B2787" s="159" t="s">
        <v>1094</v>
      </c>
    </row>
    <row r="2788" spans="1:2" x14ac:dyDescent="0.2">
      <c r="A2788" s="159">
        <v>43359324</v>
      </c>
      <c r="B2788" s="159" t="s">
        <v>1095</v>
      </c>
    </row>
    <row r="2789" spans="1:2" x14ac:dyDescent="0.2">
      <c r="A2789" s="159">
        <v>43379324</v>
      </c>
      <c r="B2789" s="159" t="s">
        <v>1095</v>
      </c>
    </row>
    <row r="2790" spans="1:2" x14ac:dyDescent="0.2">
      <c r="A2790" s="159">
        <v>43459324</v>
      </c>
      <c r="B2790" s="159" t="s">
        <v>1096</v>
      </c>
    </row>
    <row r="2791" spans="1:2" x14ac:dyDescent="0.2">
      <c r="A2791" s="159">
        <v>43479324</v>
      </c>
      <c r="B2791" s="159" t="s">
        <v>1096</v>
      </c>
    </row>
    <row r="2792" spans="1:2" x14ac:dyDescent="0.2">
      <c r="A2792" s="159">
        <v>43559324</v>
      </c>
      <c r="B2792" s="159" t="s">
        <v>1097</v>
      </c>
    </row>
    <row r="2793" spans="1:2" x14ac:dyDescent="0.2">
      <c r="A2793" s="159">
        <v>49988711</v>
      </c>
      <c r="B2793" s="159" t="s">
        <v>2325</v>
      </c>
    </row>
    <row r="2794" spans="1:2" x14ac:dyDescent="0.2">
      <c r="A2794" s="159">
        <v>52179084</v>
      </c>
      <c r="B2794" s="159" t="s">
        <v>1516</v>
      </c>
    </row>
    <row r="2795" spans="1:2" x14ac:dyDescent="0.2">
      <c r="A2795" s="159">
        <v>52179300</v>
      </c>
      <c r="B2795" s="159" t="s">
        <v>1741</v>
      </c>
    </row>
    <row r="2796" spans="1:2" x14ac:dyDescent="0.2">
      <c r="A2796" s="159">
        <v>61179084</v>
      </c>
      <c r="B2796" s="159" t="s">
        <v>1487</v>
      </c>
    </row>
    <row r="2797" spans="1:2" x14ac:dyDescent="0.2">
      <c r="A2797" s="159">
        <v>61179300</v>
      </c>
      <c r="B2797" s="159" t="s">
        <v>1742</v>
      </c>
    </row>
    <row r="2798" spans="1:2" x14ac:dyDescent="0.2">
      <c r="A2798" s="159">
        <v>99888711</v>
      </c>
      <c r="B2798" s="159" t="s">
        <v>2326</v>
      </c>
    </row>
    <row r="2799" spans="1:2" x14ac:dyDescent="0.2">
      <c r="A2799" s="159">
        <v>99988711</v>
      </c>
      <c r="B2799" s="159" t="s">
        <v>2327</v>
      </c>
    </row>
    <row r="2800" spans="1:2" x14ac:dyDescent="0.2">
      <c r="A2800"/>
      <c r="B2800"/>
    </row>
    <row r="2801" spans="1:2" x14ac:dyDescent="0.2">
      <c r="A2801"/>
      <c r="B2801"/>
    </row>
    <row r="2802" spans="1:2" x14ac:dyDescent="0.2">
      <c r="A2802"/>
      <c r="B2802"/>
    </row>
    <row r="2803" spans="1:2" x14ac:dyDescent="0.2">
      <c r="A2803"/>
      <c r="B2803"/>
    </row>
    <row r="2804" spans="1:2" x14ac:dyDescent="0.2">
      <c r="A2804"/>
      <c r="B2804"/>
    </row>
    <row r="2805" spans="1:2" x14ac:dyDescent="0.2">
      <c r="A2805"/>
      <c r="B2805"/>
    </row>
    <row r="2806" spans="1:2" x14ac:dyDescent="0.2">
      <c r="A2806"/>
      <c r="B2806"/>
    </row>
    <row r="2807" spans="1:2" x14ac:dyDescent="0.2">
      <c r="A2807"/>
      <c r="B2807"/>
    </row>
    <row r="2808" spans="1:2" x14ac:dyDescent="0.2">
      <c r="A2808"/>
      <c r="B2808"/>
    </row>
    <row r="2809" spans="1:2" x14ac:dyDescent="0.2">
      <c r="A2809"/>
      <c r="B2809"/>
    </row>
    <row r="2810" spans="1:2" x14ac:dyDescent="0.2">
      <c r="A2810"/>
      <c r="B2810"/>
    </row>
    <row r="2811" spans="1:2" x14ac:dyDescent="0.2">
      <c r="A2811"/>
      <c r="B2811"/>
    </row>
    <row r="2812" spans="1:2" x14ac:dyDescent="0.2">
      <c r="A2812"/>
      <c r="B2812"/>
    </row>
    <row r="2813" spans="1:2" x14ac:dyDescent="0.2">
      <c r="A2813"/>
      <c r="B2813"/>
    </row>
    <row r="2814" spans="1:2" x14ac:dyDescent="0.2">
      <c r="A2814"/>
      <c r="B2814"/>
    </row>
    <row r="2815" spans="1:2" x14ac:dyDescent="0.2">
      <c r="A2815"/>
      <c r="B2815"/>
    </row>
    <row r="2816" spans="1:2" x14ac:dyDescent="0.2">
      <c r="A2816"/>
      <c r="B2816"/>
    </row>
    <row r="2817" spans="1:2" x14ac:dyDescent="0.2">
      <c r="A2817"/>
      <c r="B2817"/>
    </row>
    <row r="2818" spans="1:2" x14ac:dyDescent="0.2">
      <c r="A2818"/>
      <c r="B2818"/>
    </row>
    <row r="2819" spans="1:2" x14ac:dyDescent="0.2">
      <c r="A2819"/>
      <c r="B2819"/>
    </row>
    <row r="2820" spans="1:2" x14ac:dyDescent="0.2">
      <c r="A2820"/>
      <c r="B2820"/>
    </row>
    <row r="2821" spans="1:2" x14ac:dyDescent="0.2">
      <c r="A2821"/>
      <c r="B2821"/>
    </row>
    <row r="2822" spans="1:2" x14ac:dyDescent="0.2">
      <c r="A2822"/>
      <c r="B2822"/>
    </row>
    <row r="2823" spans="1:2" x14ac:dyDescent="0.2">
      <c r="A2823"/>
      <c r="B2823"/>
    </row>
    <row r="2824" spans="1:2" x14ac:dyDescent="0.2">
      <c r="A2824"/>
      <c r="B2824"/>
    </row>
    <row r="2825" spans="1:2" x14ac:dyDescent="0.2">
      <c r="A2825"/>
      <c r="B2825"/>
    </row>
    <row r="2826" spans="1:2" x14ac:dyDescent="0.2">
      <c r="A2826"/>
      <c r="B2826"/>
    </row>
    <row r="2827" spans="1:2" x14ac:dyDescent="0.2">
      <c r="A2827"/>
      <c r="B2827"/>
    </row>
    <row r="2828" spans="1:2" x14ac:dyDescent="0.2">
      <c r="A2828"/>
      <c r="B2828"/>
    </row>
    <row r="2829" spans="1:2" x14ac:dyDescent="0.2">
      <c r="A2829"/>
      <c r="B2829"/>
    </row>
    <row r="2830" spans="1:2" x14ac:dyDescent="0.2">
      <c r="A2830"/>
      <c r="B2830"/>
    </row>
    <row r="2831" spans="1:2" x14ac:dyDescent="0.2">
      <c r="A2831"/>
      <c r="B2831"/>
    </row>
    <row r="2832" spans="1:2" x14ac:dyDescent="0.2">
      <c r="A2832"/>
      <c r="B2832"/>
    </row>
    <row r="2833" spans="1:2" x14ac:dyDescent="0.2">
      <c r="A2833"/>
      <c r="B2833"/>
    </row>
    <row r="2834" spans="1:2" x14ac:dyDescent="0.2">
      <c r="A2834"/>
      <c r="B2834"/>
    </row>
    <row r="2835" spans="1:2" x14ac:dyDescent="0.2">
      <c r="A2835"/>
      <c r="B2835"/>
    </row>
    <row r="2836" spans="1:2" x14ac:dyDescent="0.2">
      <c r="A2836"/>
      <c r="B2836"/>
    </row>
    <row r="2837" spans="1:2" x14ac:dyDescent="0.2">
      <c r="A2837"/>
      <c r="B2837"/>
    </row>
    <row r="2838" spans="1:2" x14ac:dyDescent="0.2">
      <c r="A2838"/>
      <c r="B2838"/>
    </row>
    <row r="2839" spans="1:2" x14ac:dyDescent="0.2">
      <c r="A2839"/>
      <c r="B2839"/>
    </row>
    <row r="2840" spans="1:2" x14ac:dyDescent="0.2">
      <c r="A2840"/>
      <c r="B2840"/>
    </row>
    <row r="2841" spans="1:2" x14ac:dyDescent="0.2">
      <c r="A2841"/>
      <c r="B2841"/>
    </row>
    <row r="2842" spans="1:2" x14ac:dyDescent="0.2">
      <c r="A2842"/>
      <c r="B2842"/>
    </row>
    <row r="2843" spans="1:2" x14ac:dyDescent="0.2">
      <c r="A2843"/>
      <c r="B2843"/>
    </row>
    <row r="2844" spans="1:2" x14ac:dyDescent="0.2">
      <c r="A2844"/>
      <c r="B2844"/>
    </row>
    <row r="2845" spans="1:2" x14ac:dyDescent="0.2">
      <c r="A2845"/>
      <c r="B2845"/>
    </row>
    <row r="2846" spans="1:2" x14ac:dyDescent="0.2">
      <c r="A2846"/>
      <c r="B2846"/>
    </row>
    <row r="2847" spans="1:2" x14ac:dyDescent="0.2">
      <c r="A2847"/>
      <c r="B2847"/>
    </row>
    <row r="2848" spans="1:2" x14ac:dyDescent="0.2">
      <c r="A2848"/>
      <c r="B2848"/>
    </row>
    <row r="2849" spans="1:2" x14ac:dyDescent="0.2">
      <c r="A2849"/>
      <c r="B2849"/>
    </row>
    <row r="2850" spans="1:2" x14ac:dyDescent="0.2">
      <c r="A2850"/>
      <c r="B2850"/>
    </row>
    <row r="2851" spans="1:2" x14ac:dyDescent="0.2">
      <c r="A2851"/>
      <c r="B2851"/>
    </row>
    <row r="2852" spans="1:2" x14ac:dyDescent="0.2">
      <c r="A2852"/>
      <c r="B2852"/>
    </row>
    <row r="2853" spans="1:2" x14ac:dyDescent="0.2">
      <c r="A2853"/>
      <c r="B2853"/>
    </row>
    <row r="2854" spans="1:2" x14ac:dyDescent="0.2">
      <c r="A2854"/>
      <c r="B2854"/>
    </row>
    <row r="2855" spans="1:2" x14ac:dyDescent="0.2">
      <c r="A2855"/>
      <c r="B2855"/>
    </row>
    <row r="2856" spans="1:2" x14ac:dyDescent="0.2">
      <c r="A2856"/>
      <c r="B2856"/>
    </row>
    <row r="2857" spans="1:2" x14ac:dyDescent="0.2">
      <c r="A2857"/>
      <c r="B2857"/>
    </row>
    <row r="2858" spans="1:2" x14ac:dyDescent="0.2">
      <c r="A2858"/>
      <c r="B2858"/>
    </row>
    <row r="2859" spans="1:2" x14ac:dyDescent="0.2">
      <c r="A2859"/>
      <c r="B2859"/>
    </row>
    <row r="2860" spans="1:2" x14ac:dyDescent="0.2">
      <c r="A2860"/>
      <c r="B2860"/>
    </row>
    <row r="2861" spans="1:2" x14ac:dyDescent="0.2">
      <c r="A2861"/>
      <c r="B2861"/>
    </row>
    <row r="2862" spans="1:2" x14ac:dyDescent="0.2">
      <c r="A2862"/>
      <c r="B2862"/>
    </row>
    <row r="2863" spans="1:2" x14ac:dyDescent="0.2">
      <c r="A2863"/>
      <c r="B2863"/>
    </row>
    <row r="2864" spans="1:2" x14ac:dyDescent="0.2">
      <c r="A2864"/>
      <c r="B2864"/>
    </row>
    <row r="2865" spans="1:2" x14ac:dyDescent="0.2">
      <c r="A2865"/>
      <c r="B2865"/>
    </row>
    <row r="2866" spans="1:2" x14ac:dyDescent="0.2">
      <c r="A2866"/>
      <c r="B2866"/>
    </row>
    <row r="2867" spans="1:2" x14ac:dyDescent="0.2">
      <c r="A2867"/>
      <c r="B2867"/>
    </row>
    <row r="2868" spans="1:2" x14ac:dyDescent="0.2">
      <c r="A2868"/>
      <c r="B2868"/>
    </row>
    <row r="2869" spans="1:2" x14ac:dyDescent="0.2">
      <c r="A2869"/>
      <c r="B2869"/>
    </row>
    <row r="2870" spans="1:2" x14ac:dyDescent="0.2">
      <c r="A2870"/>
      <c r="B2870"/>
    </row>
    <row r="2871" spans="1:2" x14ac:dyDescent="0.2">
      <c r="A2871"/>
      <c r="B2871"/>
    </row>
    <row r="2872" spans="1:2" x14ac:dyDescent="0.2">
      <c r="A2872"/>
      <c r="B2872"/>
    </row>
    <row r="2873" spans="1:2" x14ac:dyDescent="0.2">
      <c r="A2873"/>
      <c r="B2873"/>
    </row>
    <row r="2874" spans="1:2" x14ac:dyDescent="0.2">
      <c r="A2874"/>
      <c r="B2874"/>
    </row>
    <row r="2875" spans="1:2" x14ac:dyDescent="0.2">
      <c r="A2875"/>
      <c r="B2875"/>
    </row>
    <row r="2876" spans="1:2" x14ac:dyDescent="0.2">
      <c r="A2876"/>
      <c r="B2876"/>
    </row>
    <row r="2877" spans="1:2" x14ac:dyDescent="0.2">
      <c r="A2877"/>
      <c r="B2877"/>
    </row>
    <row r="2878" spans="1:2" x14ac:dyDescent="0.2">
      <c r="A2878"/>
      <c r="B2878"/>
    </row>
    <row r="2879" spans="1:2" x14ac:dyDescent="0.2">
      <c r="A2879"/>
      <c r="B2879"/>
    </row>
    <row r="2880" spans="1:2" x14ac:dyDescent="0.2">
      <c r="A2880"/>
      <c r="B2880"/>
    </row>
    <row r="2881" spans="1:2" x14ac:dyDescent="0.2">
      <c r="A2881"/>
      <c r="B2881"/>
    </row>
    <row r="2882" spans="1:2" x14ac:dyDescent="0.2">
      <c r="A2882"/>
      <c r="B2882"/>
    </row>
    <row r="2883" spans="1:2" x14ac:dyDescent="0.2">
      <c r="A2883"/>
      <c r="B2883"/>
    </row>
    <row r="2884" spans="1:2" x14ac:dyDescent="0.2">
      <c r="A2884"/>
      <c r="B2884"/>
    </row>
    <row r="2885" spans="1:2" x14ac:dyDescent="0.2">
      <c r="A2885"/>
      <c r="B2885"/>
    </row>
    <row r="2886" spans="1:2" x14ac:dyDescent="0.2">
      <c r="A2886"/>
      <c r="B2886"/>
    </row>
    <row r="2887" spans="1:2" x14ac:dyDescent="0.2">
      <c r="A2887"/>
      <c r="B2887"/>
    </row>
    <row r="2888" spans="1:2" x14ac:dyDescent="0.2">
      <c r="A2888"/>
      <c r="B2888"/>
    </row>
    <row r="2889" spans="1:2" x14ac:dyDescent="0.2">
      <c r="A2889"/>
      <c r="B2889"/>
    </row>
    <row r="2890" spans="1:2" x14ac:dyDescent="0.2">
      <c r="A2890"/>
      <c r="B2890"/>
    </row>
    <row r="2891" spans="1:2" x14ac:dyDescent="0.2">
      <c r="A2891"/>
      <c r="B2891"/>
    </row>
    <row r="2892" spans="1:2" x14ac:dyDescent="0.2">
      <c r="A2892"/>
      <c r="B2892"/>
    </row>
    <row r="2893" spans="1:2" x14ac:dyDescent="0.2">
      <c r="A2893"/>
      <c r="B2893"/>
    </row>
    <row r="2894" spans="1:2" x14ac:dyDescent="0.2">
      <c r="A2894"/>
      <c r="B2894"/>
    </row>
    <row r="2895" spans="1:2" x14ac:dyDescent="0.2">
      <c r="A2895"/>
      <c r="B2895"/>
    </row>
    <row r="2896" spans="1:2" x14ac:dyDescent="0.2">
      <c r="A2896"/>
      <c r="B2896"/>
    </row>
    <row r="2897" spans="1:2" x14ac:dyDescent="0.2">
      <c r="A2897"/>
      <c r="B2897"/>
    </row>
    <row r="2898" spans="1:2" x14ac:dyDescent="0.2">
      <c r="A2898"/>
      <c r="B2898"/>
    </row>
    <row r="2899" spans="1:2" x14ac:dyDescent="0.2">
      <c r="A2899"/>
      <c r="B2899"/>
    </row>
    <row r="2900" spans="1:2" x14ac:dyDescent="0.2">
      <c r="A2900"/>
      <c r="B2900"/>
    </row>
    <row r="2901" spans="1:2" x14ac:dyDescent="0.2">
      <c r="A2901"/>
      <c r="B2901"/>
    </row>
    <row r="2902" spans="1:2" x14ac:dyDescent="0.2">
      <c r="A2902"/>
      <c r="B2902"/>
    </row>
    <row r="2903" spans="1:2" x14ac:dyDescent="0.2">
      <c r="A2903"/>
      <c r="B2903"/>
    </row>
    <row r="2904" spans="1:2" x14ac:dyDescent="0.2">
      <c r="A2904"/>
      <c r="B2904"/>
    </row>
    <row r="2905" spans="1:2" x14ac:dyDescent="0.2">
      <c r="A2905"/>
      <c r="B2905"/>
    </row>
    <row r="2906" spans="1:2" x14ac:dyDescent="0.2">
      <c r="A2906"/>
      <c r="B2906"/>
    </row>
    <row r="2907" spans="1:2" x14ac:dyDescent="0.2">
      <c r="A2907"/>
      <c r="B2907"/>
    </row>
    <row r="2908" spans="1:2" x14ac:dyDescent="0.2">
      <c r="A2908"/>
      <c r="B2908"/>
    </row>
    <row r="2909" spans="1:2" x14ac:dyDescent="0.2">
      <c r="A2909"/>
      <c r="B2909"/>
    </row>
    <row r="2910" spans="1:2" x14ac:dyDescent="0.2">
      <c r="A2910"/>
      <c r="B2910"/>
    </row>
    <row r="2911" spans="1:2" x14ac:dyDescent="0.2">
      <c r="A2911"/>
      <c r="B2911"/>
    </row>
    <row r="2912" spans="1:2" x14ac:dyDescent="0.2">
      <c r="A2912"/>
      <c r="B2912"/>
    </row>
    <row r="2913" spans="1:2" x14ac:dyDescent="0.2">
      <c r="A2913"/>
      <c r="B2913"/>
    </row>
    <row r="2914" spans="1:2" x14ac:dyDescent="0.2">
      <c r="A2914"/>
      <c r="B2914"/>
    </row>
    <row r="2915" spans="1:2" x14ac:dyDescent="0.2">
      <c r="A2915"/>
      <c r="B2915"/>
    </row>
    <row r="2916" spans="1:2" x14ac:dyDescent="0.2">
      <c r="A2916"/>
      <c r="B2916"/>
    </row>
    <row r="2917" spans="1:2" x14ac:dyDescent="0.2">
      <c r="A2917"/>
      <c r="B2917"/>
    </row>
    <row r="2918" spans="1:2" x14ac:dyDescent="0.2">
      <c r="A2918"/>
      <c r="B2918"/>
    </row>
    <row r="2919" spans="1:2" x14ac:dyDescent="0.2">
      <c r="A2919"/>
      <c r="B2919"/>
    </row>
    <row r="2920" spans="1:2" x14ac:dyDescent="0.2">
      <c r="A2920"/>
      <c r="B2920"/>
    </row>
    <row r="2921" spans="1:2" x14ac:dyDescent="0.2">
      <c r="A2921"/>
      <c r="B2921"/>
    </row>
    <row r="2922" spans="1:2" x14ac:dyDescent="0.2">
      <c r="A2922"/>
      <c r="B2922"/>
    </row>
    <row r="2923" spans="1:2" x14ac:dyDescent="0.2">
      <c r="A2923"/>
      <c r="B2923"/>
    </row>
    <row r="2924" spans="1:2" x14ac:dyDescent="0.2">
      <c r="A2924"/>
      <c r="B2924"/>
    </row>
    <row r="2925" spans="1:2" x14ac:dyDescent="0.2">
      <c r="A2925"/>
      <c r="B2925"/>
    </row>
    <row r="2926" spans="1:2" x14ac:dyDescent="0.2">
      <c r="A2926"/>
      <c r="B2926"/>
    </row>
    <row r="2927" spans="1:2" x14ac:dyDescent="0.2">
      <c r="A2927"/>
      <c r="B2927"/>
    </row>
    <row r="2928" spans="1:2" x14ac:dyDescent="0.2">
      <c r="A2928"/>
      <c r="B2928"/>
    </row>
    <row r="2929" spans="1:2" x14ac:dyDescent="0.2">
      <c r="A2929"/>
      <c r="B2929"/>
    </row>
    <row r="2930" spans="1:2" x14ac:dyDescent="0.2">
      <c r="A2930"/>
      <c r="B2930"/>
    </row>
    <row r="2931" spans="1:2" x14ac:dyDescent="0.2">
      <c r="A2931"/>
      <c r="B2931"/>
    </row>
    <row r="2932" spans="1:2" x14ac:dyDescent="0.2">
      <c r="A2932"/>
      <c r="B2932"/>
    </row>
    <row r="2933" spans="1:2" x14ac:dyDescent="0.2">
      <c r="A2933"/>
      <c r="B2933"/>
    </row>
    <row r="2934" spans="1:2" x14ac:dyDescent="0.2">
      <c r="A2934"/>
      <c r="B2934"/>
    </row>
    <row r="2935" spans="1:2" x14ac:dyDescent="0.2">
      <c r="A2935"/>
      <c r="B2935"/>
    </row>
    <row r="2936" spans="1:2" x14ac:dyDescent="0.2">
      <c r="A2936"/>
      <c r="B2936"/>
    </row>
    <row r="2937" spans="1:2" x14ac:dyDescent="0.2">
      <c r="A2937"/>
      <c r="B2937"/>
    </row>
    <row r="2938" spans="1:2" x14ac:dyDescent="0.2">
      <c r="A2938"/>
      <c r="B2938"/>
    </row>
    <row r="2939" spans="1:2" x14ac:dyDescent="0.2">
      <c r="A2939"/>
      <c r="B2939"/>
    </row>
    <row r="2940" spans="1:2" x14ac:dyDescent="0.2">
      <c r="A2940"/>
      <c r="B2940"/>
    </row>
    <row r="2941" spans="1:2" x14ac:dyDescent="0.2">
      <c r="A2941"/>
      <c r="B2941"/>
    </row>
    <row r="2942" spans="1:2" x14ac:dyDescent="0.2">
      <c r="A2942"/>
      <c r="B2942"/>
    </row>
    <row r="2943" spans="1:2" x14ac:dyDescent="0.2">
      <c r="A2943"/>
      <c r="B2943"/>
    </row>
    <row r="2944" spans="1:2" x14ac:dyDescent="0.2">
      <c r="A2944"/>
      <c r="B2944"/>
    </row>
    <row r="2945" spans="1:2" x14ac:dyDescent="0.2">
      <c r="A2945"/>
      <c r="B2945"/>
    </row>
    <row r="2946" spans="1:2" x14ac:dyDescent="0.2">
      <c r="A2946"/>
      <c r="B2946"/>
    </row>
    <row r="2947" spans="1:2" x14ac:dyDescent="0.2">
      <c r="A2947"/>
      <c r="B2947"/>
    </row>
    <row r="2948" spans="1:2" x14ac:dyDescent="0.2">
      <c r="A2948"/>
      <c r="B2948"/>
    </row>
    <row r="2949" spans="1:2" x14ac:dyDescent="0.2">
      <c r="A2949"/>
      <c r="B2949"/>
    </row>
    <row r="2950" spans="1:2" x14ac:dyDescent="0.2">
      <c r="A2950"/>
      <c r="B2950"/>
    </row>
    <row r="2951" spans="1:2" x14ac:dyDescent="0.2">
      <c r="A2951"/>
      <c r="B2951"/>
    </row>
    <row r="2952" spans="1:2" x14ac:dyDescent="0.2">
      <c r="A2952"/>
      <c r="B2952"/>
    </row>
    <row r="2953" spans="1:2" x14ac:dyDescent="0.2">
      <c r="A2953"/>
      <c r="B2953"/>
    </row>
    <row r="2954" spans="1:2" x14ac:dyDescent="0.2">
      <c r="A2954"/>
      <c r="B2954"/>
    </row>
    <row r="2955" spans="1:2" x14ac:dyDescent="0.2">
      <c r="A2955"/>
      <c r="B2955"/>
    </row>
    <row r="2956" spans="1:2" x14ac:dyDescent="0.2">
      <c r="A2956"/>
      <c r="B2956"/>
    </row>
    <row r="2957" spans="1:2" x14ac:dyDescent="0.2">
      <c r="A2957"/>
      <c r="B2957"/>
    </row>
    <row r="2958" spans="1:2" x14ac:dyDescent="0.2">
      <c r="A2958"/>
      <c r="B2958"/>
    </row>
    <row r="2959" spans="1:2" x14ac:dyDescent="0.2">
      <c r="A2959"/>
      <c r="B2959"/>
    </row>
    <row r="2960" spans="1:2" x14ac:dyDescent="0.2">
      <c r="A2960"/>
      <c r="B2960"/>
    </row>
    <row r="2961" spans="1:2" x14ac:dyDescent="0.2">
      <c r="A2961"/>
      <c r="B2961"/>
    </row>
    <row r="2962" spans="1:2" x14ac:dyDescent="0.2">
      <c r="A2962"/>
      <c r="B2962"/>
    </row>
    <row r="2963" spans="1:2" x14ac:dyDescent="0.2">
      <c r="A2963"/>
      <c r="B2963"/>
    </row>
    <row r="2964" spans="1:2" x14ac:dyDescent="0.2">
      <c r="A2964"/>
      <c r="B2964"/>
    </row>
    <row r="2965" spans="1:2" x14ac:dyDescent="0.2">
      <c r="A2965"/>
      <c r="B2965"/>
    </row>
    <row r="2966" spans="1:2" x14ac:dyDescent="0.2">
      <c r="A2966"/>
      <c r="B2966"/>
    </row>
    <row r="2967" spans="1:2" x14ac:dyDescent="0.2">
      <c r="A2967"/>
      <c r="B2967"/>
    </row>
    <row r="2968" spans="1:2" x14ac:dyDescent="0.2">
      <c r="A2968"/>
      <c r="B2968"/>
    </row>
    <row r="2969" spans="1:2" x14ac:dyDescent="0.2">
      <c r="A2969"/>
      <c r="B2969"/>
    </row>
    <row r="2970" spans="1:2" x14ac:dyDescent="0.2">
      <c r="A2970"/>
      <c r="B2970"/>
    </row>
    <row r="2971" spans="1:2" x14ac:dyDescent="0.2">
      <c r="A2971"/>
      <c r="B2971"/>
    </row>
    <row r="2972" spans="1:2" x14ac:dyDescent="0.2">
      <c r="A2972"/>
      <c r="B2972"/>
    </row>
    <row r="2973" spans="1:2" x14ac:dyDescent="0.2">
      <c r="A2973"/>
      <c r="B2973"/>
    </row>
    <row r="2974" spans="1:2" x14ac:dyDescent="0.2">
      <c r="A2974"/>
      <c r="B2974"/>
    </row>
    <row r="2975" spans="1:2" x14ac:dyDescent="0.2">
      <c r="A2975"/>
      <c r="B2975"/>
    </row>
    <row r="2976" spans="1:2" x14ac:dyDescent="0.2">
      <c r="A2976"/>
      <c r="B2976"/>
    </row>
    <row r="2977" spans="1:2" x14ac:dyDescent="0.2">
      <c r="A2977"/>
      <c r="B2977"/>
    </row>
    <row r="2978" spans="1:2" x14ac:dyDescent="0.2">
      <c r="A2978"/>
      <c r="B2978"/>
    </row>
    <row r="2979" spans="1:2" x14ac:dyDescent="0.2">
      <c r="A2979"/>
      <c r="B2979"/>
    </row>
    <row r="2980" spans="1:2" x14ac:dyDescent="0.2">
      <c r="A2980"/>
      <c r="B2980"/>
    </row>
    <row r="2981" spans="1:2" x14ac:dyDescent="0.2">
      <c r="A2981"/>
      <c r="B2981"/>
    </row>
    <row r="2982" spans="1:2" x14ac:dyDescent="0.2">
      <c r="A2982"/>
      <c r="B2982"/>
    </row>
    <row r="2983" spans="1:2" x14ac:dyDescent="0.2">
      <c r="A2983"/>
      <c r="B2983"/>
    </row>
    <row r="2984" spans="1:2" x14ac:dyDescent="0.2">
      <c r="A2984"/>
      <c r="B2984"/>
    </row>
    <row r="2985" spans="1:2" x14ac:dyDescent="0.2">
      <c r="A2985"/>
      <c r="B2985"/>
    </row>
    <row r="2986" spans="1:2" x14ac:dyDescent="0.2">
      <c r="A2986"/>
      <c r="B2986"/>
    </row>
    <row r="2987" spans="1:2" x14ac:dyDescent="0.2">
      <c r="A2987"/>
      <c r="B2987"/>
    </row>
    <row r="2988" spans="1:2" x14ac:dyDescent="0.2">
      <c r="A2988"/>
      <c r="B2988"/>
    </row>
    <row r="2989" spans="1:2" x14ac:dyDescent="0.2">
      <c r="A2989"/>
      <c r="B2989"/>
    </row>
    <row r="2990" spans="1:2" x14ac:dyDescent="0.2">
      <c r="A2990"/>
      <c r="B2990"/>
    </row>
    <row r="2991" spans="1:2" x14ac:dyDescent="0.2">
      <c r="A2991"/>
      <c r="B2991"/>
    </row>
    <row r="2992" spans="1:2" x14ac:dyDescent="0.2">
      <c r="A2992"/>
      <c r="B2992"/>
    </row>
    <row r="2993" spans="1:2" x14ac:dyDescent="0.2">
      <c r="A2993"/>
      <c r="B2993"/>
    </row>
    <row r="2994" spans="1:2" x14ac:dyDescent="0.2">
      <c r="A2994"/>
      <c r="B2994"/>
    </row>
    <row r="2995" spans="1:2" x14ac:dyDescent="0.2">
      <c r="A2995"/>
      <c r="B2995"/>
    </row>
    <row r="2996" spans="1:2" x14ac:dyDescent="0.2">
      <c r="A2996"/>
      <c r="B2996"/>
    </row>
    <row r="2997" spans="1:2" x14ac:dyDescent="0.2">
      <c r="A2997"/>
      <c r="B2997"/>
    </row>
    <row r="2998" spans="1:2" x14ac:dyDescent="0.2">
      <c r="A2998"/>
      <c r="B2998"/>
    </row>
    <row r="2999" spans="1:2" x14ac:dyDescent="0.2">
      <c r="A2999"/>
      <c r="B2999"/>
    </row>
    <row r="3000" spans="1:2" x14ac:dyDescent="0.2">
      <c r="A3000"/>
      <c r="B3000"/>
    </row>
    <row r="3001" spans="1:2" x14ac:dyDescent="0.2">
      <c r="A3001"/>
      <c r="B3001"/>
    </row>
    <row r="3002" spans="1:2" x14ac:dyDescent="0.2">
      <c r="A3002"/>
      <c r="B3002"/>
    </row>
    <row r="3003" spans="1:2" x14ac:dyDescent="0.2">
      <c r="A3003"/>
      <c r="B3003"/>
    </row>
    <row r="3004" spans="1:2" x14ac:dyDescent="0.2">
      <c r="A3004"/>
      <c r="B3004"/>
    </row>
    <row r="3005" spans="1:2" x14ac:dyDescent="0.2">
      <c r="A3005"/>
      <c r="B3005"/>
    </row>
    <row r="3006" spans="1:2" x14ac:dyDescent="0.2">
      <c r="A3006"/>
      <c r="B3006"/>
    </row>
    <row r="3007" spans="1:2" x14ac:dyDescent="0.2">
      <c r="A3007"/>
      <c r="B3007"/>
    </row>
    <row r="3008" spans="1:2" x14ac:dyDescent="0.2">
      <c r="A3008"/>
      <c r="B3008"/>
    </row>
    <row r="3009" spans="1:2" x14ac:dyDescent="0.2">
      <c r="A3009"/>
      <c r="B3009"/>
    </row>
    <row r="3010" spans="1:2" x14ac:dyDescent="0.2">
      <c r="A3010"/>
      <c r="B3010"/>
    </row>
    <row r="3011" spans="1:2" x14ac:dyDescent="0.2">
      <c r="A3011"/>
      <c r="B3011"/>
    </row>
    <row r="3012" spans="1:2" x14ac:dyDescent="0.2">
      <c r="A3012"/>
      <c r="B3012"/>
    </row>
    <row r="3013" spans="1:2" x14ac:dyDescent="0.2">
      <c r="A3013"/>
      <c r="B3013"/>
    </row>
    <row r="3014" spans="1:2" x14ac:dyDescent="0.2">
      <c r="A3014"/>
      <c r="B3014"/>
    </row>
    <row r="3015" spans="1:2" x14ac:dyDescent="0.2">
      <c r="A3015"/>
      <c r="B3015"/>
    </row>
    <row r="3016" spans="1:2" x14ac:dyDescent="0.2">
      <c r="A3016"/>
      <c r="B3016"/>
    </row>
    <row r="3017" spans="1:2" x14ac:dyDescent="0.2">
      <c r="A3017"/>
      <c r="B3017"/>
    </row>
    <row r="3018" spans="1:2" x14ac:dyDescent="0.2">
      <c r="A3018"/>
      <c r="B3018"/>
    </row>
    <row r="3019" spans="1:2" x14ac:dyDescent="0.2">
      <c r="A3019"/>
      <c r="B3019"/>
    </row>
    <row r="3020" spans="1:2" x14ac:dyDescent="0.2">
      <c r="A3020"/>
      <c r="B3020"/>
    </row>
    <row r="3021" spans="1:2" x14ac:dyDescent="0.2">
      <c r="A3021"/>
      <c r="B3021"/>
    </row>
    <row r="3022" spans="1:2" x14ac:dyDescent="0.2">
      <c r="A3022"/>
      <c r="B3022"/>
    </row>
    <row r="3023" spans="1:2" x14ac:dyDescent="0.2">
      <c r="A3023"/>
      <c r="B3023"/>
    </row>
    <row r="3024" spans="1:2" x14ac:dyDescent="0.2">
      <c r="A3024"/>
      <c r="B3024"/>
    </row>
    <row r="3025" spans="1:2" x14ac:dyDescent="0.2">
      <c r="A3025"/>
      <c r="B3025"/>
    </row>
    <row r="3026" spans="1:2" x14ac:dyDescent="0.2">
      <c r="A3026"/>
      <c r="B3026"/>
    </row>
    <row r="3027" spans="1:2" x14ac:dyDescent="0.2">
      <c r="A3027"/>
      <c r="B3027"/>
    </row>
    <row r="3028" spans="1:2" x14ac:dyDescent="0.2">
      <c r="A3028"/>
      <c r="B3028"/>
    </row>
    <row r="3029" spans="1:2" x14ac:dyDescent="0.2">
      <c r="A3029"/>
      <c r="B3029"/>
    </row>
    <row r="3030" spans="1:2" x14ac:dyDescent="0.2">
      <c r="A3030"/>
      <c r="B3030"/>
    </row>
    <row r="3031" spans="1:2" x14ac:dyDescent="0.2">
      <c r="A3031"/>
      <c r="B3031"/>
    </row>
    <row r="3032" spans="1:2" x14ac:dyDescent="0.2">
      <c r="A3032"/>
      <c r="B3032"/>
    </row>
    <row r="3033" spans="1:2" x14ac:dyDescent="0.2">
      <c r="A3033"/>
      <c r="B3033"/>
    </row>
    <row r="3034" spans="1:2" x14ac:dyDescent="0.2">
      <c r="A3034"/>
      <c r="B3034"/>
    </row>
    <row r="3035" spans="1:2" x14ac:dyDescent="0.2">
      <c r="A3035"/>
      <c r="B3035"/>
    </row>
    <row r="3036" spans="1:2" x14ac:dyDescent="0.2">
      <c r="A3036"/>
      <c r="B3036"/>
    </row>
    <row r="3037" spans="1:2" x14ac:dyDescent="0.2">
      <c r="A3037"/>
      <c r="B3037"/>
    </row>
    <row r="3038" spans="1:2" x14ac:dyDescent="0.2">
      <c r="A3038"/>
      <c r="B3038"/>
    </row>
    <row r="3039" spans="1:2" x14ac:dyDescent="0.2">
      <c r="A3039"/>
      <c r="B3039"/>
    </row>
    <row r="3040" spans="1:2" x14ac:dyDescent="0.2">
      <c r="A3040"/>
      <c r="B3040"/>
    </row>
    <row r="3041" spans="1:2" x14ac:dyDescent="0.2">
      <c r="A3041"/>
      <c r="B3041"/>
    </row>
    <row r="3042" spans="1:2" x14ac:dyDescent="0.2">
      <c r="A3042"/>
      <c r="B3042"/>
    </row>
    <row r="3043" spans="1:2" x14ac:dyDescent="0.2">
      <c r="A3043"/>
      <c r="B3043"/>
    </row>
    <row r="3044" spans="1:2" x14ac:dyDescent="0.2">
      <c r="A3044"/>
      <c r="B3044"/>
    </row>
    <row r="3045" spans="1:2" x14ac:dyDescent="0.2">
      <c r="A3045"/>
      <c r="B3045"/>
    </row>
    <row r="3046" spans="1:2" x14ac:dyDescent="0.2">
      <c r="A3046"/>
      <c r="B3046"/>
    </row>
    <row r="3047" spans="1:2" x14ac:dyDescent="0.2">
      <c r="A3047"/>
      <c r="B3047"/>
    </row>
    <row r="3048" spans="1:2" x14ac:dyDescent="0.2">
      <c r="A3048"/>
      <c r="B3048"/>
    </row>
    <row r="3049" spans="1:2" x14ac:dyDescent="0.2">
      <c r="A3049"/>
      <c r="B3049"/>
    </row>
    <row r="3050" spans="1:2" x14ac:dyDescent="0.2">
      <c r="A3050"/>
      <c r="B3050"/>
    </row>
    <row r="3051" spans="1:2" x14ac:dyDescent="0.2">
      <c r="A3051"/>
      <c r="B3051"/>
    </row>
    <row r="3052" spans="1:2" x14ac:dyDescent="0.2">
      <c r="A3052"/>
      <c r="B3052"/>
    </row>
    <row r="3053" spans="1:2" x14ac:dyDescent="0.2">
      <c r="A3053"/>
      <c r="B3053"/>
    </row>
    <row r="3054" spans="1:2" x14ac:dyDescent="0.2">
      <c r="A3054"/>
      <c r="B3054"/>
    </row>
    <row r="3055" spans="1:2" x14ac:dyDescent="0.2">
      <c r="A3055"/>
      <c r="B3055"/>
    </row>
    <row r="3056" spans="1:2" x14ac:dyDescent="0.2">
      <c r="A3056"/>
      <c r="B3056"/>
    </row>
    <row r="3057" spans="1:2" x14ac:dyDescent="0.2">
      <c r="A3057"/>
      <c r="B3057"/>
    </row>
    <row r="3058" spans="1:2" x14ac:dyDescent="0.2">
      <c r="A3058"/>
      <c r="B3058"/>
    </row>
    <row r="3059" spans="1:2" x14ac:dyDescent="0.2">
      <c r="A3059"/>
      <c r="B3059"/>
    </row>
    <row r="3060" spans="1:2" x14ac:dyDescent="0.2">
      <c r="A3060"/>
      <c r="B3060"/>
    </row>
    <row r="3061" spans="1:2" x14ac:dyDescent="0.2">
      <c r="A3061"/>
      <c r="B3061"/>
    </row>
    <row r="3062" spans="1:2" x14ac:dyDescent="0.2">
      <c r="A3062"/>
      <c r="B3062"/>
    </row>
    <row r="3063" spans="1:2" x14ac:dyDescent="0.2">
      <c r="A3063"/>
      <c r="B3063"/>
    </row>
    <row r="3064" spans="1:2" x14ac:dyDescent="0.2">
      <c r="A3064"/>
      <c r="B3064"/>
    </row>
    <row r="3065" spans="1:2" x14ac:dyDescent="0.2">
      <c r="A3065"/>
      <c r="B3065"/>
    </row>
    <row r="3066" spans="1:2" x14ac:dyDescent="0.2">
      <c r="A3066"/>
      <c r="B3066"/>
    </row>
    <row r="3067" spans="1:2" x14ac:dyDescent="0.2">
      <c r="A3067"/>
      <c r="B3067"/>
    </row>
    <row r="3068" spans="1:2" x14ac:dyDescent="0.2">
      <c r="A3068"/>
      <c r="B3068"/>
    </row>
    <row r="3069" spans="1:2" x14ac:dyDescent="0.2">
      <c r="A3069"/>
      <c r="B3069"/>
    </row>
    <row r="3070" spans="1:2" x14ac:dyDescent="0.2">
      <c r="A3070"/>
      <c r="B3070"/>
    </row>
    <row r="3071" spans="1:2" x14ac:dyDescent="0.2">
      <c r="A3071"/>
      <c r="B3071"/>
    </row>
    <row r="3072" spans="1:2" x14ac:dyDescent="0.2">
      <c r="A3072"/>
      <c r="B3072"/>
    </row>
    <row r="3073" spans="1:2" x14ac:dyDescent="0.2">
      <c r="A3073"/>
      <c r="B3073"/>
    </row>
    <row r="3074" spans="1:2" x14ac:dyDescent="0.2">
      <c r="A3074"/>
      <c r="B3074"/>
    </row>
    <row r="3075" spans="1:2" x14ac:dyDescent="0.2">
      <c r="A3075"/>
      <c r="B3075"/>
    </row>
    <row r="3076" spans="1:2" x14ac:dyDescent="0.2">
      <c r="A3076"/>
      <c r="B3076"/>
    </row>
    <row r="3077" spans="1:2" x14ac:dyDescent="0.2">
      <c r="A3077"/>
      <c r="B3077"/>
    </row>
    <row r="3078" spans="1:2" x14ac:dyDescent="0.2">
      <c r="A3078"/>
      <c r="B3078"/>
    </row>
    <row r="3079" spans="1:2" x14ac:dyDescent="0.2">
      <c r="A3079"/>
      <c r="B3079"/>
    </row>
    <row r="3080" spans="1:2" x14ac:dyDescent="0.2">
      <c r="A3080"/>
      <c r="B3080"/>
    </row>
    <row r="3081" spans="1:2" x14ac:dyDescent="0.2">
      <c r="A3081"/>
      <c r="B3081"/>
    </row>
    <row r="3082" spans="1:2" x14ac:dyDescent="0.2">
      <c r="A3082"/>
      <c r="B3082"/>
    </row>
    <row r="3083" spans="1:2" x14ac:dyDescent="0.2">
      <c r="A3083"/>
      <c r="B3083"/>
    </row>
    <row r="3084" spans="1:2" x14ac:dyDescent="0.2">
      <c r="A3084"/>
      <c r="B3084"/>
    </row>
    <row r="3085" spans="1:2" x14ac:dyDescent="0.2">
      <c r="A3085"/>
      <c r="B3085"/>
    </row>
    <row r="3086" spans="1:2" x14ac:dyDescent="0.2">
      <c r="A3086"/>
      <c r="B3086"/>
    </row>
    <row r="3087" spans="1:2" x14ac:dyDescent="0.2">
      <c r="A3087"/>
      <c r="B3087"/>
    </row>
    <row r="3088" spans="1:2" x14ac:dyDescent="0.2">
      <c r="A3088"/>
      <c r="B3088"/>
    </row>
    <row r="3089" spans="1:2" x14ac:dyDescent="0.2">
      <c r="A3089"/>
      <c r="B3089"/>
    </row>
    <row r="3090" spans="1:2" x14ac:dyDescent="0.2">
      <c r="A3090"/>
      <c r="B3090"/>
    </row>
    <row r="3091" spans="1:2" x14ac:dyDescent="0.2">
      <c r="A3091"/>
      <c r="B3091"/>
    </row>
    <row r="3092" spans="1:2" x14ac:dyDescent="0.2">
      <c r="A3092"/>
      <c r="B3092"/>
    </row>
    <row r="3093" spans="1:2" x14ac:dyDescent="0.2">
      <c r="A3093"/>
      <c r="B3093"/>
    </row>
    <row r="3094" spans="1:2" x14ac:dyDescent="0.2">
      <c r="A3094"/>
      <c r="B3094"/>
    </row>
    <row r="3095" spans="1:2" x14ac:dyDescent="0.2">
      <c r="A3095"/>
      <c r="B3095"/>
    </row>
    <row r="3096" spans="1:2" x14ac:dyDescent="0.2">
      <c r="A3096"/>
      <c r="B3096"/>
    </row>
    <row r="3097" spans="1:2" x14ac:dyDescent="0.2">
      <c r="A3097"/>
      <c r="B3097"/>
    </row>
    <row r="3098" spans="1:2" x14ac:dyDescent="0.2">
      <c r="A3098"/>
      <c r="B3098"/>
    </row>
    <row r="3099" spans="1:2" x14ac:dyDescent="0.2">
      <c r="A3099"/>
      <c r="B3099"/>
    </row>
    <row r="3100" spans="1:2" x14ac:dyDescent="0.2">
      <c r="A3100"/>
      <c r="B3100"/>
    </row>
    <row r="3101" spans="1:2" x14ac:dyDescent="0.2">
      <c r="A3101"/>
      <c r="B3101"/>
    </row>
    <row r="3102" spans="1:2" x14ac:dyDescent="0.2">
      <c r="A3102"/>
      <c r="B3102"/>
    </row>
    <row r="3103" spans="1:2" x14ac:dyDescent="0.2">
      <c r="A3103"/>
      <c r="B3103"/>
    </row>
    <row r="3104" spans="1:2" x14ac:dyDescent="0.2">
      <c r="A3104"/>
      <c r="B3104"/>
    </row>
    <row r="3105" spans="1:2" x14ac:dyDescent="0.2">
      <c r="A3105"/>
      <c r="B3105"/>
    </row>
    <row r="3106" spans="1:2" x14ac:dyDescent="0.2">
      <c r="A3106"/>
      <c r="B3106"/>
    </row>
    <row r="3107" spans="1:2" x14ac:dyDescent="0.2">
      <c r="A3107"/>
      <c r="B3107"/>
    </row>
    <row r="3108" spans="1:2" x14ac:dyDescent="0.2">
      <c r="A3108"/>
      <c r="B3108"/>
    </row>
    <row r="3109" spans="1:2" x14ac:dyDescent="0.2">
      <c r="A3109"/>
      <c r="B3109"/>
    </row>
    <row r="3110" spans="1:2" x14ac:dyDescent="0.2">
      <c r="A3110"/>
      <c r="B3110"/>
    </row>
    <row r="3111" spans="1:2" x14ac:dyDescent="0.2">
      <c r="A3111"/>
      <c r="B3111"/>
    </row>
    <row r="3112" spans="1:2" x14ac:dyDescent="0.2">
      <c r="A3112"/>
      <c r="B3112"/>
    </row>
    <row r="3113" spans="1:2" x14ac:dyDescent="0.2">
      <c r="A3113"/>
      <c r="B3113"/>
    </row>
    <row r="3114" spans="1:2" x14ac:dyDescent="0.2">
      <c r="A3114"/>
      <c r="B3114"/>
    </row>
    <row r="3115" spans="1:2" x14ac:dyDescent="0.2">
      <c r="A3115"/>
      <c r="B3115"/>
    </row>
    <row r="3116" spans="1:2" x14ac:dyDescent="0.2">
      <c r="A3116"/>
      <c r="B3116"/>
    </row>
    <row r="3117" spans="1:2" x14ac:dyDescent="0.2">
      <c r="A3117"/>
      <c r="B3117"/>
    </row>
    <row r="3118" spans="1:2" x14ac:dyDescent="0.2">
      <c r="A3118"/>
      <c r="B3118"/>
    </row>
    <row r="3119" spans="1:2" x14ac:dyDescent="0.2">
      <c r="A3119"/>
      <c r="B3119"/>
    </row>
    <row r="3120" spans="1:2" x14ac:dyDescent="0.2">
      <c r="A3120"/>
      <c r="B3120"/>
    </row>
    <row r="3121" spans="1:2" x14ac:dyDescent="0.2">
      <c r="A3121"/>
      <c r="B3121"/>
    </row>
    <row r="3122" spans="1:2" x14ac:dyDescent="0.2">
      <c r="A3122"/>
      <c r="B3122"/>
    </row>
    <row r="3123" spans="1:2" x14ac:dyDescent="0.2">
      <c r="A3123"/>
      <c r="B3123"/>
    </row>
    <row r="3124" spans="1:2" x14ac:dyDescent="0.2">
      <c r="A3124"/>
      <c r="B3124"/>
    </row>
    <row r="3125" spans="1:2" x14ac:dyDescent="0.2">
      <c r="A3125"/>
      <c r="B3125"/>
    </row>
    <row r="3126" spans="1:2" x14ac:dyDescent="0.2">
      <c r="A3126"/>
      <c r="B3126"/>
    </row>
    <row r="3127" spans="1:2" x14ac:dyDescent="0.2">
      <c r="A3127"/>
      <c r="B3127"/>
    </row>
    <row r="3128" spans="1:2" x14ac:dyDescent="0.2">
      <c r="A3128"/>
      <c r="B3128"/>
    </row>
    <row r="3129" spans="1:2" x14ac:dyDescent="0.2">
      <c r="A3129"/>
      <c r="B3129"/>
    </row>
    <row r="3130" spans="1:2" x14ac:dyDescent="0.2">
      <c r="A3130"/>
      <c r="B3130"/>
    </row>
    <row r="3131" spans="1:2" x14ac:dyDescent="0.2">
      <c r="A3131"/>
      <c r="B3131"/>
    </row>
    <row r="3132" spans="1:2" x14ac:dyDescent="0.2">
      <c r="A3132"/>
      <c r="B3132"/>
    </row>
    <row r="3133" spans="1:2" x14ac:dyDescent="0.2">
      <c r="A3133"/>
      <c r="B3133"/>
    </row>
    <row r="3134" spans="1:2" x14ac:dyDescent="0.2">
      <c r="A3134"/>
      <c r="B3134"/>
    </row>
    <row r="3135" spans="1:2" x14ac:dyDescent="0.2">
      <c r="A3135"/>
      <c r="B3135"/>
    </row>
    <row r="3136" spans="1:2" x14ac:dyDescent="0.2">
      <c r="A3136"/>
      <c r="B3136"/>
    </row>
    <row r="3137" spans="1:2" x14ac:dyDescent="0.2">
      <c r="A3137"/>
      <c r="B3137"/>
    </row>
    <row r="3138" spans="1:2" x14ac:dyDescent="0.2">
      <c r="A3138"/>
      <c r="B3138"/>
    </row>
    <row r="3139" spans="1:2" x14ac:dyDescent="0.2">
      <c r="A3139"/>
      <c r="B3139"/>
    </row>
    <row r="3140" spans="1:2" x14ac:dyDescent="0.2">
      <c r="A3140"/>
      <c r="B3140"/>
    </row>
    <row r="3141" spans="1:2" x14ac:dyDescent="0.2">
      <c r="A3141"/>
      <c r="B3141"/>
    </row>
    <row r="3142" spans="1:2" x14ac:dyDescent="0.2">
      <c r="A3142"/>
      <c r="B3142"/>
    </row>
    <row r="3143" spans="1:2" x14ac:dyDescent="0.2">
      <c r="A3143"/>
      <c r="B3143"/>
    </row>
    <row r="3144" spans="1:2" x14ac:dyDescent="0.2">
      <c r="A3144"/>
      <c r="B3144"/>
    </row>
    <row r="3145" spans="1:2" x14ac:dyDescent="0.2">
      <c r="A3145"/>
      <c r="B3145"/>
    </row>
    <row r="3146" spans="1:2" x14ac:dyDescent="0.2">
      <c r="A3146"/>
      <c r="B3146"/>
    </row>
    <row r="3147" spans="1:2" x14ac:dyDescent="0.2">
      <c r="A3147"/>
      <c r="B3147"/>
    </row>
    <row r="3148" spans="1:2" x14ac:dyDescent="0.2">
      <c r="A3148"/>
      <c r="B3148"/>
    </row>
    <row r="3149" spans="1:2" x14ac:dyDescent="0.2">
      <c r="A3149"/>
      <c r="B3149"/>
    </row>
    <row r="3150" spans="1:2" x14ac:dyDescent="0.2">
      <c r="A3150"/>
      <c r="B3150"/>
    </row>
    <row r="3151" spans="1:2" x14ac:dyDescent="0.2">
      <c r="A3151"/>
      <c r="B3151"/>
    </row>
    <row r="3152" spans="1:2" x14ac:dyDescent="0.2">
      <c r="A3152"/>
      <c r="B3152"/>
    </row>
    <row r="3153" spans="1:2" x14ac:dyDescent="0.2">
      <c r="A3153"/>
      <c r="B3153"/>
    </row>
    <row r="3154" spans="1:2" x14ac:dyDescent="0.2">
      <c r="A3154"/>
      <c r="B3154"/>
    </row>
    <row r="3155" spans="1:2" x14ac:dyDescent="0.2">
      <c r="A3155"/>
      <c r="B3155"/>
    </row>
    <row r="3156" spans="1:2" x14ac:dyDescent="0.2">
      <c r="A3156"/>
      <c r="B3156"/>
    </row>
    <row r="3157" spans="1:2" x14ac:dyDescent="0.2">
      <c r="A3157"/>
      <c r="B3157"/>
    </row>
    <row r="3158" spans="1:2" x14ac:dyDescent="0.2">
      <c r="A3158"/>
      <c r="B3158"/>
    </row>
    <row r="3159" spans="1:2" x14ac:dyDescent="0.2">
      <c r="A3159"/>
      <c r="B3159"/>
    </row>
    <row r="3160" spans="1:2" x14ac:dyDescent="0.2">
      <c r="A3160"/>
      <c r="B3160"/>
    </row>
    <row r="3161" spans="1:2" x14ac:dyDescent="0.2">
      <c r="A3161"/>
      <c r="B3161"/>
    </row>
    <row r="3162" spans="1:2" x14ac:dyDescent="0.2">
      <c r="A3162"/>
      <c r="B3162"/>
    </row>
    <row r="3163" spans="1:2" x14ac:dyDescent="0.2">
      <c r="A3163"/>
      <c r="B3163"/>
    </row>
    <row r="3164" spans="1:2" x14ac:dyDescent="0.2">
      <c r="A3164"/>
      <c r="B3164"/>
    </row>
    <row r="3165" spans="1:2" x14ac:dyDescent="0.2">
      <c r="A3165"/>
      <c r="B3165"/>
    </row>
    <row r="3166" spans="1:2" x14ac:dyDescent="0.2">
      <c r="A3166"/>
      <c r="B3166"/>
    </row>
    <row r="3167" spans="1:2" x14ac:dyDescent="0.2">
      <c r="A3167"/>
      <c r="B3167"/>
    </row>
    <row r="3168" spans="1:2" x14ac:dyDescent="0.2">
      <c r="A3168"/>
      <c r="B3168"/>
    </row>
    <row r="3169" spans="1:2" x14ac:dyDescent="0.2">
      <c r="A3169"/>
      <c r="B3169"/>
    </row>
    <row r="3170" spans="1:2" x14ac:dyDescent="0.2">
      <c r="A3170"/>
      <c r="B3170"/>
    </row>
    <row r="3171" spans="1:2" x14ac:dyDescent="0.2">
      <c r="A3171"/>
      <c r="B3171"/>
    </row>
    <row r="3172" spans="1:2" x14ac:dyDescent="0.2">
      <c r="A3172"/>
      <c r="B3172"/>
    </row>
    <row r="3173" spans="1:2" x14ac:dyDescent="0.2">
      <c r="A3173"/>
      <c r="B3173"/>
    </row>
    <row r="3174" spans="1:2" x14ac:dyDescent="0.2">
      <c r="A3174"/>
      <c r="B3174"/>
    </row>
    <row r="3175" spans="1:2" x14ac:dyDescent="0.2">
      <c r="A3175"/>
      <c r="B3175"/>
    </row>
    <row r="3176" spans="1:2" x14ac:dyDescent="0.2">
      <c r="A3176"/>
      <c r="B3176"/>
    </row>
    <row r="3177" spans="1:2" x14ac:dyDescent="0.2">
      <c r="A3177"/>
      <c r="B3177"/>
    </row>
    <row r="3178" spans="1:2" x14ac:dyDescent="0.2">
      <c r="A3178"/>
      <c r="B3178"/>
    </row>
    <row r="3179" spans="1:2" x14ac:dyDescent="0.2">
      <c r="A3179"/>
      <c r="B3179"/>
    </row>
    <row r="3180" spans="1:2" x14ac:dyDescent="0.2">
      <c r="A3180"/>
      <c r="B3180"/>
    </row>
    <row r="3181" spans="1:2" x14ac:dyDescent="0.2">
      <c r="A3181"/>
      <c r="B3181"/>
    </row>
    <row r="3182" spans="1:2" x14ac:dyDescent="0.2">
      <c r="A3182"/>
      <c r="B3182"/>
    </row>
    <row r="3183" spans="1:2" x14ac:dyDescent="0.2">
      <c r="A3183"/>
      <c r="B3183"/>
    </row>
    <row r="3184" spans="1:2" x14ac:dyDescent="0.2">
      <c r="A3184"/>
      <c r="B3184"/>
    </row>
    <row r="3185" spans="1:2" x14ac:dyDescent="0.2">
      <c r="A3185"/>
      <c r="B3185"/>
    </row>
    <row r="3186" spans="1:2" x14ac:dyDescent="0.2">
      <c r="A3186"/>
      <c r="B3186"/>
    </row>
    <row r="3187" spans="1:2" x14ac:dyDescent="0.2">
      <c r="A3187"/>
      <c r="B3187"/>
    </row>
    <row r="3188" spans="1:2" x14ac:dyDescent="0.2">
      <c r="A3188"/>
      <c r="B3188"/>
    </row>
    <row r="3189" spans="1:2" x14ac:dyDescent="0.2">
      <c r="A3189"/>
      <c r="B3189"/>
    </row>
    <row r="3190" spans="1:2" x14ac:dyDescent="0.2">
      <c r="A3190"/>
      <c r="B3190"/>
    </row>
    <row r="3191" spans="1:2" x14ac:dyDescent="0.2">
      <c r="A3191"/>
      <c r="B3191"/>
    </row>
    <row r="3192" spans="1:2" x14ac:dyDescent="0.2">
      <c r="A3192"/>
      <c r="B3192"/>
    </row>
    <row r="3193" spans="1:2" x14ac:dyDescent="0.2">
      <c r="A3193"/>
      <c r="B3193"/>
    </row>
    <row r="3194" spans="1:2" x14ac:dyDescent="0.2">
      <c r="A3194"/>
      <c r="B3194"/>
    </row>
    <row r="3195" spans="1:2" x14ac:dyDescent="0.2">
      <c r="A3195"/>
      <c r="B3195"/>
    </row>
    <row r="3196" spans="1:2" x14ac:dyDescent="0.2">
      <c r="A3196"/>
      <c r="B3196"/>
    </row>
    <row r="3197" spans="1:2" x14ac:dyDescent="0.2">
      <c r="A3197"/>
      <c r="B3197"/>
    </row>
    <row r="3198" spans="1:2" x14ac:dyDescent="0.2">
      <c r="A3198"/>
      <c r="B3198"/>
    </row>
    <row r="3199" spans="1:2" x14ac:dyDescent="0.2">
      <c r="A3199"/>
      <c r="B3199"/>
    </row>
    <row r="3200" spans="1:2" x14ac:dyDescent="0.2">
      <c r="A3200"/>
      <c r="B3200"/>
    </row>
    <row r="3201" spans="1:2" x14ac:dyDescent="0.2">
      <c r="A3201"/>
      <c r="B3201"/>
    </row>
    <row r="3202" spans="1:2" x14ac:dyDescent="0.2">
      <c r="A3202"/>
      <c r="B3202"/>
    </row>
    <row r="3203" spans="1:2" x14ac:dyDescent="0.2">
      <c r="A3203"/>
      <c r="B3203"/>
    </row>
    <row r="3204" spans="1:2" x14ac:dyDescent="0.2">
      <c r="A3204"/>
      <c r="B3204"/>
    </row>
    <row r="3205" spans="1:2" x14ac:dyDescent="0.2">
      <c r="A3205"/>
      <c r="B3205"/>
    </row>
    <row r="3206" spans="1:2" x14ac:dyDescent="0.2">
      <c r="A3206"/>
      <c r="B3206"/>
    </row>
    <row r="3207" spans="1:2" x14ac:dyDescent="0.2">
      <c r="A3207"/>
      <c r="B3207"/>
    </row>
    <row r="3208" spans="1:2" x14ac:dyDescent="0.2">
      <c r="A3208"/>
      <c r="B3208"/>
    </row>
    <row r="3209" spans="1:2" x14ac:dyDescent="0.2">
      <c r="A3209"/>
      <c r="B3209"/>
    </row>
    <row r="3210" spans="1:2" x14ac:dyDescent="0.2">
      <c r="A3210"/>
      <c r="B3210"/>
    </row>
    <row r="3211" spans="1:2" x14ac:dyDescent="0.2">
      <c r="A3211"/>
      <c r="B3211"/>
    </row>
    <row r="3212" spans="1:2" x14ac:dyDescent="0.2">
      <c r="A3212"/>
      <c r="B3212"/>
    </row>
    <row r="3213" spans="1:2" x14ac:dyDescent="0.2">
      <c r="A3213"/>
      <c r="B3213"/>
    </row>
    <row r="3214" spans="1:2" x14ac:dyDescent="0.2">
      <c r="A3214"/>
      <c r="B3214"/>
    </row>
    <row r="3215" spans="1:2" x14ac:dyDescent="0.2">
      <c r="A3215"/>
      <c r="B3215"/>
    </row>
    <row r="3216" spans="1:2" x14ac:dyDescent="0.2">
      <c r="A3216"/>
      <c r="B3216"/>
    </row>
    <row r="3217" spans="1:2" x14ac:dyDescent="0.2">
      <c r="A3217"/>
      <c r="B3217"/>
    </row>
    <row r="3218" spans="1:2" x14ac:dyDescent="0.2">
      <c r="A3218"/>
      <c r="B3218"/>
    </row>
    <row r="3219" spans="1:2" x14ac:dyDescent="0.2">
      <c r="A3219"/>
      <c r="B3219"/>
    </row>
    <row r="3220" spans="1:2" x14ac:dyDescent="0.2">
      <c r="A3220"/>
      <c r="B3220"/>
    </row>
    <row r="3221" spans="1:2" x14ac:dyDescent="0.2">
      <c r="A3221"/>
      <c r="B3221"/>
    </row>
    <row r="3222" spans="1:2" x14ac:dyDescent="0.2">
      <c r="A3222"/>
      <c r="B3222"/>
    </row>
    <row r="3223" spans="1:2" x14ac:dyDescent="0.2">
      <c r="A3223"/>
      <c r="B3223"/>
    </row>
    <row r="3224" spans="1:2" x14ac:dyDescent="0.2">
      <c r="A3224"/>
      <c r="B3224"/>
    </row>
    <row r="3225" spans="1:2" x14ac:dyDescent="0.2">
      <c r="A3225"/>
      <c r="B3225"/>
    </row>
    <row r="3226" spans="1:2" x14ac:dyDescent="0.2">
      <c r="A3226"/>
      <c r="B3226"/>
    </row>
    <row r="3227" spans="1:2" x14ac:dyDescent="0.2">
      <c r="A3227"/>
      <c r="B3227"/>
    </row>
    <row r="3228" spans="1:2" x14ac:dyDescent="0.2">
      <c r="A3228"/>
      <c r="B3228"/>
    </row>
    <row r="3229" spans="1:2" x14ac:dyDescent="0.2">
      <c r="A3229"/>
      <c r="B3229"/>
    </row>
    <row r="3230" spans="1:2" x14ac:dyDescent="0.2">
      <c r="A3230"/>
      <c r="B3230"/>
    </row>
    <row r="3231" spans="1:2" x14ac:dyDescent="0.2">
      <c r="A3231"/>
      <c r="B3231"/>
    </row>
    <row r="3232" spans="1:2" x14ac:dyDescent="0.2">
      <c r="A3232"/>
      <c r="B3232"/>
    </row>
    <row r="3233" spans="1:2" x14ac:dyDescent="0.2">
      <c r="A3233"/>
      <c r="B3233"/>
    </row>
    <row r="3234" spans="1:2" x14ac:dyDescent="0.2">
      <c r="A3234"/>
      <c r="B3234"/>
    </row>
    <row r="3235" spans="1:2" x14ac:dyDescent="0.2">
      <c r="A3235"/>
      <c r="B3235"/>
    </row>
    <row r="3236" spans="1:2" x14ac:dyDescent="0.2">
      <c r="A3236"/>
      <c r="B3236"/>
    </row>
    <row r="3237" spans="1:2" x14ac:dyDescent="0.2">
      <c r="A3237"/>
      <c r="B3237"/>
    </row>
    <row r="3238" spans="1:2" x14ac:dyDescent="0.2">
      <c r="A3238"/>
      <c r="B3238"/>
    </row>
    <row r="3239" spans="1:2" x14ac:dyDescent="0.2">
      <c r="A3239"/>
      <c r="B3239"/>
    </row>
    <row r="3240" spans="1:2" x14ac:dyDescent="0.2">
      <c r="A3240"/>
      <c r="B3240"/>
    </row>
    <row r="3241" spans="1:2" x14ac:dyDescent="0.2">
      <c r="A3241"/>
      <c r="B3241"/>
    </row>
    <row r="3242" spans="1:2" x14ac:dyDescent="0.2">
      <c r="A3242"/>
      <c r="B3242"/>
    </row>
    <row r="3243" spans="1:2" x14ac:dyDescent="0.2">
      <c r="A3243"/>
      <c r="B3243"/>
    </row>
    <row r="3244" spans="1:2" x14ac:dyDescent="0.2">
      <c r="A3244"/>
      <c r="B3244"/>
    </row>
    <row r="3245" spans="1:2" x14ac:dyDescent="0.2">
      <c r="A3245"/>
      <c r="B3245"/>
    </row>
    <row r="3246" spans="1:2" x14ac:dyDescent="0.2">
      <c r="A3246"/>
      <c r="B3246"/>
    </row>
    <row r="3247" spans="1:2" x14ac:dyDescent="0.2">
      <c r="A3247"/>
      <c r="B3247"/>
    </row>
    <row r="3248" spans="1:2" x14ac:dyDescent="0.2">
      <c r="A3248"/>
      <c r="B3248"/>
    </row>
    <row r="3249" spans="1:2" x14ac:dyDescent="0.2">
      <c r="A3249"/>
      <c r="B3249"/>
    </row>
    <row r="3250" spans="1:2" x14ac:dyDescent="0.2">
      <c r="A3250"/>
      <c r="B3250"/>
    </row>
    <row r="3251" spans="1:2" x14ac:dyDescent="0.2">
      <c r="A3251"/>
      <c r="B3251"/>
    </row>
    <row r="3252" spans="1:2" x14ac:dyDescent="0.2">
      <c r="A3252"/>
      <c r="B3252"/>
    </row>
    <row r="3253" spans="1:2" x14ac:dyDescent="0.2">
      <c r="A3253"/>
      <c r="B3253"/>
    </row>
    <row r="3254" spans="1:2" x14ac:dyDescent="0.2">
      <c r="A3254"/>
      <c r="B3254"/>
    </row>
    <row r="3255" spans="1:2" x14ac:dyDescent="0.2">
      <c r="A3255"/>
      <c r="B3255"/>
    </row>
    <row r="3256" spans="1:2" x14ac:dyDescent="0.2">
      <c r="A3256"/>
      <c r="B3256"/>
    </row>
    <row r="3257" spans="1:2" x14ac:dyDescent="0.2">
      <c r="A3257"/>
      <c r="B3257"/>
    </row>
    <row r="3258" spans="1:2" x14ac:dyDescent="0.2">
      <c r="A3258"/>
      <c r="B3258"/>
    </row>
    <row r="3259" spans="1:2" x14ac:dyDescent="0.2">
      <c r="A3259"/>
      <c r="B3259"/>
    </row>
    <row r="3260" spans="1:2" x14ac:dyDescent="0.2">
      <c r="A3260"/>
      <c r="B3260"/>
    </row>
    <row r="3261" spans="1:2" x14ac:dyDescent="0.2">
      <c r="A3261"/>
      <c r="B3261"/>
    </row>
    <row r="3262" spans="1:2" x14ac:dyDescent="0.2">
      <c r="A3262"/>
      <c r="B3262"/>
    </row>
    <row r="3263" spans="1:2" x14ac:dyDescent="0.2">
      <c r="A3263"/>
      <c r="B3263"/>
    </row>
    <row r="3264" spans="1:2" x14ac:dyDescent="0.2">
      <c r="A3264"/>
      <c r="B3264"/>
    </row>
    <row r="3265" spans="1:2" x14ac:dyDescent="0.2">
      <c r="A3265"/>
      <c r="B3265"/>
    </row>
    <row r="3266" spans="1:2" x14ac:dyDescent="0.2">
      <c r="A3266"/>
      <c r="B3266"/>
    </row>
    <row r="3267" spans="1:2" x14ac:dyDescent="0.2">
      <c r="A3267"/>
      <c r="B3267"/>
    </row>
    <row r="3268" spans="1:2" x14ac:dyDescent="0.2">
      <c r="A3268"/>
      <c r="B3268"/>
    </row>
    <row r="3269" spans="1:2" x14ac:dyDescent="0.2">
      <c r="A3269"/>
      <c r="B3269"/>
    </row>
    <row r="3270" spans="1:2" x14ac:dyDescent="0.2">
      <c r="A3270"/>
      <c r="B3270"/>
    </row>
    <row r="3271" spans="1:2" x14ac:dyDescent="0.2">
      <c r="A3271"/>
      <c r="B3271"/>
    </row>
    <row r="3272" spans="1:2" x14ac:dyDescent="0.2">
      <c r="A3272"/>
      <c r="B3272"/>
    </row>
    <row r="3273" spans="1:2" x14ac:dyDescent="0.2">
      <c r="A3273"/>
      <c r="B3273"/>
    </row>
    <row r="3274" spans="1:2" x14ac:dyDescent="0.2">
      <c r="A3274"/>
      <c r="B3274"/>
    </row>
    <row r="3275" spans="1:2" x14ac:dyDescent="0.2">
      <c r="A3275"/>
      <c r="B3275"/>
    </row>
    <row r="3276" spans="1:2" x14ac:dyDescent="0.2">
      <c r="A3276"/>
      <c r="B3276"/>
    </row>
    <row r="3277" spans="1:2" x14ac:dyDescent="0.2">
      <c r="A3277"/>
      <c r="B3277"/>
    </row>
    <row r="3278" spans="1:2" x14ac:dyDescent="0.2">
      <c r="A3278"/>
      <c r="B3278"/>
    </row>
    <row r="3279" spans="1:2" x14ac:dyDescent="0.2">
      <c r="A3279"/>
      <c r="B3279"/>
    </row>
    <row r="3280" spans="1:2" x14ac:dyDescent="0.2">
      <c r="A3280"/>
      <c r="B3280"/>
    </row>
    <row r="3281" spans="1:2" x14ac:dyDescent="0.2">
      <c r="A3281"/>
      <c r="B3281"/>
    </row>
    <row r="3282" spans="1:2" x14ac:dyDescent="0.2">
      <c r="A3282"/>
      <c r="B3282"/>
    </row>
    <row r="3283" spans="1:2" x14ac:dyDescent="0.2">
      <c r="A3283"/>
      <c r="B3283"/>
    </row>
    <row r="3284" spans="1:2" x14ac:dyDescent="0.2">
      <c r="A3284"/>
      <c r="B3284"/>
    </row>
    <row r="3285" spans="1:2" x14ac:dyDescent="0.2">
      <c r="A3285"/>
      <c r="B3285"/>
    </row>
    <row r="3286" spans="1:2" x14ac:dyDescent="0.2">
      <c r="A3286"/>
      <c r="B3286"/>
    </row>
    <row r="3287" spans="1:2" x14ac:dyDescent="0.2">
      <c r="A3287"/>
      <c r="B3287"/>
    </row>
    <row r="3288" spans="1:2" x14ac:dyDescent="0.2">
      <c r="A3288"/>
      <c r="B3288"/>
    </row>
    <row r="3289" spans="1:2" x14ac:dyDescent="0.2">
      <c r="A3289"/>
      <c r="B3289"/>
    </row>
    <row r="3290" spans="1:2" x14ac:dyDescent="0.2">
      <c r="A3290"/>
      <c r="B3290"/>
    </row>
    <row r="3291" spans="1:2" x14ac:dyDescent="0.2">
      <c r="A3291"/>
      <c r="B3291"/>
    </row>
    <row r="3292" spans="1:2" x14ac:dyDescent="0.2">
      <c r="A3292"/>
      <c r="B3292"/>
    </row>
    <row r="3293" spans="1:2" x14ac:dyDescent="0.2">
      <c r="A3293"/>
      <c r="B3293"/>
    </row>
    <row r="3294" spans="1:2" x14ac:dyDescent="0.2">
      <c r="A3294"/>
      <c r="B3294"/>
    </row>
    <row r="3295" spans="1:2" x14ac:dyDescent="0.2">
      <c r="A3295"/>
      <c r="B3295"/>
    </row>
    <row r="3296" spans="1:2" x14ac:dyDescent="0.2">
      <c r="A3296"/>
      <c r="B3296"/>
    </row>
    <row r="3297" spans="1:2" x14ac:dyDescent="0.2">
      <c r="A3297"/>
      <c r="B3297"/>
    </row>
    <row r="3298" spans="1:2" x14ac:dyDescent="0.2">
      <c r="A3298"/>
      <c r="B3298"/>
    </row>
    <row r="3299" spans="1:2" x14ac:dyDescent="0.2">
      <c r="A3299"/>
      <c r="B3299"/>
    </row>
    <row r="3300" spans="1:2" x14ac:dyDescent="0.2">
      <c r="A3300"/>
      <c r="B3300"/>
    </row>
    <row r="3301" spans="1:2" x14ac:dyDescent="0.2">
      <c r="A3301"/>
      <c r="B3301"/>
    </row>
    <row r="3302" spans="1:2" x14ac:dyDescent="0.2">
      <c r="A3302"/>
      <c r="B3302"/>
    </row>
    <row r="3303" spans="1:2" x14ac:dyDescent="0.2">
      <c r="A3303"/>
      <c r="B3303"/>
    </row>
    <row r="3304" spans="1:2" x14ac:dyDescent="0.2">
      <c r="A3304"/>
      <c r="B3304"/>
    </row>
    <row r="3305" spans="1:2" x14ac:dyDescent="0.2">
      <c r="A3305"/>
      <c r="B3305"/>
    </row>
    <row r="3306" spans="1:2" x14ac:dyDescent="0.2">
      <c r="A3306"/>
      <c r="B3306"/>
    </row>
    <row r="3307" spans="1:2" x14ac:dyDescent="0.2">
      <c r="A3307"/>
      <c r="B3307"/>
    </row>
    <row r="3308" spans="1:2" x14ac:dyDescent="0.2">
      <c r="A3308"/>
      <c r="B3308"/>
    </row>
    <row r="3309" spans="1:2" x14ac:dyDescent="0.2">
      <c r="A3309"/>
      <c r="B3309"/>
    </row>
    <row r="3310" spans="1:2" x14ac:dyDescent="0.2">
      <c r="A3310"/>
      <c r="B3310"/>
    </row>
    <row r="3311" spans="1:2" x14ac:dyDescent="0.2">
      <c r="A3311"/>
      <c r="B3311"/>
    </row>
    <row r="3312" spans="1:2" x14ac:dyDescent="0.2">
      <c r="A3312"/>
      <c r="B3312"/>
    </row>
    <row r="3313" spans="1:2" x14ac:dyDescent="0.2">
      <c r="A3313"/>
      <c r="B3313"/>
    </row>
    <row r="3314" spans="1:2" x14ac:dyDescent="0.2">
      <c r="A3314"/>
      <c r="B3314"/>
    </row>
    <row r="3315" spans="1:2" x14ac:dyDescent="0.2">
      <c r="A3315"/>
      <c r="B3315"/>
    </row>
    <row r="3316" spans="1:2" x14ac:dyDescent="0.2">
      <c r="A3316"/>
      <c r="B3316"/>
    </row>
    <row r="3317" spans="1:2" x14ac:dyDescent="0.2">
      <c r="A3317"/>
      <c r="B3317"/>
    </row>
    <row r="3318" spans="1:2" x14ac:dyDescent="0.2">
      <c r="A3318"/>
      <c r="B3318"/>
    </row>
    <row r="3319" spans="1:2" x14ac:dyDescent="0.2">
      <c r="A3319"/>
      <c r="B3319"/>
    </row>
    <row r="3320" spans="1:2" x14ac:dyDescent="0.2">
      <c r="A3320"/>
      <c r="B3320"/>
    </row>
    <row r="3321" spans="1:2" x14ac:dyDescent="0.2">
      <c r="A3321"/>
      <c r="B3321"/>
    </row>
    <row r="3322" spans="1:2" x14ac:dyDescent="0.2">
      <c r="A3322"/>
      <c r="B3322"/>
    </row>
    <row r="3323" spans="1:2" x14ac:dyDescent="0.2">
      <c r="A3323"/>
      <c r="B3323"/>
    </row>
    <row r="3324" spans="1:2" x14ac:dyDescent="0.2">
      <c r="A3324"/>
      <c r="B3324"/>
    </row>
    <row r="3325" spans="1:2" x14ac:dyDescent="0.2">
      <c r="A3325"/>
      <c r="B3325"/>
    </row>
    <row r="3326" spans="1:2" x14ac:dyDescent="0.2">
      <c r="A3326"/>
      <c r="B3326"/>
    </row>
    <row r="3327" spans="1:2" x14ac:dyDescent="0.2">
      <c r="A3327"/>
      <c r="B3327"/>
    </row>
    <row r="3328" spans="1:2" x14ac:dyDescent="0.2">
      <c r="A3328"/>
      <c r="B3328"/>
    </row>
    <row r="3329" spans="1:2" x14ac:dyDescent="0.2">
      <c r="A3329"/>
      <c r="B3329"/>
    </row>
    <row r="3330" spans="1:2" x14ac:dyDescent="0.2">
      <c r="A3330"/>
      <c r="B3330"/>
    </row>
    <row r="3331" spans="1:2" x14ac:dyDescent="0.2">
      <c r="A3331"/>
      <c r="B3331"/>
    </row>
    <row r="3332" spans="1:2" x14ac:dyDescent="0.2">
      <c r="A3332"/>
      <c r="B3332"/>
    </row>
    <row r="3333" spans="1:2" x14ac:dyDescent="0.2">
      <c r="A3333"/>
      <c r="B3333"/>
    </row>
    <row r="3334" spans="1:2" x14ac:dyDescent="0.2">
      <c r="A3334"/>
      <c r="B3334"/>
    </row>
    <row r="3335" spans="1:2" x14ac:dyDescent="0.2">
      <c r="A3335"/>
      <c r="B3335"/>
    </row>
    <row r="3336" spans="1:2" x14ac:dyDescent="0.2">
      <c r="A3336"/>
      <c r="B3336"/>
    </row>
    <row r="3337" spans="1:2" x14ac:dyDescent="0.2">
      <c r="A3337"/>
      <c r="B3337"/>
    </row>
    <row r="3338" spans="1:2" x14ac:dyDescent="0.2">
      <c r="A3338"/>
      <c r="B3338"/>
    </row>
    <row r="3339" spans="1:2" x14ac:dyDescent="0.2">
      <c r="A3339"/>
      <c r="B3339"/>
    </row>
    <row r="3340" spans="1:2" x14ac:dyDescent="0.2">
      <c r="A3340"/>
      <c r="B3340"/>
    </row>
    <row r="3341" spans="1:2" x14ac:dyDescent="0.2">
      <c r="A3341"/>
      <c r="B3341"/>
    </row>
    <row r="3342" spans="1:2" x14ac:dyDescent="0.2">
      <c r="A3342"/>
      <c r="B3342"/>
    </row>
    <row r="3343" spans="1:2" x14ac:dyDescent="0.2">
      <c r="A3343"/>
      <c r="B3343"/>
    </row>
    <row r="3344" spans="1:2" x14ac:dyDescent="0.2">
      <c r="A3344"/>
      <c r="B3344"/>
    </row>
    <row r="3345" spans="1:2" x14ac:dyDescent="0.2">
      <c r="A3345"/>
      <c r="B3345"/>
    </row>
    <row r="3346" spans="1:2" x14ac:dyDescent="0.2">
      <c r="A3346"/>
      <c r="B3346"/>
    </row>
    <row r="3347" spans="1:2" x14ac:dyDescent="0.2">
      <c r="A3347"/>
      <c r="B3347"/>
    </row>
    <row r="3348" spans="1:2" x14ac:dyDescent="0.2">
      <c r="A3348"/>
      <c r="B3348"/>
    </row>
    <row r="3349" spans="1:2" x14ac:dyDescent="0.2">
      <c r="A3349"/>
      <c r="B3349"/>
    </row>
    <row r="3350" spans="1:2" x14ac:dyDescent="0.2">
      <c r="A3350"/>
      <c r="B3350"/>
    </row>
    <row r="3351" spans="1:2" x14ac:dyDescent="0.2">
      <c r="A3351"/>
      <c r="B3351"/>
    </row>
    <row r="3352" spans="1:2" x14ac:dyDescent="0.2">
      <c r="A3352"/>
      <c r="B3352"/>
    </row>
    <row r="3353" spans="1:2" x14ac:dyDescent="0.2">
      <c r="A3353"/>
      <c r="B3353"/>
    </row>
    <row r="3354" spans="1:2" x14ac:dyDescent="0.2">
      <c r="A3354"/>
      <c r="B3354"/>
    </row>
    <row r="3355" spans="1:2" x14ac:dyDescent="0.2">
      <c r="A3355"/>
      <c r="B3355"/>
    </row>
    <row r="3356" spans="1:2" x14ac:dyDescent="0.2">
      <c r="A3356"/>
      <c r="B3356"/>
    </row>
    <row r="3357" spans="1:2" x14ac:dyDescent="0.2">
      <c r="A3357"/>
      <c r="B3357"/>
    </row>
    <row r="3358" spans="1:2" x14ac:dyDescent="0.2">
      <c r="A3358"/>
      <c r="B3358"/>
    </row>
    <row r="3359" spans="1:2" x14ac:dyDescent="0.2">
      <c r="A3359"/>
      <c r="B3359"/>
    </row>
    <row r="3360" spans="1:2" x14ac:dyDescent="0.2">
      <c r="A3360"/>
      <c r="B3360"/>
    </row>
    <row r="3361" spans="1:2" x14ac:dyDescent="0.2">
      <c r="A3361"/>
      <c r="B3361"/>
    </row>
    <row r="3362" spans="1:2" x14ac:dyDescent="0.2">
      <c r="A3362"/>
      <c r="B3362"/>
    </row>
    <row r="3363" spans="1:2" x14ac:dyDescent="0.2">
      <c r="A3363"/>
      <c r="B3363"/>
    </row>
    <row r="3364" spans="1:2" x14ac:dyDescent="0.2">
      <c r="A3364"/>
      <c r="B3364"/>
    </row>
    <row r="3365" spans="1:2" x14ac:dyDescent="0.2">
      <c r="A3365"/>
      <c r="B3365"/>
    </row>
    <row r="3366" spans="1:2" x14ac:dyDescent="0.2">
      <c r="A3366"/>
      <c r="B3366"/>
    </row>
    <row r="3367" spans="1:2" x14ac:dyDescent="0.2">
      <c r="A3367"/>
      <c r="B3367"/>
    </row>
    <row r="3368" spans="1:2" x14ac:dyDescent="0.2">
      <c r="A3368"/>
      <c r="B3368"/>
    </row>
    <row r="3369" spans="1:2" x14ac:dyDescent="0.2">
      <c r="A3369"/>
      <c r="B3369"/>
    </row>
    <row r="3370" spans="1:2" x14ac:dyDescent="0.2">
      <c r="A3370"/>
      <c r="B3370"/>
    </row>
    <row r="3371" spans="1:2" x14ac:dyDescent="0.2">
      <c r="A3371"/>
      <c r="B3371"/>
    </row>
    <row r="3372" spans="1:2" x14ac:dyDescent="0.2">
      <c r="A3372"/>
      <c r="B3372"/>
    </row>
    <row r="3373" spans="1:2" x14ac:dyDescent="0.2">
      <c r="A3373"/>
      <c r="B3373"/>
    </row>
    <row r="3374" spans="1:2" x14ac:dyDescent="0.2">
      <c r="A3374"/>
      <c r="B3374"/>
    </row>
    <row r="3375" spans="1:2" x14ac:dyDescent="0.2">
      <c r="A3375"/>
      <c r="B3375"/>
    </row>
    <row r="3376" spans="1:2" x14ac:dyDescent="0.2">
      <c r="A3376"/>
      <c r="B3376"/>
    </row>
    <row r="3377" spans="1:2" x14ac:dyDescent="0.2">
      <c r="A3377"/>
      <c r="B3377"/>
    </row>
    <row r="3378" spans="1:2" x14ac:dyDescent="0.2">
      <c r="A3378"/>
      <c r="B3378"/>
    </row>
    <row r="3379" spans="1:2" x14ac:dyDescent="0.2">
      <c r="A3379"/>
      <c r="B3379"/>
    </row>
    <row r="3380" spans="1:2" x14ac:dyDescent="0.2">
      <c r="A3380"/>
      <c r="B3380"/>
    </row>
    <row r="3381" spans="1:2" x14ac:dyDescent="0.2">
      <c r="A3381"/>
      <c r="B3381"/>
    </row>
    <row r="3382" spans="1:2" x14ac:dyDescent="0.2">
      <c r="A3382"/>
      <c r="B3382"/>
    </row>
    <row r="3383" spans="1:2" x14ac:dyDescent="0.2">
      <c r="A3383"/>
      <c r="B3383"/>
    </row>
    <row r="3384" spans="1:2" x14ac:dyDescent="0.2">
      <c r="A3384"/>
      <c r="B3384"/>
    </row>
    <row r="3385" spans="1:2" x14ac:dyDescent="0.2">
      <c r="A3385"/>
      <c r="B3385"/>
    </row>
    <row r="3386" spans="1:2" x14ac:dyDescent="0.2">
      <c r="A3386"/>
      <c r="B3386"/>
    </row>
    <row r="3387" spans="1:2" x14ac:dyDescent="0.2">
      <c r="A3387"/>
      <c r="B3387"/>
    </row>
    <row r="3388" spans="1:2" x14ac:dyDescent="0.2">
      <c r="A3388"/>
      <c r="B3388"/>
    </row>
    <row r="3389" spans="1:2" x14ac:dyDescent="0.2">
      <c r="A3389"/>
      <c r="B3389"/>
    </row>
    <row r="3390" spans="1:2" x14ac:dyDescent="0.2">
      <c r="A3390"/>
      <c r="B3390"/>
    </row>
    <row r="3391" spans="1:2" x14ac:dyDescent="0.2">
      <c r="A3391"/>
      <c r="B3391"/>
    </row>
    <row r="3392" spans="1:2" x14ac:dyDescent="0.2">
      <c r="A3392"/>
      <c r="B3392"/>
    </row>
    <row r="3393" spans="1:2" x14ac:dyDescent="0.2">
      <c r="A3393"/>
      <c r="B3393"/>
    </row>
    <row r="3394" spans="1:2" x14ac:dyDescent="0.2">
      <c r="A3394"/>
      <c r="B3394"/>
    </row>
    <row r="3395" spans="1:2" x14ac:dyDescent="0.2">
      <c r="A3395"/>
      <c r="B3395"/>
    </row>
    <row r="3396" spans="1:2" x14ac:dyDescent="0.2">
      <c r="A3396"/>
      <c r="B3396"/>
    </row>
    <row r="3397" spans="1:2" x14ac:dyDescent="0.2">
      <c r="A3397"/>
      <c r="B3397"/>
    </row>
    <row r="3398" spans="1:2" x14ac:dyDescent="0.2">
      <c r="A3398"/>
      <c r="B3398"/>
    </row>
    <row r="3399" spans="1:2" x14ac:dyDescent="0.2">
      <c r="A3399"/>
      <c r="B3399"/>
    </row>
    <row r="3400" spans="1:2" x14ac:dyDescent="0.2">
      <c r="A3400"/>
      <c r="B3400"/>
    </row>
    <row r="3401" spans="1:2" x14ac:dyDescent="0.2">
      <c r="A3401"/>
      <c r="B3401"/>
    </row>
    <row r="3402" spans="1:2" x14ac:dyDescent="0.2">
      <c r="A3402"/>
      <c r="B3402"/>
    </row>
    <row r="3403" spans="1:2" x14ac:dyDescent="0.2">
      <c r="A3403"/>
      <c r="B3403"/>
    </row>
    <row r="3404" spans="1:2" x14ac:dyDescent="0.2">
      <c r="A3404"/>
      <c r="B3404"/>
    </row>
    <row r="3405" spans="1:2" x14ac:dyDescent="0.2">
      <c r="A3405"/>
      <c r="B3405"/>
    </row>
    <row r="3406" spans="1:2" x14ac:dyDescent="0.2">
      <c r="A3406"/>
      <c r="B3406"/>
    </row>
    <row r="3407" spans="1:2" x14ac:dyDescent="0.2">
      <c r="A3407"/>
      <c r="B3407"/>
    </row>
    <row r="3408" spans="1:2" x14ac:dyDescent="0.2">
      <c r="A3408"/>
      <c r="B3408"/>
    </row>
    <row r="3409" spans="1:2" x14ac:dyDescent="0.2">
      <c r="A3409"/>
      <c r="B3409"/>
    </row>
    <row r="3410" spans="1:2" x14ac:dyDescent="0.2">
      <c r="A3410"/>
      <c r="B3410"/>
    </row>
    <row r="3411" spans="1:2" x14ac:dyDescent="0.2">
      <c r="A3411"/>
      <c r="B3411"/>
    </row>
    <row r="3412" spans="1:2" x14ac:dyDescent="0.2">
      <c r="A3412"/>
      <c r="B3412"/>
    </row>
    <row r="3413" spans="1:2" x14ac:dyDescent="0.2">
      <c r="A3413"/>
      <c r="B3413"/>
    </row>
    <row r="3414" spans="1:2" x14ac:dyDescent="0.2">
      <c r="A3414"/>
      <c r="B3414"/>
    </row>
    <row r="3415" spans="1:2" x14ac:dyDescent="0.2">
      <c r="A3415"/>
      <c r="B3415"/>
    </row>
    <row r="3416" spans="1:2" x14ac:dyDescent="0.2">
      <c r="A3416"/>
      <c r="B3416"/>
    </row>
    <row r="3417" spans="1:2" x14ac:dyDescent="0.2">
      <c r="A3417"/>
      <c r="B3417"/>
    </row>
    <row r="3418" spans="1:2" x14ac:dyDescent="0.2">
      <c r="A3418"/>
      <c r="B3418"/>
    </row>
    <row r="3419" spans="1:2" x14ac:dyDescent="0.2">
      <c r="A3419"/>
      <c r="B3419"/>
    </row>
    <row r="3420" spans="1:2" x14ac:dyDescent="0.2">
      <c r="A3420"/>
      <c r="B3420"/>
    </row>
    <row r="3421" spans="1:2" x14ac:dyDescent="0.2">
      <c r="A3421"/>
      <c r="B3421"/>
    </row>
    <row r="3422" spans="1:2" x14ac:dyDescent="0.2">
      <c r="A3422"/>
      <c r="B3422"/>
    </row>
    <row r="3423" spans="1:2" x14ac:dyDescent="0.2">
      <c r="A3423"/>
      <c r="B3423"/>
    </row>
    <row r="3424" spans="1:2" x14ac:dyDescent="0.2">
      <c r="A3424"/>
      <c r="B3424"/>
    </row>
    <row r="3425" spans="1:2" x14ac:dyDescent="0.2">
      <c r="A3425"/>
      <c r="B3425"/>
    </row>
    <row r="3426" spans="1:2" x14ac:dyDescent="0.2">
      <c r="A3426"/>
      <c r="B3426"/>
    </row>
    <row r="3427" spans="1:2" x14ac:dyDescent="0.2">
      <c r="A3427"/>
      <c r="B3427"/>
    </row>
    <row r="3428" spans="1:2" x14ac:dyDescent="0.2">
      <c r="A3428"/>
      <c r="B3428"/>
    </row>
    <row r="3429" spans="1:2" x14ac:dyDescent="0.2">
      <c r="A3429"/>
      <c r="B3429"/>
    </row>
    <row r="3430" spans="1:2" x14ac:dyDescent="0.2">
      <c r="A3430"/>
      <c r="B3430"/>
    </row>
    <row r="3431" spans="1:2" x14ac:dyDescent="0.2">
      <c r="A3431"/>
      <c r="B3431"/>
    </row>
    <row r="3432" spans="1:2" x14ac:dyDescent="0.2">
      <c r="A3432"/>
      <c r="B3432"/>
    </row>
    <row r="3433" spans="1:2" x14ac:dyDescent="0.2">
      <c r="A3433"/>
      <c r="B3433"/>
    </row>
    <row r="3434" spans="1:2" x14ac:dyDescent="0.2">
      <c r="A3434"/>
      <c r="B3434"/>
    </row>
    <row r="3435" spans="1:2" x14ac:dyDescent="0.2">
      <c r="A3435"/>
      <c r="B3435"/>
    </row>
    <row r="3436" spans="1:2" x14ac:dyDescent="0.2">
      <c r="A3436"/>
      <c r="B3436"/>
    </row>
    <row r="3437" spans="1:2" x14ac:dyDescent="0.2">
      <c r="A3437"/>
      <c r="B3437"/>
    </row>
    <row r="3438" spans="1:2" x14ac:dyDescent="0.2">
      <c r="A3438"/>
      <c r="B3438"/>
    </row>
    <row r="3439" spans="1:2" x14ac:dyDescent="0.2">
      <c r="A3439"/>
      <c r="B3439"/>
    </row>
    <row r="3440" spans="1:2" x14ac:dyDescent="0.2">
      <c r="A3440"/>
      <c r="B3440"/>
    </row>
    <row r="3441" spans="1:2" x14ac:dyDescent="0.2">
      <c r="A3441"/>
      <c r="B3441"/>
    </row>
    <row r="3442" spans="1:2" x14ac:dyDescent="0.2">
      <c r="A3442"/>
      <c r="B3442"/>
    </row>
    <row r="3443" spans="1:2" x14ac:dyDescent="0.2">
      <c r="A3443"/>
      <c r="B3443"/>
    </row>
    <row r="3444" spans="1:2" x14ac:dyDescent="0.2">
      <c r="A3444"/>
      <c r="B3444"/>
    </row>
    <row r="3445" spans="1:2" x14ac:dyDescent="0.2">
      <c r="A3445"/>
      <c r="B3445"/>
    </row>
    <row r="3446" spans="1:2" x14ac:dyDescent="0.2">
      <c r="A3446"/>
      <c r="B3446"/>
    </row>
    <row r="3447" spans="1:2" x14ac:dyDescent="0.2">
      <c r="A3447"/>
      <c r="B3447"/>
    </row>
    <row r="3448" spans="1:2" x14ac:dyDescent="0.2">
      <c r="A3448"/>
      <c r="B3448"/>
    </row>
    <row r="3449" spans="1:2" x14ac:dyDescent="0.2">
      <c r="A3449"/>
      <c r="B3449"/>
    </row>
    <row r="3450" spans="1:2" x14ac:dyDescent="0.2">
      <c r="A3450"/>
      <c r="B3450"/>
    </row>
    <row r="3451" spans="1:2" x14ac:dyDescent="0.2">
      <c r="A3451"/>
      <c r="B3451"/>
    </row>
    <row r="3452" spans="1:2" x14ac:dyDescent="0.2">
      <c r="A3452"/>
      <c r="B3452"/>
    </row>
    <row r="3453" spans="1:2" x14ac:dyDescent="0.2">
      <c r="A3453"/>
      <c r="B3453"/>
    </row>
    <row r="3454" spans="1:2" x14ac:dyDescent="0.2">
      <c r="A3454"/>
      <c r="B3454"/>
    </row>
    <row r="3455" spans="1:2" x14ac:dyDescent="0.2">
      <c r="A3455"/>
      <c r="B3455"/>
    </row>
    <row r="3456" spans="1:2" x14ac:dyDescent="0.2">
      <c r="A3456"/>
      <c r="B3456"/>
    </row>
    <row r="3457" spans="1:2" x14ac:dyDescent="0.2">
      <c r="A3457"/>
      <c r="B3457"/>
    </row>
    <row r="3458" spans="1:2" x14ac:dyDescent="0.2">
      <c r="A3458"/>
      <c r="B3458"/>
    </row>
    <row r="3459" spans="1:2" x14ac:dyDescent="0.2">
      <c r="A3459"/>
      <c r="B3459"/>
    </row>
    <row r="3460" spans="1:2" x14ac:dyDescent="0.2">
      <c r="A3460"/>
      <c r="B3460"/>
    </row>
    <row r="3461" spans="1:2" x14ac:dyDescent="0.2">
      <c r="A3461"/>
      <c r="B3461"/>
    </row>
    <row r="3462" spans="1:2" x14ac:dyDescent="0.2">
      <c r="A3462"/>
      <c r="B3462"/>
    </row>
    <row r="3463" spans="1:2" x14ac:dyDescent="0.2">
      <c r="A3463"/>
      <c r="B3463"/>
    </row>
    <row r="3464" spans="1:2" x14ac:dyDescent="0.2">
      <c r="A3464"/>
      <c r="B3464"/>
    </row>
    <row r="3465" spans="1:2" x14ac:dyDescent="0.2">
      <c r="A3465"/>
      <c r="B3465"/>
    </row>
    <row r="3466" spans="1:2" x14ac:dyDescent="0.2">
      <c r="A3466"/>
      <c r="B3466"/>
    </row>
    <row r="3467" spans="1:2" x14ac:dyDescent="0.2">
      <c r="A3467"/>
      <c r="B3467"/>
    </row>
    <row r="3468" spans="1:2" x14ac:dyDescent="0.2">
      <c r="A3468"/>
      <c r="B3468"/>
    </row>
    <row r="3469" spans="1:2" x14ac:dyDescent="0.2">
      <c r="A3469"/>
      <c r="B3469"/>
    </row>
    <row r="3470" spans="1:2" x14ac:dyDescent="0.2">
      <c r="A3470"/>
      <c r="B3470"/>
    </row>
    <row r="3471" spans="1:2" x14ac:dyDescent="0.2">
      <c r="A3471"/>
      <c r="B3471"/>
    </row>
    <row r="3472" spans="1:2" x14ac:dyDescent="0.2">
      <c r="A3472"/>
      <c r="B3472"/>
    </row>
    <row r="3473" spans="1:2" x14ac:dyDescent="0.2">
      <c r="A3473"/>
      <c r="B3473"/>
    </row>
    <row r="3474" spans="1:2" x14ac:dyDescent="0.2">
      <c r="A3474"/>
      <c r="B3474"/>
    </row>
    <row r="3475" spans="1:2" x14ac:dyDescent="0.2">
      <c r="A3475"/>
      <c r="B3475"/>
    </row>
    <row r="3476" spans="1:2" x14ac:dyDescent="0.2">
      <c r="A3476"/>
      <c r="B3476"/>
    </row>
    <row r="3477" spans="1:2" x14ac:dyDescent="0.2">
      <c r="A3477"/>
      <c r="B3477"/>
    </row>
    <row r="3478" spans="1:2" x14ac:dyDescent="0.2">
      <c r="A3478"/>
      <c r="B3478"/>
    </row>
    <row r="3479" spans="1:2" x14ac:dyDescent="0.2">
      <c r="A3479"/>
      <c r="B3479"/>
    </row>
    <row r="3480" spans="1:2" x14ac:dyDescent="0.2">
      <c r="A3480"/>
      <c r="B3480"/>
    </row>
    <row r="3481" spans="1:2" x14ac:dyDescent="0.2">
      <c r="A3481"/>
      <c r="B3481"/>
    </row>
    <row r="3482" spans="1:2" x14ac:dyDescent="0.2">
      <c r="A3482"/>
      <c r="B3482"/>
    </row>
    <row r="3483" spans="1:2" x14ac:dyDescent="0.2">
      <c r="A3483"/>
      <c r="B3483"/>
    </row>
    <row r="3484" spans="1:2" x14ac:dyDescent="0.2">
      <c r="A3484"/>
      <c r="B3484"/>
    </row>
    <row r="3485" spans="1:2" x14ac:dyDescent="0.2">
      <c r="A3485"/>
      <c r="B3485"/>
    </row>
    <row r="3486" spans="1:2" x14ac:dyDescent="0.2">
      <c r="A3486"/>
      <c r="B3486"/>
    </row>
    <row r="3487" spans="1:2" x14ac:dyDescent="0.2">
      <c r="A3487"/>
      <c r="B3487"/>
    </row>
    <row r="3488" spans="1:2" x14ac:dyDescent="0.2">
      <c r="A3488"/>
      <c r="B3488"/>
    </row>
    <row r="3489" spans="1:2" x14ac:dyDescent="0.2">
      <c r="A3489"/>
      <c r="B3489"/>
    </row>
    <row r="3490" spans="1:2" x14ac:dyDescent="0.2">
      <c r="A3490"/>
      <c r="B3490"/>
    </row>
    <row r="3491" spans="1:2" x14ac:dyDescent="0.2">
      <c r="A3491"/>
      <c r="B3491"/>
    </row>
    <row r="3492" spans="1:2" x14ac:dyDescent="0.2">
      <c r="A3492"/>
      <c r="B3492"/>
    </row>
    <row r="3493" spans="1:2" x14ac:dyDescent="0.2">
      <c r="A3493"/>
      <c r="B3493"/>
    </row>
    <row r="3494" spans="1:2" x14ac:dyDescent="0.2">
      <c r="A3494"/>
      <c r="B3494"/>
    </row>
    <row r="3495" spans="1:2" x14ac:dyDescent="0.2">
      <c r="A3495"/>
      <c r="B3495"/>
    </row>
    <row r="3496" spans="1:2" x14ac:dyDescent="0.2">
      <c r="A3496"/>
      <c r="B3496"/>
    </row>
    <row r="3497" spans="1:2" x14ac:dyDescent="0.2">
      <c r="A3497"/>
      <c r="B3497"/>
    </row>
    <row r="3498" spans="1:2" x14ac:dyDescent="0.2">
      <c r="A3498"/>
      <c r="B3498"/>
    </row>
    <row r="3499" spans="1:2" x14ac:dyDescent="0.2">
      <c r="A3499"/>
      <c r="B3499"/>
    </row>
    <row r="3500" spans="1:2" x14ac:dyDescent="0.2">
      <c r="A3500"/>
      <c r="B3500"/>
    </row>
    <row r="3501" spans="1:2" x14ac:dyDescent="0.2">
      <c r="A3501"/>
      <c r="B3501"/>
    </row>
    <row r="3502" spans="1:2" x14ac:dyDescent="0.2">
      <c r="A3502"/>
      <c r="B3502"/>
    </row>
    <row r="3503" spans="1:2" x14ac:dyDescent="0.2">
      <c r="A3503"/>
      <c r="B3503"/>
    </row>
    <row r="3504" spans="1:2" x14ac:dyDescent="0.2">
      <c r="A3504"/>
      <c r="B3504"/>
    </row>
    <row r="3505" spans="1:2" x14ac:dyDescent="0.2">
      <c r="A3505"/>
      <c r="B3505"/>
    </row>
    <row r="3506" spans="1:2" x14ac:dyDescent="0.2">
      <c r="A3506"/>
      <c r="B3506"/>
    </row>
    <row r="3507" spans="1:2" x14ac:dyDescent="0.2">
      <c r="A3507"/>
      <c r="B3507"/>
    </row>
    <row r="3508" spans="1:2" x14ac:dyDescent="0.2">
      <c r="A3508"/>
      <c r="B3508"/>
    </row>
    <row r="3509" spans="1:2" x14ac:dyDescent="0.2">
      <c r="A3509"/>
      <c r="B3509"/>
    </row>
    <row r="3510" spans="1:2" x14ac:dyDescent="0.2">
      <c r="A3510"/>
      <c r="B3510"/>
    </row>
    <row r="3511" spans="1:2" x14ac:dyDescent="0.2">
      <c r="A3511"/>
      <c r="B3511"/>
    </row>
    <row r="3512" spans="1:2" x14ac:dyDescent="0.2">
      <c r="A3512"/>
      <c r="B3512"/>
    </row>
    <row r="3513" spans="1:2" x14ac:dyDescent="0.2">
      <c r="A3513"/>
      <c r="B3513"/>
    </row>
    <row r="3514" spans="1:2" x14ac:dyDescent="0.2">
      <c r="A3514"/>
      <c r="B3514"/>
    </row>
    <row r="3515" spans="1:2" x14ac:dyDescent="0.2">
      <c r="A3515"/>
      <c r="B3515"/>
    </row>
    <row r="3516" spans="1:2" x14ac:dyDescent="0.2">
      <c r="A3516"/>
      <c r="B3516"/>
    </row>
    <row r="3517" spans="1:2" x14ac:dyDescent="0.2">
      <c r="A3517"/>
      <c r="B3517"/>
    </row>
    <row r="3518" spans="1:2" x14ac:dyDescent="0.2">
      <c r="A3518"/>
      <c r="B3518"/>
    </row>
    <row r="3519" spans="1:2" x14ac:dyDescent="0.2">
      <c r="A3519"/>
      <c r="B3519"/>
    </row>
    <row r="3520" spans="1:2" x14ac:dyDescent="0.2">
      <c r="A3520"/>
      <c r="B3520"/>
    </row>
    <row r="3521" spans="1:2" x14ac:dyDescent="0.2">
      <c r="A3521"/>
      <c r="B3521"/>
    </row>
    <row r="3522" spans="1:2" x14ac:dyDescent="0.2">
      <c r="A3522"/>
      <c r="B3522"/>
    </row>
    <row r="3523" spans="1:2" x14ac:dyDescent="0.2">
      <c r="A3523"/>
      <c r="B3523"/>
    </row>
    <row r="3524" spans="1:2" x14ac:dyDescent="0.2">
      <c r="A3524"/>
      <c r="B3524"/>
    </row>
    <row r="3525" spans="1:2" x14ac:dyDescent="0.2">
      <c r="A3525"/>
      <c r="B3525"/>
    </row>
    <row r="3526" spans="1:2" x14ac:dyDescent="0.2">
      <c r="A3526"/>
      <c r="B3526"/>
    </row>
    <row r="3527" spans="1:2" x14ac:dyDescent="0.2">
      <c r="A3527"/>
      <c r="B3527"/>
    </row>
    <row r="3528" spans="1:2" x14ac:dyDescent="0.2">
      <c r="A3528"/>
      <c r="B3528"/>
    </row>
    <row r="3529" spans="1:2" x14ac:dyDescent="0.2">
      <c r="A3529"/>
      <c r="B3529"/>
    </row>
    <row r="3530" spans="1:2" x14ac:dyDescent="0.2">
      <c r="A3530"/>
      <c r="B3530"/>
    </row>
    <row r="3531" spans="1:2" x14ac:dyDescent="0.2">
      <c r="A3531"/>
      <c r="B3531"/>
    </row>
    <row r="3532" spans="1:2" x14ac:dyDescent="0.2">
      <c r="A3532"/>
      <c r="B3532"/>
    </row>
    <row r="3533" spans="1:2" x14ac:dyDescent="0.2">
      <c r="A3533"/>
      <c r="B3533"/>
    </row>
    <row r="3534" spans="1:2" x14ac:dyDescent="0.2">
      <c r="A3534"/>
      <c r="B3534"/>
    </row>
    <row r="3535" spans="1:2" x14ac:dyDescent="0.2">
      <c r="A3535"/>
      <c r="B3535"/>
    </row>
    <row r="3536" spans="1:2" x14ac:dyDescent="0.2">
      <c r="A3536"/>
      <c r="B3536"/>
    </row>
    <row r="3537" spans="1:2" x14ac:dyDescent="0.2">
      <c r="A3537"/>
      <c r="B3537"/>
    </row>
    <row r="3538" spans="1:2" x14ac:dyDescent="0.2">
      <c r="A3538"/>
      <c r="B3538"/>
    </row>
    <row r="3539" spans="1:2" x14ac:dyDescent="0.2">
      <c r="A3539"/>
      <c r="B3539"/>
    </row>
    <row r="3540" spans="1:2" x14ac:dyDescent="0.2">
      <c r="A3540"/>
      <c r="B3540"/>
    </row>
    <row r="3541" spans="1:2" x14ac:dyDescent="0.2">
      <c r="A3541"/>
      <c r="B3541"/>
    </row>
    <row r="3542" spans="1:2" x14ac:dyDescent="0.2">
      <c r="A3542"/>
      <c r="B3542"/>
    </row>
    <row r="3543" spans="1:2" x14ac:dyDescent="0.2">
      <c r="A3543"/>
      <c r="B3543"/>
    </row>
    <row r="3544" spans="1:2" x14ac:dyDescent="0.2">
      <c r="A3544"/>
      <c r="B3544"/>
    </row>
    <row r="3545" spans="1:2" x14ac:dyDescent="0.2">
      <c r="A3545"/>
      <c r="B3545"/>
    </row>
    <row r="3546" spans="1:2" x14ac:dyDescent="0.2">
      <c r="A3546"/>
      <c r="B3546"/>
    </row>
    <row r="3547" spans="1:2" x14ac:dyDescent="0.2">
      <c r="A3547"/>
      <c r="B3547"/>
    </row>
    <row r="3548" spans="1:2" x14ac:dyDescent="0.2">
      <c r="A3548"/>
      <c r="B3548"/>
    </row>
    <row r="3549" spans="1:2" x14ac:dyDescent="0.2">
      <c r="A3549"/>
      <c r="B3549"/>
    </row>
    <row r="3550" spans="1:2" x14ac:dyDescent="0.2">
      <c r="A3550"/>
      <c r="B3550"/>
    </row>
    <row r="3551" spans="1:2" x14ac:dyDescent="0.2">
      <c r="A3551"/>
      <c r="B3551"/>
    </row>
    <row r="3552" spans="1:2" x14ac:dyDescent="0.2">
      <c r="A3552"/>
      <c r="B3552"/>
    </row>
    <row r="3553" spans="1:2" x14ac:dyDescent="0.2">
      <c r="A3553"/>
      <c r="B3553"/>
    </row>
    <row r="3554" spans="1:2" x14ac:dyDescent="0.2">
      <c r="A3554"/>
      <c r="B3554"/>
    </row>
    <row r="3555" spans="1:2" x14ac:dyDescent="0.2">
      <c r="A3555"/>
      <c r="B3555"/>
    </row>
    <row r="3556" spans="1:2" x14ac:dyDescent="0.2">
      <c r="A3556"/>
      <c r="B3556"/>
    </row>
    <row r="3557" spans="1:2" x14ac:dyDescent="0.2">
      <c r="A3557"/>
      <c r="B3557"/>
    </row>
    <row r="3558" spans="1:2" x14ac:dyDescent="0.2">
      <c r="A3558"/>
      <c r="B3558"/>
    </row>
    <row r="3559" spans="1:2" x14ac:dyDescent="0.2">
      <c r="A3559"/>
      <c r="B3559"/>
    </row>
    <row r="3560" spans="1:2" x14ac:dyDescent="0.2">
      <c r="A3560"/>
      <c r="B3560"/>
    </row>
    <row r="3561" spans="1:2" x14ac:dyDescent="0.2">
      <c r="A3561"/>
      <c r="B3561"/>
    </row>
    <row r="3562" spans="1:2" x14ac:dyDescent="0.2">
      <c r="A3562"/>
      <c r="B3562"/>
    </row>
    <row r="3563" spans="1:2" x14ac:dyDescent="0.2">
      <c r="A3563"/>
      <c r="B3563"/>
    </row>
    <row r="3564" spans="1:2" x14ac:dyDescent="0.2">
      <c r="A3564"/>
      <c r="B3564"/>
    </row>
    <row r="3565" spans="1:2" x14ac:dyDescent="0.2">
      <c r="A3565"/>
      <c r="B3565"/>
    </row>
    <row r="3566" spans="1:2" x14ac:dyDescent="0.2">
      <c r="A3566"/>
      <c r="B3566"/>
    </row>
    <row r="3567" spans="1:2" x14ac:dyDescent="0.2">
      <c r="A3567"/>
      <c r="B3567"/>
    </row>
    <row r="3568" spans="1:2" x14ac:dyDescent="0.2">
      <c r="A3568"/>
      <c r="B3568"/>
    </row>
    <row r="3569" spans="1:2" x14ac:dyDescent="0.2">
      <c r="A3569"/>
      <c r="B3569"/>
    </row>
    <row r="3570" spans="1:2" x14ac:dyDescent="0.2">
      <c r="A3570"/>
      <c r="B3570"/>
    </row>
    <row r="3571" spans="1:2" x14ac:dyDescent="0.2">
      <c r="A3571"/>
      <c r="B3571"/>
    </row>
    <row r="3572" spans="1:2" x14ac:dyDescent="0.2">
      <c r="A3572"/>
      <c r="B3572"/>
    </row>
    <row r="3573" spans="1:2" x14ac:dyDescent="0.2">
      <c r="A3573"/>
      <c r="B3573"/>
    </row>
    <row r="3574" spans="1:2" x14ac:dyDescent="0.2">
      <c r="A3574"/>
      <c r="B3574"/>
    </row>
    <row r="3575" spans="1:2" x14ac:dyDescent="0.2">
      <c r="A3575"/>
      <c r="B3575"/>
    </row>
    <row r="3576" spans="1:2" x14ac:dyDescent="0.2">
      <c r="A3576"/>
      <c r="B3576"/>
    </row>
    <row r="3577" spans="1:2" x14ac:dyDescent="0.2">
      <c r="A3577"/>
      <c r="B3577"/>
    </row>
    <row r="3578" spans="1:2" x14ac:dyDescent="0.2">
      <c r="A3578"/>
      <c r="B3578"/>
    </row>
    <row r="3579" spans="1:2" x14ac:dyDescent="0.2">
      <c r="A3579"/>
      <c r="B3579"/>
    </row>
    <row r="3580" spans="1:2" x14ac:dyDescent="0.2">
      <c r="A3580"/>
      <c r="B3580"/>
    </row>
    <row r="3581" spans="1:2" x14ac:dyDescent="0.2">
      <c r="A3581"/>
      <c r="B3581"/>
    </row>
    <row r="3582" spans="1:2" x14ac:dyDescent="0.2">
      <c r="A3582"/>
      <c r="B3582"/>
    </row>
    <row r="3583" spans="1:2" x14ac:dyDescent="0.2">
      <c r="A3583"/>
      <c r="B3583"/>
    </row>
    <row r="3584" spans="1:2" x14ac:dyDescent="0.2">
      <c r="A3584"/>
      <c r="B3584"/>
    </row>
    <row r="3585" spans="1:2" x14ac:dyDescent="0.2">
      <c r="A3585"/>
      <c r="B3585"/>
    </row>
    <row r="3586" spans="1:2" x14ac:dyDescent="0.2">
      <c r="A3586"/>
      <c r="B3586"/>
    </row>
    <row r="3587" spans="1:2" x14ac:dyDescent="0.2">
      <c r="A3587"/>
      <c r="B3587"/>
    </row>
    <row r="3588" spans="1:2" x14ac:dyDescent="0.2">
      <c r="A3588"/>
      <c r="B3588"/>
    </row>
    <row r="3589" spans="1:2" x14ac:dyDescent="0.2">
      <c r="A3589"/>
      <c r="B3589"/>
    </row>
    <row r="3590" spans="1:2" x14ac:dyDescent="0.2">
      <c r="A3590"/>
      <c r="B3590"/>
    </row>
    <row r="3591" spans="1:2" x14ac:dyDescent="0.2">
      <c r="A3591"/>
      <c r="B3591"/>
    </row>
    <row r="3592" spans="1:2" x14ac:dyDescent="0.2">
      <c r="A3592"/>
      <c r="B3592"/>
    </row>
    <row r="3593" spans="1:2" x14ac:dyDescent="0.2">
      <c r="A3593"/>
      <c r="B3593"/>
    </row>
    <row r="3594" spans="1:2" x14ac:dyDescent="0.2">
      <c r="A3594"/>
      <c r="B3594"/>
    </row>
    <row r="3595" spans="1:2" x14ac:dyDescent="0.2">
      <c r="A3595"/>
      <c r="B3595"/>
    </row>
    <row r="3596" spans="1:2" x14ac:dyDescent="0.2">
      <c r="A3596"/>
      <c r="B3596"/>
    </row>
    <row r="3597" spans="1:2" x14ac:dyDescent="0.2">
      <c r="A3597"/>
      <c r="B3597"/>
    </row>
    <row r="3598" spans="1:2" x14ac:dyDescent="0.2">
      <c r="A3598"/>
      <c r="B3598"/>
    </row>
    <row r="3599" spans="1:2" x14ac:dyDescent="0.2">
      <c r="A3599"/>
      <c r="B3599"/>
    </row>
    <row r="3600" spans="1:2" x14ac:dyDescent="0.2">
      <c r="A3600"/>
      <c r="B3600"/>
    </row>
    <row r="3601" spans="1:2" x14ac:dyDescent="0.2">
      <c r="A3601"/>
      <c r="B3601"/>
    </row>
    <row r="3602" spans="1:2" x14ac:dyDescent="0.2">
      <c r="A3602"/>
      <c r="B3602"/>
    </row>
    <row r="3603" spans="1:2" x14ac:dyDescent="0.2">
      <c r="A3603"/>
      <c r="B3603"/>
    </row>
    <row r="3604" spans="1:2" x14ac:dyDescent="0.2">
      <c r="A3604"/>
      <c r="B3604"/>
    </row>
    <row r="3605" spans="1:2" x14ac:dyDescent="0.2">
      <c r="A3605"/>
      <c r="B3605"/>
    </row>
    <row r="3606" spans="1:2" x14ac:dyDescent="0.2">
      <c r="A3606"/>
      <c r="B3606"/>
    </row>
    <row r="3607" spans="1:2" x14ac:dyDescent="0.2">
      <c r="A3607"/>
      <c r="B3607"/>
    </row>
    <row r="3608" spans="1:2" x14ac:dyDescent="0.2">
      <c r="A3608"/>
      <c r="B3608"/>
    </row>
    <row r="3609" spans="1:2" x14ac:dyDescent="0.2">
      <c r="A3609"/>
      <c r="B3609"/>
    </row>
    <row r="3610" spans="1:2" x14ac:dyDescent="0.2">
      <c r="A3610"/>
      <c r="B3610"/>
    </row>
    <row r="3611" spans="1:2" x14ac:dyDescent="0.2">
      <c r="A3611"/>
      <c r="B3611"/>
    </row>
    <row r="3612" spans="1:2" x14ac:dyDescent="0.2">
      <c r="A3612"/>
      <c r="B3612"/>
    </row>
    <row r="3613" spans="1:2" x14ac:dyDescent="0.2">
      <c r="A3613"/>
      <c r="B3613"/>
    </row>
    <row r="3614" spans="1:2" x14ac:dyDescent="0.2">
      <c r="A3614"/>
      <c r="B3614"/>
    </row>
    <row r="3615" spans="1:2" x14ac:dyDescent="0.2">
      <c r="A3615"/>
      <c r="B3615"/>
    </row>
    <row r="3616" spans="1:2" x14ac:dyDescent="0.2">
      <c r="A3616"/>
      <c r="B3616"/>
    </row>
    <row r="3617" spans="1:2" x14ac:dyDescent="0.2">
      <c r="A3617"/>
      <c r="B3617"/>
    </row>
    <row r="3618" spans="1:2" x14ac:dyDescent="0.2">
      <c r="A3618"/>
      <c r="B3618"/>
    </row>
    <row r="3619" spans="1:2" x14ac:dyDescent="0.2">
      <c r="A3619"/>
      <c r="B3619"/>
    </row>
    <row r="3620" spans="1:2" x14ac:dyDescent="0.2">
      <c r="A3620"/>
      <c r="B3620"/>
    </row>
    <row r="3621" spans="1:2" x14ac:dyDescent="0.2">
      <c r="A3621"/>
      <c r="B3621"/>
    </row>
    <row r="3622" spans="1:2" x14ac:dyDescent="0.2">
      <c r="A3622"/>
      <c r="B3622"/>
    </row>
    <row r="3623" spans="1:2" x14ac:dyDescent="0.2">
      <c r="A3623"/>
      <c r="B3623"/>
    </row>
    <row r="3624" spans="1:2" x14ac:dyDescent="0.2">
      <c r="A3624"/>
      <c r="B3624"/>
    </row>
    <row r="3625" spans="1:2" x14ac:dyDescent="0.2">
      <c r="A3625"/>
      <c r="B3625"/>
    </row>
    <row r="3626" spans="1:2" x14ac:dyDescent="0.2">
      <c r="A3626"/>
      <c r="B3626"/>
    </row>
    <row r="3627" spans="1:2" x14ac:dyDescent="0.2">
      <c r="A3627"/>
      <c r="B3627"/>
    </row>
    <row r="3628" spans="1:2" x14ac:dyDescent="0.2">
      <c r="A3628"/>
      <c r="B3628"/>
    </row>
    <row r="3629" spans="1:2" x14ac:dyDescent="0.2">
      <c r="A3629"/>
      <c r="B3629"/>
    </row>
    <row r="3630" spans="1:2" x14ac:dyDescent="0.2">
      <c r="A3630"/>
      <c r="B3630"/>
    </row>
    <row r="3631" spans="1:2" x14ac:dyDescent="0.2">
      <c r="A3631"/>
      <c r="B3631"/>
    </row>
    <row r="3632" spans="1:2" x14ac:dyDescent="0.2">
      <c r="A3632"/>
      <c r="B3632"/>
    </row>
    <row r="3633" spans="1:2" x14ac:dyDescent="0.2">
      <c r="A3633"/>
      <c r="B3633"/>
    </row>
    <row r="3634" spans="1:2" x14ac:dyDescent="0.2">
      <c r="A3634"/>
      <c r="B3634"/>
    </row>
    <row r="3635" spans="1:2" x14ac:dyDescent="0.2">
      <c r="A3635"/>
      <c r="B3635"/>
    </row>
    <row r="3636" spans="1:2" x14ac:dyDescent="0.2">
      <c r="A3636"/>
      <c r="B3636"/>
    </row>
    <row r="3637" spans="1:2" x14ac:dyDescent="0.2">
      <c r="A3637"/>
      <c r="B3637"/>
    </row>
    <row r="3638" spans="1:2" x14ac:dyDescent="0.2">
      <c r="A3638"/>
      <c r="B3638"/>
    </row>
    <row r="3639" spans="1:2" x14ac:dyDescent="0.2">
      <c r="A3639"/>
      <c r="B3639"/>
    </row>
    <row r="3640" spans="1:2" x14ac:dyDescent="0.2">
      <c r="A3640"/>
      <c r="B3640"/>
    </row>
    <row r="3641" spans="1:2" x14ac:dyDescent="0.2">
      <c r="A3641"/>
      <c r="B3641"/>
    </row>
    <row r="3642" spans="1:2" x14ac:dyDescent="0.2">
      <c r="A3642"/>
      <c r="B3642"/>
    </row>
    <row r="3643" spans="1:2" x14ac:dyDescent="0.2">
      <c r="A3643"/>
      <c r="B3643"/>
    </row>
    <row r="3644" spans="1:2" x14ac:dyDescent="0.2">
      <c r="A3644"/>
      <c r="B3644"/>
    </row>
    <row r="3645" spans="1:2" x14ac:dyDescent="0.2">
      <c r="A3645"/>
      <c r="B3645"/>
    </row>
    <row r="3646" spans="1:2" x14ac:dyDescent="0.2">
      <c r="A3646"/>
      <c r="B3646"/>
    </row>
    <row r="3647" spans="1:2" x14ac:dyDescent="0.2">
      <c r="A3647"/>
      <c r="B3647"/>
    </row>
    <row r="3648" spans="1:2" x14ac:dyDescent="0.2">
      <c r="A3648"/>
      <c r="B3648"/>
    </row>
    <row r="3649" spans="1:2" x14ac:dyDescent="0.2">
      <c r="A3649"/>
      <c r="B3649"/>
    </row>
    <row r="3650" spans="1:2" x14ac:dyDescent="0.2">
      <c r="A3650"/>
      <c r="B3650"/>
    </row>
    <row r="3651" spans="1:2" x14ac:dyDescent="0.2">
      <c r="A3651"/>
      <c r="B3651"/>
    </row>
    <row r="3652" spans="1:2" x14ac:dyDescent="0.2">
      <c r="A3652"/>
      <c r="B3652"/>
    </row>
    <row r="3653" spans="1:2" x14ac:dyDescent="0.2">
      <c r="A3653"/>
      <c r="B3653"/>
    </row>
    <row r="3654" spans="1:2" x14ac:dyDescent="0.2">
      <c r="A3654"/>
      <c r="B3654"/>
    </row>
    <row r="3655" spans="1:2" x14ac:dyDescent="0.2">
      <c r="A3655"/>
      <c r="B3655"/>
    </row>
    <row r="3656" spans="1:2" x14ac:dyDescent="0.2">
      <c r="A3656"/>
      <c r="B3656"/>
    </row>
    <row r="3657" spans="1:2" x14ac:dyDescent="0.2">
      <c r="A3657"/>
      <c r="B3657"/>
    </row>
    <row r="3658" spans="1:2" x14ac:dyDescent="0.2">
      <c r="A3658"/>
      <c r="B3658"/>
    </row>
    <row r="3659" spans="1:2" x14ac:dyDescent="0.2">
      <c r="A3659"/>
      <c r="B3659"/>
    </row>
    <row r="3660" spans="1:2" x14ac:dyDescent="0.2">
      <c r="A3660"/>
      <c r="B3660"/>
    </row>
    <row r="3661" spans="1:2" x14ac:dyDescent="0.2">
      <c r="A3661"/>
      <c r="B3661"/>
    </row>
    <row r="3662" spans="1:2" x14ac:dyDescent="0.2">
      <c r="A3662"/>
      <c r="B3662"/>
    </row>
    <row r="3663" spans="1:2" x14ac:dyDescent="0.2">
      <c r="A3663"/>
      <c r="B3663"/>
    </row>
    <row r="3664" spans="1:2" x14ac:dyDescent="0.2">
      <c r="A3664"/>
      <c r="B3664"/>
    </row>
    <row r="3665" spans="1:2" x14ac:dyDescent="0.2">
      <c r="A3665"/>
      <c r="B3665"/>
    </row>
    <row r="3666" spans="1:2" x14ac:dyDescent="0.2">
      <c r="A3666"/>
      <c r="B3666"/>
    </row>
    <row r="3667" spans="1:2" x14ac:dyDescent="0.2">
      <c r="A3667"/>
      <c r="B3667"/>
    </row>
    <row r="3668" spans="1:2" x14ac:dyDescent="0.2">
      <c r="A3668"/>
      <c r="B3668"/>
    </row>
    <row r="3669" spans="1:2" x14ac:dyDescent="0.2">
      <c r="A3669"/>
      <c r="B3669"/>
    </row>
    <row r="3670" spans="1:2" x14ac:dyDescent="0.2">
      <c r="A3670"/>
      <c r="B3670"/>
    </row>
    <row r="3671" spans="1:2" x14ac:dyDescent="0.2">
      <c r="A3671"/>
      <c r="B3671"/>
    </row>
    <row r="3672" spans="1:2" x14ac:dyDescent="0.2">
      <c r="A3672"/>
      <c r="B3672"/>
    </row>
    <row r="3673" spans="1:2" x14ac:dyDescent="0.2">
      <c r="A3673"/>
      <c r="B3673"/>
    </row>
    <row r="3674" spans="1:2" x14ac:dyDescent="0.2">
      <c r="A3674"/>
      <c r="B3674"/>
    </row>
    <row r="3675" spans="1:2" x14ac:dyDescent="0.2">
      <c r="A3675"/>
      <c r="B3675"/>
    </row>
    <row r="3676" spans="1:2" x14ac:dyDescent="0.2">
      <c r="A3676"/>
      <c r="B3676"/>
    </row>
    <row r="3677" spans="1:2" x14ac:dyDescent="0.2">
      <c r="A3677"/>
      <c r="B3677"/>
    </row>
    <row r="3678" spans="1:2" x14ac:dyDescent="0.2">
      <c r="A3678"/>
      <c r="B3678"/>
    </row>
    <row r="3679" spans="1:2" x14ac:dyDescent="0.2">
      <c r="A3679"/>
      <c r="B3679"/>
    </row>
    <row r="3680" spans="1:2" x14ac:dyDescent="0.2">
      <c r="A3680"/>
      <c r="B3680"/>
    </row>
    <row r="3681" spans="1:2" x14ac:dyDescent="0.2">
      <c r="A3681"/>
      <c r="B3681"/>
    </row>
    <row r="3682" spans="1:2" x14ac:dyDescent="0.2">
      <c r="A3682"/>
      <c r="B3682"/>
    </row>
    <row r="3683" spans="1:2" x14ac:dyDescent="0.2">
      <c r="A3683"/>
      <c r="B3683"/>
    </row>
    <row r="3684" spans="1:2" x14ac:dyDescent="0.2">
      <c r="A3684"/>
      <c r="B3684"/>
    </row>
    <row r="3685" spans="1:2" x14ac:dyDescent="0.2">
      <c r="A3685"/>
      <c r="B3685"/>
    </row>
    <row r="3686" spans="1:2" x14ac:dyDescent="0.2">
      <c r="A3686"/>
      <c r="B3686"/>
    </row>
    <row r="3687" spans="1:2" x14ac:dyDescent="0.2">
      <c r="A3687"/>
      <c r="B3687"/>
    </row>
    <row r="3688" spans="1:2" x14ac:dyDescent="0.2">
      <c r="A3688"/>
      <c r="B3688"/>
    </row>
    <row r="3689" spans="1:2" x14ac:dyDescent="0.2">
      <c r="A3689"/>
      <c r="B3689"/>
    </row>
    <row r="3690" spans="1:2" x14ac:dyDescent="0.2">
      <c r="A3690"/>
      <c r="B3690"/>
    </row>
    <row r="3691" spans="1:2" x14ac:dyDescent="0.2">
      <c r="A3691"/>
      <c r="B3691"/>
    </row>
    <row r="3692" spans="1:2" x14ac:dyDescent="0.2">
      <c r="A3692"/>
      <c r="B3692"/>
    </row>
    <row r="3693" spans="1:2" x14ac:dyDescent="0.2">
      <c r="A3693"/>
      <c r="B3693"/>
    </row>
    <row r="3694" spans="1:2" x14ac:dyDescent="0.2">
      <c r="A3694"/>
      <c r="B3694"/>
    </row>
    <row r="3695" spans="1:2" x14ac:dyDescent="0.2">
      <c r="A3695"/>
      <c r="B3695"/>
    </row>
    <row r="3696" spans="1:2" x14ac:dyDescent="0.2">
      <c r="A3696"/>
      <c r="B3696"/>
    </row>
    <row r="3697" spans="1:2" x14ac:dyDescent="0.2">
      <c r="A3697"/>
      <c r="B3697"/>
    </row>
    <row r="3698" spans="1:2" x14ac:dyDescent="0.2">
      <c r="A3698"/>
      <c r="B3698"/>
    </row>
    <row r="3699" spans="1:2" x14ac:dyDescent="0.2">
      <c r="A3699"/>
      <c r="B3699"/>
    </row>
    <row r="3700" spans="1:2" x14ac:dyDescent="0.2">
      <c r="A3700"/>
      <c r="B3700"/>
    </row>
    <row r="3701" spans="1:2" x14ac:dyDescent="0.2">
      <c r="A3701"/>
      <c r="B3701"/>
    </row>
    <row r="3702" spans="1:2" x14ac:dyDescent="0.2">
      <c r="A3702"/>
      <c r="B3702"/>
    </row>
    <row r="3703" spans="1:2" x14ac:dyDescent="0.2">
      <c r="A3703"/>
      <c r="B3703"/>
    </row>
    <row r="3704" spans="1:2" x14ac:dyDescent="0.2">
      <c r="A3704"/>
      <c r="B3704"/>
    </row>
    <row r="3705" spans="1:2" x14ac:dyDescent="0.2">
      <c r="A3705"/>
      <c r="B3705"/>
    </row>
    <row r="3706" spans="1:2" x14ac:dyDescent="0.2">
      <c r="A3706"/>
      <c r="B3706"/>
    </row>
    <row r="3707" spans="1:2" x14ac:dyDescent="0.2">
      <c r="A3707"/>
      <c r="B3707"/>
    </row>
    <row r="3708" spans="1:2" x14ac:dyDescent="0.2">
      <c r="A3708"/>
      <c r="B3708"/>
    </row>
    <row r="3709" spans="1:2" x14ac:dyDescent="0.2">
      <c r="A3709"/>
      <c r="B3709"/>
    </row>
    <row r="3710" spans="1:2" x14ac:dyDescent="0.2">
      <c r="A3710"/>
      <c r="B3710"/>
    </row>
    <row r="3711" spans="1:2" x14ac:dyDescent="0.2">
      <c r="A3711"/>
      <c r="B3711"/>
    </row>
    <row r="3712" spans="1:2" x14ac:dyDescent="0.2">
      <c r="A3712"/>
      <c r="B3712"/>
    </row>
    <row r="3713" spans="1:2" x14ac:dyDescent="0.2">
      <c r="A3713"/>
      <c r="B3713"/>
    </row>
    <row r="3714" spans="1:2" x14ac:dyDescent="0.2">
      <c r="A3714"/>
      <c r="B3714"/>
    </row>
    <row r="3715" spans="1:2" x14ac:dyDescent="0.2">
      <c r="A3715"/>
      <c r="B3715"/>
    </row>
    <row r="3716" spans="1:2" x14ac:dyDescent="0.2">
      <c r="A3716"/>
      <c r="B3716"/>
    </row>
    <row r="3717" spans="1:2" x14ac:dyDescent="0.2">
      <c r="A3717"/>
      <c r="B3717"/>
    </row>
    <row r="3718" spans="1:2" x14ac:dyDescent="0.2">
      <c r="A3718"/>
      <c r="B3718"/>
    </row>
    <row r="3719" spans="1:2" x14ac:dyDescent="0.2">
      <c r="A3719"/>
      <c r="B3719"/>
    </row>
    <row r="3720" spans="1:2" x14ac:dyDescent="0.2">
      <c r="A3720"/>
      <c r="B3720"/>
    </row>
    <row r="3721" spans="1:2" x14ac:dyDescent="0.2">
      <c r="A3721"/>
      <c r="B3721"/>
    </row>
    <row r="3722" spans="1:2" x14ac:dyDescent="0.2">
      <c r="A3722"/>
      <c r="B3722"/>
    </row>
    <row r="3723" spans="1:2" x14ac:dyDescent="0.2">
      <c r="A3723"/>
      <c r="B3723"/>
    </row>
    <row r="3724" spans="1:2" x14ac:dyDescent="0.2">
      <c r="A3724"/>
      <c r="B3724"/>
    </row>
    <row r="3725" spans="1:2" x14ac:dyDescent="0.2">
      <c r="A3725"/>
      <c r="B3725"/>
    </row>
    <row r="3726" spans="1:2" x14ac:dyDescent="0.2">
      <c r="A3726"/>
      <c r="B3726"/>
    </row>
    <row r="3727" spans="1:2" x14ac:dyDescent="0.2">
      <c r="A3727"/>
      <c r="B3727"/>
    </row>
    <row r="3728" spans="1:2" x14ac:dyDescent="0.2">
      <c r="A3728"/>
      <c r="B3728"/>
    </row>
    <row r="3729" spans="1:2" x14ac:dyDescent="0.2">
      <c r="A3729"/>
      <c r="B3729"/>
    </row>
    <row r="3730" spans="1:2" x14ac:dyDescent="0.2">
      <c r="A3730"/>
      <c r="B3730"/>
    </row>
    <row r="3731" spans="1:2" x14ac:dyDescent="0.2">
      <c r="A3731"/>
      <c r="B3731"/>
    </row>
    <row r="3732" spans="1:2" x14ac:dyDescent="0.2">
      <c r="A3732"/>
      <c r="B3732"/>
    </row>
    <row r="3733" spans="1:2" x14ac:dyDescent="0.2">
      <c r="A3733"/>
      <c r="B3733"/>
    </row>
    <row r="3734" spans="1:2" x14ac:dyDescent="0.2">
      <c r="A3734"/>
      <c r="B3734"/>
    </row>
    <row r="3735" spans="1:2" x14ac:dyDescent="0.2">
      <c r="A3735"/>
      <c r="B3735"/>
    </row>
    <row r="3736" spans="1:2" x14ac:dyDescent="0.2">
      <c r="A3736"/>
      <c r="B3736"/>
    </row>
    <row r="3737" spans="1:2" x14ac:dyDescent="0.2">
      <c r="A3737"/>
      <c r="B3737"/>
    </row>
    <row r="3738" spans="1:2" x14ac:dyDescent="0.2">
      <c r="A3738"/>
      <c r="B3738"/>
    </row>
    <row r="3739" spans="1:2" x14ac:dyDescent="0.2">
      <c r="A3739"/>
      <c r="B3739"/>
    </row>
    <row r="3740" spans="1:2" x14ac:dyDescent="0.2">
      <c r="A3740"/>
      <c r="B3740"/>
    </row>
    <row r="3741" spans="1:2" x14ac:dyDescent="0.2">
      <c r="A3741"/>
      <c r="B3741"/>
    </row>
    <row r="3742" spans="1:2" x14ac:dyDescent="0.2">
      <c r="A3742"/>
      <c r="B3742"/>
    </row>
    <row r="3743" spans="1:2" x14ac:dyDescent="0.2">
      <c r="A3743"/>
      <c r="B3743"/>
    </row>
    <row r="3744" spans="1:2" x14ac:dyDescent="0.2">
      <c r="A3744"/>
      <c r="B3744"/>
    </row>
    <row r="3745" spans="1:2" x14ac:dyDescent="0.2">
      <c r="A3745"/>
      <c r="B3745"/>
    </row>
    <row r="3746" spans="1:2" x14ac:dyDescent="0.2">
      <c r="A3746"/>
      <c r="B3746"/>
    </row>
    <row r="3747" spans="1:2" x14ac:dyDescent="0.2">
      <c r="A3747"/>
      <c r="B3747"/>
    </row>
    <row r="3748" spans="1:2" x14ac:dyDescent="0.2">
      <c r="A3748"/>
      <c r="B3748"/>
    </row>
    <row r="3749" spans="1:2" x14ac:dyDescent="0.2">
      <c r="A3749"/>
      <c r="B3749"/>
    </row>
    <row r="3750" spans="1:2" x14ac:dyDescent="0.2">
      <c r="A3750"/>
      <c r="B3750"/>
    </row>
    <row r="3751" spans="1:2" x14ac:dyDescent="0.2">
      <c r="A3751"/>
      <c r="B3751"/>
    </row>
    <row r="3752" spans="1:2" x14ac:dyDescent="0.2">
      <c r="A3752"/>
      <c r="B3752"/>
    </row>
    <row r="3753" spans="1:2" x14ac:dyDescent="0.2">
      <c r="A3753"/>
      <c r="B3753"/>
    </row>
    <row r="3754" spans="1:2" x14ac:dyDescent="0.2">
      <c r="A3754"/>
      <c r="B3754"/>
    </row>
    <row r="3755" spans="1:2" x14ac:dyDescent="0.2">
      <c r="A3755"/>
      <c r="B3755"/>
    </row>
    <row r="3756" spans="1:2" x14ac:dyDescent="0.2">
      <c r="A3756"/>
      <c r="B3756"/>
    </row>
    <row r="3757" spans="1:2" x14ac:dyDescent="0.2">
      <c r="A3757"/>
      <c r="B3757"/>
    </row>
    <row r="3758" spans="1:2" x14ac:dyDescent="0.2">
      <c r="A3758"/>
      <c r="B3758"/>
    </row>
    <row r="3759" spans="1:2" x14ac:dyDescent="0.2">
      <c r="A3759"/>
      <c r="B3759"/>
    </row>
    <row r="3760" spans="1:2" x14ac:dyDescent="0.2">
      <c r="A3760"/>
      <c r="B3760"/>
    </row>
    <row r="3761" spans="1:2" x14ac:dyDescent="0.2">
      <c r="A3761"/>
      <c r="B3761"/>
    </row>
    <row r="3762" spans="1:2" x14ac:dyDescent="0.2">
      <c r="A3762"/>
      <c r="B3762"/>
    </row>
    <row r="3763" spans="1:2" x14ac:dyDescent="0.2">
      <c r="A3763"/>
      <c r="B3763"/>
    </row>
    <row r="3764" spans="1:2" x14ac:dyDescent="0.2">
      <c r="A3764"/>
      <c r="B3764"/>
    </row>
    <row r="3765" spans="1:2" x14ac:dyDescent="0.2">
      <c r="A3765"/>
      <c r="B3765"/>
    </row>
    <row r="3766" spans="1:2" x14ac:dyDescent="0.2">
      <c r="A3766"/>
      <c r="B3766"/>
    </row>
    <row r="3767" spans="1:2" x14ac:dyDescent="0.2">
      <c r="A3767"/>
      <c r="B3767"/>
    </row>
    <row r="3768" spans="1:2" x14ac:dyDescent="0.2">
      <c r="A3768"/>
      <c r="B3768"/>
    </row>
    <row r="3769" spans="1:2" x14ac:dyDescent="0.2">
      <c r="A3769"/>
      <c r="B3769"/>
    </row>
    <row r="3770" spans="1:2" x14ac:dyDescent="0.2">
      <c r="A3770"/>
      <c r="B3770"/>
    </row>
    <row r="3771" spans="1:2" x14ac:dyDescent="0.2">
      <c r="A3771"/>
      <c r="B3771"/>
    </row>
    <row r="3772" spans="1:2" x14ac:dyDescent="0.2">
      <c r="A3772"/>
      <c r="B3772"/>
    </row>
    <row r="3773" spans="1:2" x14ac:dyDescent="0.2">
      <c r="A3773"/>
      <c r="B3773"/>
    </row>
    <row r="3774" spans="1:2" x14ac:dyDescent="0.2">
      <c r="A3774"/>
      <c r="B3774"/>
    </row>
    <row r="3775" spans="1:2" x14ac:dyDescent="0.2">
      <c r="A3775"/>
      <c r="B3775"/>
    </row>
    <row r="3776" spans="1:2" x14ac:dyDescent="0.2">
      <c r="A3776"/>
      <c r="B3776"/>
    </row>
    <row r="3777" spans="1:2" x14ac:dyDescent="0.2">
      <c r="A3777"/>
      <c r="B3777"/>
    </row>
    <row r="3778" spans="1:2" x14ac:dyDescent="0.2">
      <c r="A3778"/>
      <c r="B3778"/>
    </row>
    <row r="3779" spans="1:2" x14ac:dyDescent="0.2">
      <c r="A3779"/>
      <c r="B3779"/>
    </row>
    <row r="3780" spans="1:2" x14ac:dyDescent="0.2">
      <c r="A3780"/>
      <c r="B3780"/>
    </row>
    <row r="3781" spans="1:2" x14ac:dyDescent="0.2">
      <c r="A3781"/>
      <c r="B3781"/>
    </row>
    <row r="3782" spans="1:2" x14ac:dyDescent="0.2">
      <c r="A3782"/>
      <c r="B3782"/>
    </row>
    <row r="3783" spans="1:2" x14ac:dyDescent="0.2">
      <c r="A3783"/>
      <c r="B3783"/>
    </row>
    <row r="3784" spans="1:2" x14ac:dyDescent="0.2">
      <c r="A3784"/>
      <c r="B3784"/>
    </row>
    <row r="3785" spans="1:2" x14ac:dyDescent="0.2">
      <c r="A3785"/>
      <c r="B3785"/>
    </row>
    <row r="3786" spans="1:2" x14ac:dyDescent="0.2">
      <c r="A3786"/>
      <c r="B3786"/>
    </row>
    <row r="3787" spans="1:2" x14ac:dyDescent="0.2">
      <c r="A3787"/>
      <c r="B3787"/>
    </row>
    <row r="3788" spans="1:2" x14ac:dyDescent="0.2">
      <c r="A3788"/>
      <c r="B3788"/>
    </row>
    <row r="3789" spans="1:2" x14ac:dyDescent="0.2">
      <c r="A3789"/>
      <c r="B3789"/>
    </row>
    <row r="3790" spans="1:2" x14ac:dyDescent="0.2">
      <c r="A3790"/>
      <c r="B3790"/>
    </row>
    <row r="3791" spans="1:2" x14ac:dyDescent="0.2">
      <c r="A3791"/>
      <c r="B3791"/>
    </row>
    <row r="3792" spans="1:2" x14ac:dyDescent="0.2">
      <c r="A3792"/>
      <c r="B3792"/>
    </row>
    <row r="3793" spans="1:2" x14ac:dyDescent="0.2">
      <c r="A3793"/>
      <c r="B3793"/>
    </row>
    <row r="3794" spans="1:2" x14ac:dyDescent="0.2">
      <c r="A3794"/>
      <c r="B3794"/>
    </row>
    <row r="3795" spans="1:2" x14ac:dyDescent="0.2">
      <c r="A3795"/>
      <c r="B3795"/>
    </row>
    <row r="3796" spans="1:2" x14ac:dyDescent="0.2">
      <c r="A3796"/>
      <c r="B3796"/>
    </row>
    <row r="3797" spans="1:2" x14ac:dyDescent="0.2">
      <c r="A3797"/>
      <c r="B3797"/>
    </row>
    <row r="3798" spans="1:2" x14ac:dyDescent="0.2">
      <c r="A3798"/>
      <c r="B3798"/>
    </row>
    <row r="3799" spans="1:2" x14ac:dyDescent="0.2">
      <c r="A3799"/>
      <c r="B3799"/>
    </row>
    <row r="3800" spans="1:2" x14ac:dyDescent="0.2">
      <c r="A3800"/>
      <c r="B3800"/>
    </row>
    <row r="3801" spans="1:2" x14ac:dyDescent="0.2">
      <c r="A3801"/>
      <c r="B3801"/>
    </row>
    <row r="3802" spans="1:2" x14ac:dyDescent="0.2">
      <c r="A3802"/>
      <c r="B3802"/>
    </row>
    <row r="3803" spans="1:2" x14ac:dyDescent="0.2">
      <c r="A3803"/>
      <c r="B3803"/>
    </row>
    <row r="3804" spans="1:2" x14ac:dyDescent="0.2">
      <c r="A3804"/>
      <c r="B3804"/>
    </row>
    <row r="3805" spans="1:2" x14ac:dyDescent="0.2">
      <c r="A3805"/>
      <c r="B3805"/>
    </row>
    <row r="3806" spans="1:2" x14ac:dyDescent="0.2">
      <c r="A3806"/>
      <c r="B3806"/>
    </row>
    <row r="3807" spans="1:2" x14ac:dyDescent="0.2">
      <c r="A3807"/>
      <c r="B3807"/>
    </row>
    <row r="3808" spans="1:2" x14ac:dyDescent="0.2">
      <c r="A3808"/>
      <c r="B3808"/>
    </row>
    <row r="3809" spans="1:2" x14ac:dyDescent="0.2">
      <c r="A3809"/>
      <c r="B3809"/>
    </row>
    <row r="3810" spans="1:2" x14ac:dyDescent="0.2">
      <c r="A3810"/>
      <c r="B3810"/>
    </row>
    <row r="3811" spans="1:2" x14ac:dyDescent="0.2">
      <c r="A3811"/>
      <c r="B3811"/>
    </row>
    <row r="3812" spans="1:2" x14ac:dyDescent="0.2">
      <c r="A3812"/>
      <c r="B3812"/>
    </row>
    <row r="3813" spans="1:2" x14ac:dyDescent="0.2">
      <c r="A3813"/>
      <c r="B3813"/>
    </row>
    <row r="3814" spans="1:2" x14ac:dyDescent="0.2">
      <c r="A3814"/>
      <c r="B3814"/>
    </row>
    <row r="3815" spans="1:2" x14ac:dyDescent="0.2">
      <c r="A3815"/>
      <c r="B3815"/>
    </row>
    <row r="3816" spans="1:2" x14ac:dyDescent="0.2">
      <c r="A3816"/>
      <c r="B3816"/>
    </row>
    <row r="3817" spans="1:2" x14ac:dyDescent="0.2">
      <c r="A3817"/>
      <c r="B3817"/>
    </row>
    <row r="3818" spans="1:2" x14ac:dyDescent="0.2">
      <c r="A3818"/>
      <c r="B3818"/>
    </row>
    <row r="3819" spans="1:2" x14ac:dyDescent="0.2">
      <c r="A3819"/>
      <c r="B3819"/>
    </row>
    <row r="3820" spans="1:2" x14ac:dyDescent="0.2">
      <c r="A3820"/>
      <c r="B3820"/>
    </row>
    <row r="3821" spans="1:2" x14ac:dyDescent="0.2">
      <c r="A3821"/>
      <c r="B3821"/>
    </row>
    <row r="3822" spans="1:2" x14ac:dyDescent="0.2">
      <c r="A3822"/>
      <c r="B3822"/>
    </row>
    <row r="3823" spans="1:2" x14ac:dyDescent="0.2">
      <c r="A3823"/>
      <c r="B3823"/>
    </row>
    <row r="3824" spans="1:2" x14ac:dyDescent="0.2">
      <c r="A3824"/>
      <c r="B3824"/>
    </row>
    <row r="3825" spans="1:2" x14ac:dyDescent="0.2">
      <c r="A3825"/>
      <c r="B3825"/>
    </row>
    <row r="3826" spans="1:2" x14ac:dyDescent="0.2">
      <c r="A3826"/>
      <c r="B3826"/>
    </row>
    <row r="3827" spans="1:2" x14ac:dyDescent="0.2">
      <c r="A3827"/>
      <c r="B3827"/>
    </row>
    <row r="3828" spans="1:2" x14ac:dyDescent="0.2">
      <c r="A3828"/>
      <c r="B3828"/>
    </row>
    <row r="3829" spans="1:2" x14ac:dyDescent="0.2">
      <c r="A3829"/>
      <c r="B3829"/>
    </row>
    <row r="3830" spans="1:2" x14ac:dyDescent="0.2">
      <c r="A3830"/>
      <c r="B3830"/>
    </row>
    <row r="3831" spans="1:2" x14ac:dyDescent="0.2">
      <c r="A3831"/>
      <c r="B3831"/>
    </row>
    <row r="3832" spans="1:2" x14ac:dyDescent="0.2">
      <c r="A3832"/>
      <c r="B3832"/>
    </row>
    <row r="3833" spans="1:2" x14ac:dyDescent="0.2">
      <c r="A3833"/>
      <c r="B3833"/>
    </row>
    <row r="3834" spans="1:2" x14ac:dyDescent="0.2">
      <c r="A3834"/>
      <c r="B3834"/>
    </row>
    <row r="3835" spans="1:2" x14ac:dyDescent="0.2">
      <c r="A3835"/>
      <c r="B3835"/>
    </row>
    <row r="3836" spans="1:2" x14ac:dyDescent="0.2">
      <c r="A3836"/>
      <c r="B3836"/>
    </row>
    <row r="3837" spans="1:2" x14ac:dyDescent="0.2">
      <c r="A3837"/>
      <c r="B3837"/>
    </row>
    <row r="3838" spans="1:2" x14ac:dyDescent="0.2">
      <c r="A3838"/>
      <c r="B3838"/>
    </row>
    <row r="3839" spans="1:2" x14ac:dyDescent="0.2">
      <c r="A3839"/>
      <c r="B3839"/>
    </row>
    <row r="3840" spans="1:2" x14ac:dyDescent="0.2">
      <c r="A3840"/>
      <c r="B3840"/>
    </row>
    <row r="3841" spans="1:2" x14ac:dyDescent="0.2">
      <c r="A3841"/>
      <c r="B3841"/>
    </row>
    <row r="3842" spans="1:2" x14ac:dyDescent="0.2">
      <c r="A3842"/>
      <c r="B3842"/>
    </row>
    <row r="3843" spans="1:2" x14ac:dyDescent="0.2">
      <c r="A3843"/>
      <c r="B3843"/>
    </row>
    <row r="3844" spans="1:2" x14ac:dyDescent="0.2">
      <c r="A3844"/>
      <c r="B3844"/>
    </row>
    <row r="3845" spans="1:2" x14ac:dyDescent="0.2">
      <c r="A3845"/>
      <c r="B3845"/>
    </row>
    <row r="3846" spans="1:2" x14ac:dyDescent="0.2">
      <c r="A3846"/>
      <c r="B3846"/>
    </row>
    <row r="3847" spans="1:2" x14ac:dyDescent="0.2">
      <c r="A3847"/>
      <c r="B3847"/>
    </row>
    <row r="3848" spans="1:2" x14ac:dyDescent="0.2">
      <c r="A3848"/>
      <c r="B3848"/>
    </row>
    <row r="3849" spans="1:2" x14ac:dyDescent="0.2">
      <c r="A3849"/>
      <c r="B3849"/>
    </row>
    <row r="3850" spans="1:2" x14ac:dyDescent="0.2">
      <c r="A3850"/>
      <c r="B3850"/>
    </row>
    <row r="3851" spans="1:2" x14ac:dyDescent="0.2">
      <c r="A3851"/>
      <c r="B3851"/>
    </row>
    <row r="3852" spans="1:2" x14ac:dyDescent="0.2">
      <c r="A3852"/>
      <c r="B3852"/>
    </row>
    <row r="3853" spans="1:2" x14ac:dyDescent="0.2">
      <c r="A3853"/>
      <c r="B3853"/>
    </row>
    <row r="3854" spans="1:2" x14ac:dyDescent="0.2">
      <c r="A3854"/>
      <c r="B3854"/>
    </row>
    <row r="3855" spans="1:2" x14ac:dyDescent="0.2">
      <c r="A3855"/>
      <c r="B3855"/>
    </row>
    <row r="3856" spans="1:2" x14ac:dyDescent="0.2">
      <c r="A3856"/>
      <c r="B3856"/>
    </row>
    <row r="3857" spans="1:2" x14ac:dyDescent="0.2">
      <c r="A3857"/>
      <c r="B3857"/>
    </row>
    <row r="3858" spans="1:2" x14ac:dyDescent="0.2">
      <c r="A3858"/>
      <c r="B3858"/>
    </row>
    <row r="3859" spans="1:2" x14ac:dyDescent="0.2">
      <c r="A3859"/>
      <c r="B3859"/>
    </row>
    <row r="3860" spans="1:2" x14ac:dyDescent="0.2">
      <c r="A3860"/>
      <c r="B3860"/>
    </row>
    <row r="3861" spans="1:2" x14ac:dyDescent="0.2">
      <c r="A3861"/>
      <c r="B3861"/>
    </row>
    <row r="3862" spans="1:2" x14ac:dyDescent="0.2">
      <c r="A3862"/>
      <c r="B3862"/>
    </row>
    <row r="3863" spans="1:2" x14ac:dyDescent="0.2">
      <c r="A3863"/>
      <c r="B3863"/>
    </row>
    <row r="3864" spans="1:2" x14ac:dyDescent="0.2">
      <c r="A3864"/>
      <c r="B3864"/>
    </row>
    <row r="3865" spans="1:2" x14ac:dyDescent="0.2">
      <c r="A3865"/>
      <c r="B3865"/>
    </row>
    <row r="3866" spans="1:2" x14ac:dyDescent="0.2">
      <c r="A3866"/>
      <c r="B3866"/>
    </row>
    <row r="3867" spans="1:2" x14ac:dyDescent="0.2">
      <c r="A3867"/>
      <c r="B3867"/>
    </row>
    <row r="3868" spans="1:2" x14ac:dyDescent="0.2">
      <c r="A3868"/>
      <c r="B3868"/>
    </row>
    <row r="3869" spans="1:2" x14ac:dyDescent="0.2">
      <c r="A3869"/>
      <c r="B3869"/>
    </row>
    <row r="3870" spans="1:2" x14ac:dyDescent="0.2">
      <c r="A3870"/>
      <c r="B3870"/>
    </row>
    <row r="3871" spans="1:2" x14ac:dyDescent="0.2">
      <c r="A3871"/>
      <c r="B3871"/>
    </row>
    <row r="3872" spans="1:2" x14ac:dyDescent="0.2">
      <c r="A3872"/>
      <c r="B3872"/>
    </row>
    <row r="3873" spans="1:2" x14ac:dyDescent="0.2">
      <c r="A3873"/>
      <c r="B3873"/>
    </row>
    <row r="3874" spans="1:2" x14ac:dyDescent="0.2">
      <c r="A3874"/>
      <c r="B3874"/>
    </row>
    <row r="3875" spans="1:2" x14ac:dyDescent="0.2">
      <c r="A3875"/>
      <c r="B3875"/>
    </row>
    <row r="3876" spans="1:2" x14ac:dyDescent="0.2">
      <c r="A3876"/>
      <c r="B3876"/>
    </row>
    <row r="3877" spans="1:2" x14ac:dyDescent="0.2">
      <c r="A3877"/>
      <c r="B3877"/>
    </row>
    <row r="3878" spans="1:2" x14ac:dyDescent="0.2">
      <c r="A3878"/>
      <c r="B3878"/>
    </row>
    <row r="3879" spans="1:2" x14ac:dyDescent="0.2">
      <c r="A3879"/>
      <c r="B3879"/>
    </row>
    <row r="3880" spans="1:2" x14ac:dyDescent="0.2">
      <c r="A3880"/>
      <c r="B3880"/>
    </row>
    <row r="3881" spans="1:2" x14ac:dyDescent="0.2">
      <c r="A3881"/>
      <c r="B3881"/>
    </row>
    <row r="3882" spans="1:2" x14ac:dyDescent="0.2">
      <c r="A3882"/>
      <c r="B3882"/>
    </row>
    <row r="3883" spans="1:2" x14ac:dyDescent="0.2">
      <c r="A3883"/>
      <c r="B3883"/>
    </row>
    <row r="3884" spans="1:2" x14ac:dyDescent="0.2">
      <c r="A3884"/>
      <c r="B3884"/>
    </row>
    <row r="3885" spans="1:2" x14ac:dyDescent="0.2">
      <c r="A3885"/>
      <c r="B3885"/>
    </row>
    <row r="3886" spans="1:2" x14ac:dyDescent="0.2">
      <c r="A3886"/>
      <c r="B3886"/>
    </row>
    <row r="3887" spans="1:2" x14ac:dyDescent="0.2">
      <c r="A3887"/>
      <c r="B3887"/>
    </row>
    <row r="3888" spans="1:2" x14ac:dyDescent="0.2">
      <c r="A3888"/>
      <c r="B3888"/>
    </row>
    <row r="3889" spans="1:2" x14ac:dyDescent="0.2">
      <c r="A3889"/>
      <c r="B3889"/>
    </row>
    <row r="3890" spans="1:2" x14ac:dyDescent="0.2">
      <c r="A3890"/>
      <c r="B3890"/>
    </row>
    <row r="3891" spans="1:2" x14ac:dyDescent="0.2">
      <c r="A3891"/>
      <c r="B3891"/>
    </row>
    <row r="3892" spans="1:2" x14ac:dyDescent="0.2">
      <c r="A3892"/>
      <c r="B3892"/>
    </row>
    <row r="3893" spans="1:2" x14ac:dyDescent="0.2">
      <c r="A3893"/>
      <c r="B3893"/>
    </row>
    <row r="3894" spans="1:2" x14ac:dyDescent="0.2">
      <c r="A3894"/>
      <c r="B3894"/>
    </row>
    <row r="3895" spans="1:2" x14ac:dyDescent="0.2">
      <c r="A3895"/>
      <c r="B3895"/>
    </row>
    <row r="3896" spans="1:2" x14ac:dyDescent="0.2">
      <c r="A3896"/>
      <c r="B3896"/>
    </row>
    <row r="3897" spans="1:2" x14ac:dyDescent="0.2">
      <c r="A3897"/>
      <c r="B3897"/>
    </row>
    <row r="3898" spans="1:2" x14ac:dyDescent="0.2">
      <c r="A3898"/>
      <c r="B3898"/>
    </row>
    <row r="3899" spans="1:2" x14ac:dyDescent="0.2">
      <c r="A3899"/>
      <c r="B3899"/>
    </row>
    <row r="3900" spans="1:2" x14ac:dyDescent="0.2">
      <c r="A3900"/>
      <c r="B3900"/>
    </row>
    <row r="3901" spans="1:2" x14ac:dyDescent="0.2">
      <c r="A3901"/>
      <c r="B3901"/>
    </row>
    <row r="3902" spans="1:2" x14ac:dyDescent="0.2">
      <c r="A3902"/>
      <c r="B3902"/>
    </row>
    <row r="3903" spans="1:2" x14ac:dyDescent="0.2">
      <c r="A3903"/>
      <c r="B3903"/>
    </row>
    <row r="3904" spans="1:2" x14ac:dyDescent="0.2">
      <c r="A3904"/>
      <c r="B3904"/>
    </row>
    <row r="3905" spans="1:2" x14ac:dyDescent="0.2">
      <c r="A3905"/>
      <c r="B3905"/>
    </row>
    <row r="3906" spans="1:2" x14ac:dyDescent="0.2">
      <c r="A3906"/>
      <c r="B3906"/>
    </row>
    <row r="3907" spans="1:2" x14ac:dyDescent="0.2">
      <c r="A3907"/>
      <c r="B3907"/>
    </row>
    <row r="3908" spans="1:2" x14ac:dyDescent="0.2">
      <c r="A3908"/>
      <c r="B3908"/>
    </row>
    <row r="3909" spans="1:2" x14ac:dyDescent="0.2">
      <c r="A3909"/>
      <c r="B3909"/>
    </row>
    <row r="3910" spans="1:2" x14ac:dyDescent="0.2">
      <c r="A3910"/>
      <c r="B3910"/>
    </row>
    <row r="3911" spans="1:2" x14ac:dyDescent="0.2">
      <c r="A3911"/>
      <c r="B3911"/>
    </row>
    <row r="3912" spans="1:2" x14ac:dyDescent="0.2">
      <c r="A3912"/>
      <c r="B3912"/>
    </row>
    <row r="3913" spans="1:2" x14ac:dyDescent="0.2">
      <c r="A3913"/>
      <c r="B3913"/>
    </row>
    <row r="3914" spans="1:2" x14ac:dyDescent="0.2">
      <c r="A3914"/>
      <c r="B3914"/>
    </row>
    <row r="3915" spans="1:2" x14ac:dyDescent="0.2">
      <c r="A3915"/>
      <c r="B3915"/>
    </row>
    <row r="3916" spans="1:2" x14ac:dyDescent="0.2">
      <c r="A3916"/>
      <c r="B3916"/>
    </row>
    <row r="3917" spans="1:2" x14ac:dyDescent="0.2">
      <c r="A3917"/>
      <c r="B3917"/>
    </row>
    <row r="3918" spans="1:2" x14ac:dyDescent="0.2">
      <c r="A3918"/>
      <c r="B3918"/>
    </row>
    <row r="3919" spans="1:2" x14ac:dyDescent="0.2">
      <c r="A3919"/>
      <c r="B3919"/>
    </row>
    <row r="3920" spans="1:2" x14ac:dyDescent="0.2">
      <c r="A3920"/>
      <c r="B3920"/>
    </row>
    <row r="3921" spans="1:2" x14ac:dyDescent="0.2">
      <c r="A3921"/>
      <c r="B3921"/>
    </row>
    <row r="3922" spans="1:2" x14ac:dyDescent="0.2">
      <c r="A3922"/>
      <c r="B3922"/>
    </row>
    <row r="3923" spans="1:2" x14ac:dyDescent="0.2">
      <c r="A3923"/>
      <c r="B3923"/>
    </row>
    <row r="3924" spans="1:2" x14ac:dyDescent="0.2">
      <c r="A3924"/>
      <c r="B3924"/>
    </row>
    <row r="3925" spans="1:2" x14ac:dyDescent="0.2">
      <c r="A3925"/>
      <c r="B3925"/>
    </row>
    <row r="3926" spans="1:2" x14ac:dyDescent="0.2">
      <c r="A3926"/>
      <c r="B3926"/>
    </row>
    <row r="3927" spans="1:2" x14ac:dyDescent="0.2">
      <c r="A3927"/>
      <c r="B3927"/>
    </row>
    <row r="3928" spans="1:2" x14ac:dyDescent="0.2">
      <c r="A3928"/>
      <c r="B3928"/>
    </row>
    <row r="3929" spans="1:2" x14ac:dyDescent="0.2">
      <c r="A3929"/>
      <c r="B3929"/>
    </row>
    <row r="3930" spans="1:2" x14ac:dyDescent="0.2">
      <c r="A3930"/>
      <c r="B3930"/>
    </row>
    <row r="3931" spans="1:2" x14ac:dyDescent="0.2">
      <c r="A3931"/>
      <c r="B3931"/>
    </row>
    <row r="3932" spans="1:2" x14ac:dyDescent="0.2">
      <c r="A3932"/>
      <c r="B3932"/>
    </row>
    <row r="3933" spans="1:2" x14ac:dyDescent="0.2">
      <c r="A3933"/>
      <c r="B3933"/>
    </row>
    <row r="3934" spans="1:2" x14ac:dyDescent="0.2">
      <c r="A3934"/>
      <c r="B3934"/>
    </row>
    <row r="3935" spans="1:2" x14ac:dyDescent="0.2">
      <c r="A3935"/>
      <c r="B3935"/>
    </row>
    <row r="3936" spans="1:2" x14ac:dyDescent="0.2">
      <c r="A3936"/>
      <c r="B3936"/>
    </row>
    <row r="3937" spans="1:2" x14ac:dyDescent="0.2">
      <c r="A3937"/>
      <c r="B3937"/>
    </row>
    <row r="3938" spans="1:2" x14ac:dyDescent="0.2">
      <c r="A3938"/>
      <c r="B3938"/>
    </row>
    <row r="3939" spans="1:2" x14ac:dyDescent="0.2">
      <c r="A3939"/>
      <c r="B3939"/>
    </row>
    <row r="3940" spans="1:2" x14ac:dyDescent="0.2">
      <c r="A3940"/>
      <c r="B3940"/>
    </row>
    <row r="3941" spans="1:2" x14ac:dyDescent="0.2">
      <c r="A3941"/>
      <c r="B3941"/>
    </row>
    <row r="3942" spans="1:2" x14ac:dyDescent="0.2">
      <c r="A3942"/>
      <c r="B3942"/>
    </row>
    <row r="3943" spans="1:2" x14ac:dyDescent="0.2">
      <c r="A3943"/>
      <c r="B3943"/>
    </row>
    <row r="3944" spans="1:2" x14ac:dyDescent="0.2">
      <c r="A3944"/>
      <c r="B3944"/>
    </row>
    <row r="3945" spans="1:2" x14ac:dyDescent="0.2">
      <c r="A3945"/>
      <c r="B3945"/>
    </row>
    <row r="3946" spans="1:2" x14ac:dyDescent="0.2">
      <c r="A3946"/>
      <c r="B3946"/>
    </row>
    <row r="3947" spans="1:2" x14ac:dyDescent="0.2">
      <c r="A3947"/>
      <c r="B3947"/>
    </row>
    <row r="3948" spans="1:2" x14ac:dyDescent="0.2">
      <c r="A3948"/>
      <c r="B3948"/>
    </row>
    <row r="3949" spans="1:2" x14ac:dyDescent="0.2">
      <c r="A3949"/>
      <c r="B3949"/>
    </row>
    <row r="3950" spans="1:2" x14ac:dyDescent="0.2">
      <c r="A3950"/>
      <c r="B3950"/>
    </row>
    <row r="3951" spans="1:2" x14ac:dyDescent="0.2">
      <c r="A3951"/>
      <c r="B3951"/>
    </row>
    <row r="3952" spans="1:2" x14ac:dyDescent="0.2">
      <c r="A3952"/>
      <c r="B3952"/>
    </row>
    <row r="3953" spans="1:2" x14ac:dyDescent="0.2">
      <c r="A3953"/>
      <c r="B3953"/>
    </row>
    <row r="3954" spans="1:2" x14ac:dyDescent="0.2">
      <c r="A3954"/>
      <c r="B3954"/>
    </row>
    <row r="3955" spans="1:2" x14ac:dyDescent="0.2">
      <c r="A3955"/>
      <c r="B3955"/>
    </row>
    <row r="3956" spans="1:2" x14ac:dyDescent="0.2">
      <c r="A3956"/>
      <c r="B3956"/>
    </row>
    <row r="3957" spans="1:2" x14ac:dyDescent="0.2">
      <c r="A3957"/>
      <c r="B3957"/>
    </row>
    <row r="3958" spans="1:2" x14ac:dyDescent="0.2">
      <c r="A3958"/>
      <c r="B3958"/>
    </row>
    <row r="3959" spans="1:2" x14ac:dyDescent="0.2">
      <c r="A3959"/>
      <c r="B3959"/>
    </row>
    <row r="3960" spans="1:2" x14ac:dyDescent="0.2">
      <c r="A3960"/>
      <c r="B3960"/>
    </row>
    <row r="3961" spans="1:2" x14ac:dyDescent="0.2">
      <c r="A3961"/>
      <c r="B3961"/>
    </row>
    <row r="3962" spans="1:2" x14ac:dyDescent="0.2">
      <c r="A3962"/>
      <c r="B3962"/>
    </row>
    <row r="3963" spans="1:2" x14ac:dyDescent="0.2">
      <c r="A3963"/>
      <c r="B3963"/>
    </row>
    <row r="3964" spans="1:2" x14ac:dyDescent="0.2">
      <c r="A3964"/>
      <c r="B3964"/>
    </row>
    <row r="3965" spans="1:2" x14ac:dyDescent="0.2">
      <c r="A3965"/>
      <c r="B3965"/>
    </row>
    <row r="3966" spans="1:2" x14ac:dyDescent="0.2">
      <c r="A3966"/>
      <c r="B3966"/>
    </row>
    <row r="3967" spans="1:2" x14ac:dyDescent="0.2">
      <c r="A3967"/>
      <c r="B3967"/>
    </row>
    <row r="3968" spans="1:2" x14ac:dyDescent="0.2">
      <c r="A3968"/>
      <c r="B3968"/>
    </row>
    <row r="3969" spans="1:2" x14ac:dyDescent="0.2">
      <c r="A3969"/>
      <c r="B3969"/>
    </row>
    <row r="3970" spans="1:2" x14ac:dyDescent="0.2">
      <c r="A3970"/>
      <c r="B3970"/>
    </row>
    <row r="3971" spans="1:2" x14ac:dyDescent="0.2">
      <c r="A3971"/>
      <c r="B3971"/>
    </row>
    <row r="3972" spans="1:2" x14ac:dyDescent="0.2">
      <c r="A3972"/>
      <c r="B3972"/>
    </row>
    <row r="3973" spans="1:2" x14ac:dyDescent="0.2">
      <c r="A3973"/>
      <c r="B3973"/>
    </row>
    <row r="3974" spans="1:2" x14ac:dyDescent="0.2">
      <c r="A3974"/>
      <c r="B3974"/>
    </row>
    <row r="3975" spans="1:2" x14ac:dyDescent="0.2">
      <c r="A3975"/>
      <c r="B3975"/>
    </row>
    <row r="3976" spans="1:2" x14ac:dyDescent="0.2">
      <c r="A3976"/>
      <c r="B3976"/>
    </row>
    <row r="3977" spans="1:2" x14ac:dyDescent="0.2">
      <c r="A3977"/>
      <c r="B3977"/>
    </row>
    <row r="3978" spans="1:2" x14ac:dyDescent="0.2">
      <c r="A3978"/>
      <c r="B3978"/>
    </row>
    <row r="3979" spans="1:2" x14ac:dyDescent="0.2">
      <c r="A3979"/>
      <c r="B3979"/>
    </row>
    <row r="3980" spans="1:2" x14ac:dyDescent="0.2">
      <c r="A3980"/>
      <c r="B3980"/>
    </row>
    <row r="3981" spans="1:2" x14ac:dyDescent="0.2">
      <c r="A3981"/>
      <c r="B3981"/>
    </row>
    <row r="3982" spans="1:2" x14ac:dyDescent="0.2">
      <c r="A3982"/>
      <c r="B3982"/>
    </row>
    <row r="3983" spans="1:2" x14ac:dyDescent="0.2">
      <c r="A3983"/>
      <c r="B3983"/>
    </row>
    <row r="3984" spans="1:2" x14ac:dyDescent="0.2">
      <c r="A3984"/>
      <c r="B3984"/>
    </row>
    <row r="3985" spans="1:2" x14ac:dyDescent="0.2">
      <c r="A3985"/>
      <c r="B3985"/>
    </row>
    <row r="3986" spans="1:2" x14ac:dyDescent="0.2">
      <c r="A3986"/>
      <c r="B3986"/>
    </row>
    <row r="3987" spans="1:2" x14ac:dyDescent="0.2">
      <c r="A3987"/>
      <c r="B3987"/>
    </row>
    <row r="3988" spans="1:2" x14ac:dyDescent="0.2">
      <c r="A3988"/>
      <c r="B3988"/>
    </row>
    <row r="3989" spans="1:2" x14ac:dyDescent="0.2">
      <c r="A3989"/>
      <c r="B3989"/>
    </row>
    <row r="3990" spans="1:2" x14ac:dyDescent="0.2">
      <c r="A3990"/>
      <c r="B3990"/>
    </row>
    <row r="3991" spans="1:2" x14ac:dyDescent="0.2">
      <c r="A3991"/>
      <c r="B3991"/>
    </row>
    <row r="3992" spans="1:2" x14ac:dyDescent="0.2">
      <c r="A3992"/>
      <c r="B3992"/>
    </row>
    <row r="3993" spans="1:2" x14ac:dyDescent="0.2">
      <c r="A3993"/>
      <c r="B3993"/>
    </row>
    <row r="3994" spans="1:2" x14ac:dyDescent="0.2">
      <c r="A3994"/>
      <c r="B3994"/>
    </row>
    <row r="3995" spans="1:2" x14ac:dyDescent="0.2">
      <c r="A3995"/>
      <c r="B3995"/>
    </row>
    <row r="3996" spans="1:2" x14ac:dyDescent="0.2">
      <c r="A3996"/>
      <c r="B3996"/>
    </row>
    <row r="3997" spans="1:2" x14ac:dyDescent="0.2">
      <c r="A3997"/>
      <c r="B3997"/>
    </row>
    <row r="3998" spans="1:2" x14ac:dyDescent="0.2">
      <c r="A3998"/>
      <c r="B3998"/>
    </row>
    <row r="3999" spans="1:2" x14ac:dyDescent="0.2">
      <c r="A3999"/>
      <c r="B3999"/>
    </row>
    <row r="4000" spans="1:2" x14ac:dyDescent="0.2">
      <c r="A4000"/>
      <c r="B4000"/>
    </row>
    <row r="4001" spans="1:2" x14ac:dyDescent="0.2">
      <c r="A4001"/>
      <c r="B4001"/>
    </row>
    <row r="4002" spans="1:2" x14ac:dyDescent="0.2">
      <c r="A4002"/>
      <c r="B4002"/>
    </row>
    <row r="4003" spans="1:2" x14ac:dyDescent="0.2">
      <c r="A4003"/>
      <c r="B4003"/>
    </row>
    <row r="4004" spans="1:2" x14ac:dyDescent="0.2">
      <c r="A4004"/>
      <c r="B4004"/>
    </row>
    <row r="4005" spans="1:2" x14ac:dyDescent="0.2">
      <c r="A4005"/>
      <c r="B4005"/>
    </row>
    <row r="4006" spans="1:2" x14ac:dyDescent="0.2">
      <c r="A4006"/>
      <c r="B4006"/>
    </row>
    <row r="4007" spans="1:2" x14ac:dyDescent="0.2">
      <c r="A4007"/>
      <c r="B4007"/>
    </row>
    <row r="4008" spans="1:2" x14ac:dyDescent="0.2">
      <c r="A4008"/>
      <c r="B4008"/>
    </row>
    <row r="4009" spans="1:2" x14ac:dyDescent="0.2">
      <c r="A4009"/>
      <c r="B4009"/>
    </row>
    <row r="4010" spans="1:2" x14ac:dyDescent="0.2">
      <c r="A4010"/>
      <c r="B4010"/>
    </row>
    <row r="4011" spans="1:2" x14ac:dyDescent="0.2">
      <c r="A4011"/>
      <c r="B4011"/>
    </row>
    <row r="4012" spans="1:2" x14ac:dyDescent="0.2">
      <c r="A4012"/>
      <c r="B4012"/>
    </row>
    <row r="4013" spans="1:2" x14ac:dyDescent="0.2">
      <c r="A4013"/>
      <c r="B4013"/>
    </row>
    <row r="4014" spans="1:2" x14ac:dyDescent="0.2">
      <c r="A4014"/>
      <c r="B4014"/>
    </row>
    <row r="4015" spans="1:2" x14ac:dyDescent="0.2">
      <c r="A4015"/>
      <c r="B4015"/>
    </row>
    <row r="4016" spans="1:2" x14ac:dyDescent="0.2">
      <c r="A4016"/>
      <c r="B4016"/>
    </row>
    <row r="4017" spans="1:2" x14ac:dyDescent="0.2">
      <c r="A4017"/>
      <c r="B4017"/>
    </row>
    <row r="4018" spans="1:2" x14ac:dyDescent="0.2">
      <c r="A4018"/>
      <c r="B4018"/>
    </row>
    <row r="4019" spans="1:2" x14ac:dyDescent="0.2">
      <c r="A4019"/>
      <c r="B4019"/>
    </row>
    <row r="4020" spans="1:2" x14ac:dyDescent="0.2">
      <c r="A4020"/>
      <c r="B4020"/>
    </row>
    <row r="4021" spans="1:2" x14ac:dyDescent="0.2">
      <c r="A4021"/>
      <c r="B4021"/>
    </row>
    <row r="4022" spans="1:2" x14ac:dyDescent="0.2">
      <c r="A4022"/>
      <c r="B4022"/>
    </row>
    <row r="4023" spans="1:2" x14ac:dyDescent="0.2">
      <c r="A4023"/>
      <c r="B4023"/>
    </row>
    <row r="4024" spans="1:2" x14ac:dyDescent="0.2">
      <c r="A4024"/>
      <c r="B4024"/>
    </row>
    <row r="4025" spans="1:2" x14ac:dyDescent="0.2">
      <c r="A4025"/>
      <c r="B4025"/>
    </row>
    <row r="4026" spans="1:2" x14ac:dyDescent="0.2">
      <c r="A4026"/>
      <c r="B4026"/>
    </row>
    <row r="4027" spans="1:2" x14ac:dyDescent="0.2">
      <c r="A4027"/>
      <c r="B4027"/>
    </row>
    <row r="4028" spans="1:2" x14ac:dyDescent="0.2">
      <c r="A4028"/>
      <c r="B4028"/>
    </row>
    <row r="4029" spans="1:2" x14ac:dyDescent="0.2">
      <c r="A4029"/>
      <c r="B4029"/>
    </row>
    <row r="4030" spans="1:2" x14ac:dyDescent="0.2">
      <c r="A4030"/>
      <c r="B4030"/>
    </row>
    <row r="4031" spans="1:2" x14ac:dyDescent="0.2">
      <c r="A4031"/>
      <c r="B4031"/>
    </row>
    <row r="4032" spans="1:2" x14ac:dyDescent="0.2">
      <c r="A4032"/>
      <c r="B4032"/>
    </row>
    <row r="4033" spans="1:2" x14ac:dyDescent="0.2">
      <c r="A4033"/>
      <c r="B4033"/>
    </row>
    <row r="4034" spans="1:2" x14ac:dyDescent="0.2">
      <c r="A4034"/>
      <c r="B4034"/>
    </row>
    <row r="4035" spans="1:2" x14ac:dyDescent="0.2">
      <c r="A4035"/>
      <c r="B4035"/>
    </row>
    <row r="4036" spans="1:2" x14ac:dyDescent="0.2">
      <c r="A4036"/>
      <c r="B4036"/>
    </row>
    <row r="4037" spans="1:2" x14ac:dyDescent="0.2">
      <c r="A4037"/>
      <c r="B4037"/>
    </row>
    <row r="4038" spans="1:2" x14ac:dyDescent="0.2">
      <c r="A4038"/>
      <c r="B4038"/>
    </row>
    <row r="4039" spans="1:2" x14ac:dyDescent="0.2">
      <c r="A4039"/>
      <c r="B4039"/>
    </row>
    <row r="4040" spans="1:2" x14ac:dyDescent="0.2">
      <c r="A4040"/>
      <c r="B4040"/>
    </row>
    <row r="4041" spans="1:2" x14ac:dyDescent="0.2">
      <c r="A4041"/>
      <c r="B4041"/>
    </row>
    <row r="4042" spans="1:2" x14ac:dyDescent="0.2">
      <c r="A4042"/>
      <c r="B4042"/>
    </row>
    <row r="4043" spans="1:2" x14ac:dyDescent="0.2">
      <c r="A4043"/>
      <c r="B4043"/>
    </row>
    <row r="4044" spans="1:2" x14ac:dyDescent="0.2">
      <c r="A4044"/>
      <c r="B4044"/>
    </row>
    <row r="4045" spans="1:2" x14ac:dyDescent="0.2">
      <c r="A4045"/>
      <c r="B4045"/>
    </row>
    <row r="4046" spans="1:2" x14ac:dyDescent="0.2">
      <c r="A4046"/>
      <c r="B4046"/>
    </row>
    <row r="4047" spans="1:2" x14ac:dyDescent="0.2">
      <c r="A4047"/>
      <c r="B4047"/>
    </row>
    <row r="4048" spans="1:2" x14ac:dyDescent="0.2">
      <c r="A4048"/>
      <c r="B4048"/>
    </row>
    <row r="4049" spans="1:2" x14ac:dyDescent="0.2">
      <c r="A4049"/>
      <c r="B4049"/>
    </row>
    <row r="4050" spans="1:2" x14ac:dyDescent="0.2">
      <c r="A4050"/>
      <c r="B4050"/>
    </row>
    <row r="4051" spans="1:2" x14ac:dyDescent="0.2">
      <c r="A4051"/>
      <c r="B4051"/>
    </row>
    <row r="4052" spans="1:2" x14ac:dyDescent="0.2">
      <c r="A4052"/>
      <c r="B4052"/>
    </row>
    <row r="4053" spans="1:2" x14ac:dyDescent="0.2">
      <c r="A4053"/>
      <c r="B4053"/>
    </row>
    <row r="4054" spans="1:2" x14ac:dyDescent="0.2">
      <c r="A4054"/>
      <c r="B4054"/>
    </row>
    <row r="4055" spans="1:2" x14ac:dyDescent="0.2">
      <c r="A4055"/>
      <c r="B4055"/>
    </row>
    <row r="4056" spans="1:2" x14ac:dyDescent="0.2">
      <c r="A4056"/>
      <c r="B4056"/>
    </row>
    <row r="4057" spans="1:2" x14ac:dyDescent="0.2">
      <c r="A4057"/>
      <c r="B4057"/>
    </row>
    <row r="4058" spans="1:2" x14ac:dyDescent="0.2">
      <c r="A4058"/>
      <c r="B4058"/>
    </row>
    <row r="4059" spans="1:2" x14ac:dyDescent="0.2">
      <c r="A4059"/>
      <c r="B4059"/>
    </row>
    <row r="4060" spans="1:2" x14ac:dyDescent="0.2">
      <c r="A4060"/>
      <c r="B4060"/>
    </row>
    <row r="4061" spans="1:2" x14ac:dyDescent="0.2">
      <c r="A4061"/>
      <c r="B4061"/>
    </row>
    <row r="4062" spans="1:2" x14ac:dyDescent="0.2">
      <c r="A4062"/>
      <c r="B4062"/>
    </row>
    <row r="4063" spans="1:2" x14ac:dyDescent="0.2">
      <c r="A4063"/>
      <c r="B4063"/>
    </row>
    <row r="4064" spans="1:2" x14ac:dyDescent="0.2">
      <c r="A4064"/>
      <c r="B4064"/>
    </row>
    <row r="4065" spans="1:2" x14ac:dyDescent="0.2">
      <c r="A4065"/>
      <c r="B4065"/>
    </row>
    <row r="4066" spans="1:2" x14ac:dyDescent="0.2">
      <c r="A4066"/>
      <c r="B4066"/>
    </row>
    <row r="4067" spans="1:2" x14ac:dyDescent="0.2">
      <c r="A4067"/>
      <c r="B4067"/>
    </row>
    <row r="4068" spans="1:2" x14ac:dyDescent="0.2">
      <c r="A4068"/>
      <c r="B4068"/>
    </row>
    <row r="4069" spans="1:2" x14ac:dyDescent="0.2">
      <c r="A4069"/>
      <c r="B4069"/>
    </row>
    <row r="4070" spans="1:2" x14ac:dyDescent="0.2">
      <c r="A4070"/>
      <c r="B4070"/>
    </row>
    <row r="4071" spans="1:2" x14ac:dyDescent="0.2">
      <c r="A4071"/>
      <c r="B4071"/>
    </row>
    <row r="4072" spans="1:2" x14ac:dyDescent="0.2">
      <c r="A4072"/>
      <c r="B4072"/>
    </row>
    <row r="4073" spans="1:2" x14ac:dyDescent="0.2">
      <c r="A4073"/>
      <c r="B4073"/>
    </row>
    <row r="4074" spans="1:2" x14ac:dyDescent="0.2">
      <c r="A4074"/>
      <c r="B4074"/>
    </row>
    <row r="4075" spans="1:2" x14ac:dyDescent="0.2">
      <c r="A4075"/>
      <c r="B4075"/>
    </row>
    <row r="4076" spans="1:2" x14ac:dyDescent="0.2">
      <c r="A4076"/>
      <c r="B4076"/>
    </row>
    <row r="4077" spans="1:2" x14ac:dyDescent="0.2">
      <c r="A4077"/>
      <c r="B4077"/>
    </row>
    <row r="4078" spans="1:2" x14ac:dyDescent="0.2">
      <c r="A4078"/>
      <c r="B4078"/>
    </row>
    <row r="4079" spans="1:2" x14ac:dyDescent="0.2">
      <c r="A4079"/>
      <c r="B4079"/>
    </row>
    <row r="4080" spans="1:2" x14ac:dyDescent="0.2">
      <c r="A4080"/>
      <c r="B4080"/>
    </row>
    <row r="4081" spans="1:2" x14ac:dyDescent="0.2">
      <c r="A4081"/>
      <c r="B4081"/>
    </row>
    <row r="4082" spans="1:2" x14ac:dyDescent="0.2">
      <c r="A4082"/>
      <c r="B4082"/>
    </row>
    <row r="4083" spans="1:2" x14ac:dyDescent="0.2">
      <c r="A4083"/>
      <c r="B4083"/>
    </row>
    <row r="4084" spans="1:2" x14ac:dyDescent="0.2">
      <c r="A4084"/>
      <c r="B4084"/>
    </row>
    <row r="4085" spans="1:2" x14ac:dyDescent="0.2">
      <c r="A4085"/>
      <c r="B4085"/>
    </row>
    <row r="4086" spans="1:2" x14ac:dyDescent="0.2">
      <c r="A4086"/>
      <c r="B4086"/>
    </row>
    <row r="4087" spans="1:2" x14ac:dyDescent="0.2">
      <c r="A4087"/>
      <c r="B4087"/>
    </row>
    <row r="4088" spans="1:2" x14ac:dyDescent="0.2">
      <c r="A4088"/>
      <c r="B4088"/>
    </row>
    <row r="4089" spans="1:2" x14ac:dyDescent="0.2">
      <c r="A4089"/>
      <c r="B4089"/>
    </row>
    <row r="4090" spans="1:2" x14ac:dyDescent="0.2">
      <c r="A4090"/>
      <c r="B4090"/>
    </row>
    <row r="4091" spans="1:2" x14ac:dyDescent="0.2">
      <c r="A4091"/>
      <c r="B4091"/>
    </row>
    <row r="4092" spans="1:2" x14ac:dyDescent="0.2">
      <c r="A4092"/>
      <c r="B4092"/>
    </row>
    <row r="4093" spans="1:2" x14ac:dyDescent="0.2">
      <c r="A4093"/>
      <c r="B4093"/>
    </row>
    <row r="4094" spans="1:2" x14ac:dyDescent="0.2">
      <c r="A4094"/>
      <c r="B4094"/>
    </row>
    <row r="4095" spans="1:2" x14ac:dyDescent="0.2">
      <c r="A4095"/>
      <c r="B4095"/>
    </row>
    <row r="4096" spans="1:2" x14ac:dyDescent="0.2">
      <c r="A4096"/>
      <c r="B4096"/>
    </row>
    <row r="4097" spans="1:2" x14ac:dyDescent="0.2">
      <c r="A4097"/>
      <c r="B4097"/>
    </row>
    <row r="4098" spans="1:2" x14ac:dyDescent="0.2">
      <c r="A4098"/>
      <c r="B4098"/>
    </row>
    <row r="4099" spans="1:2" x14ac:dyDescent="0.2">
      <c r="A4099"/>
      <c r="B4099"/>
    </row>
    <row r="4100" spans="1:2" x14ac:dyDescent="0.2">
      <c r="A4100"/>
      <c r="B4100"/>
    </row>
    <row r="4101" spans="1:2" x14ac:dyDescent="0.2">
      <c r="A4101"/>
      <c r="B4101"/>
    </row>
    <row r="4102" spans="1:2" x14ac:dyDescent="0.2">
      <c r="A4102"/>
      <c r="B4102"/>
    </row>
    <row r="4103" spans="1:2" x14ac:dyDescent="0.2">
      <c r="A4103"/>
      <c r="B4103"/>
    </row>
    <row r="4104" spans="1:2" x14ac:dyDescent="0.2">
      <c r="A4104"/>
      <c r="B4104"/>
    </row>
    <row r="4105" spans="1:2" x14ac:dyDescent="0.2">
      <c r="A4105"/>
      <c r="B4105"/>
    </row>
    <row r="4106" spans="1:2" x14ac:dyDescent="0.2">
      <c r="A4106"/>
      <c r="B4106"/>
    </row>
    <row r="4107" spans="1:2" x14ac:dyDescent="0.2">
      <c r="A4107"/>
      <c r="B4107"/>
    </row>
    <row r="4108" spans="1:2" x14ac:dyDescent="0.2">
      <c r="A4108"/>
      <c r="B4108"/>
    </row>
    <row r="4109" spans="1:2" x14ac:dyDescent="0.2">
      <c r="A4109"/>
      <c r="B4109"/>
    </row>
    <row r="4110" spans="1:2" x14ac:dyDescent="0.2">
      <c r="A4110"/>
      <c r="B4110"/>
    </row>
    <row r="4111" spans="1:2" x14ac:dyDescent="0.2">
      <c r="A4111"/>
      <c r="B4111"/>
    </row>
    <row r="4112" spans="1:2" x14ac:dyDescent="0.2">
      <c r="A4112"/>
      <c r="B4112"/>
    </row>
    <row r="4113" spans="1:2" x14ac:dyDescent="0.2">
      <c r="A4113"/>
      <c r="B4113"/>
    </row>
    <row r="4114" spans="1:2" x14ac:dyDescent="0.2">
      <c r="A4114"/>
      <c r="B4114"/>
    </row>
    <row r="4115" spans="1:2" x14ac:dyDescent="0.2">
      <c r="A4115"/>
      <c r="B4115"/>
    </row>
    <row r="4116" spans="1:2" x14ac:dyDescent="0.2">
      <c r="A4116"/>
      <c r="B4116"/>
    </row>
    <row r="4117" spans="1:2" x14ac:dyDescent="0.2">
      <c r="A4117"/>
      <c r="B4117"/>
    </row>
    <row r="4118" spans="1:2" x14ac:dyDescent="0.2">
      <c r="A4118"/>
      <c r="B4118"/>
    </row>
    <row r="4119" spans="1:2" x14ac:dyDescent="0.2">
      <c r="A4119"/>
      <c r="B4119"/>
    </row>
    <row r="4120" spans="1:2" x14ac:dyDescent="0.2">
      <c r="A4120"/>
      <c r="B4120"/>
    </row>
    <row r="4121" spans="1:2" x14ac:dyDescent="0.2">
      <c r="A4121"/>
      <c r="B4121"/>
    </row>
    <row r="4122" spans="1:2" x14ac:dyDescent="0.2">
      <c r="A4122"/>
      <c r="B4122"/>
    </row>
    <row r="4123" spans="1:2" x14ac:dyDescent="0.2">
      <c r="A4123"/>
      <c r="B4123"/>
    </row>
    <row r="4124" spans="1:2" x14ac:dyDescent="0.2">
      <c r="A4124"/>
      <c r="B4124"/>
    </row>
    <row r="4125" spans="1:2" x14ac:dyDescent="0.2">
      <c r="A4125"/>
      <c r="B4125"/>
    </row>
    <row r="4126" spans="1:2" x14ac:dyDescent="0.2">
      <c r="A4126"/>
      <c r="B4126"/>
    </row>
    <row r="4127" spans="1:2" x14ac:dyDescent="0.2">
      <c r="A4127"/>
      <c r="B4127"/>
    </row>
    <row r="4128" spans="1:2" x14ac:dyDescent="0.2">
      <c r="A4128"/>
      <c r="B4128"/>
    </row>
    <row r="4129" spans="1:2" x14ac:dyDescent="0.2">
      <c r="A4129"/>
      <c r="B4129"/>
    </row>
    <row r="4130" spans="1:2" x14ac:dyDescent="0.2">
      <c r="A4130"/>
      <c r="B4130"/>
    </row>
    <row r="4131" spans="1:2" x14ac:dyDescent="0.2">
      <c r="A4131"/>
      <c r="B4131"/>
    </row>
    <row r="4132" spans="1:2" x14ac:dyDescent="0.2">
      <c r="A4132"/>
      <c r="B4132"/>
    </row>
    <row r="4133" spans="1:2" x14ac:dyDescent="0.2">
      <c r="A4133"/>
      <c r="B4133"/>
    </row>
    <row r="4134" spans="1:2" x14ac:dyDescent="0.2">
      <c r="A4134"/>
      <c r="B4134"/>
    </row>
    <row r="4135" spans="1:2" x14ac:dyDescent="0.2">
      <c r="A4135"/>
      <c r="B4135"/>
    </row>
    <row r="4136" spans="1:2" x14ac:dyDescent="0.2">
      <c r="A4136"/>
      <c r="B4136"/>
    </row>
    <row r="4137" spans="1:2" x14ac:dyDescent="0.2">
      <c r="A4137"/>
      <c r="B4137"/>
    </row>
    <row r="4138" spans="1:2" x14ac:dyDescent="0.2">
      <c r="A4138"/>
      <c r="B4138"/>
    </row>
    <row r="4139" spans="1:2" x14ac:dyDescent="0.2">
      <c r="A4139"/>
      <c r="B4139"/>
    </row>
    <row r="4140" spans="1:2" x14ac:dyDescent="0.2">
      <c r="A4140"/>
      <c r="B4140"/>
    </row>
    <row r="4141" spans="1:2" x14ac:dyDescent="0.2">
      <c r="A4141"/>
      <c r="B4141"/>
    </row>
    <row r="4142" spans="1:2" x14ac:dyDescent="0.2">
      <c r="A4142"/>
      <c r="B4142"/>
    </row>
    <row r="4143" spans="1:2" x14ac:dyDescent="0.2">
      <c r="A4143"/>
      <c r="B4143"/>
    </row>
    <row r="4144" spans="1:2" x14ac:dyDescent="0.2">
      <c r="A4144"/>
      <c r="B4144"/>
    </row>
    <row r="4145" spans="1:2" x14ac:dyDescent="0.2">
      <c r="A4145"/>
      <c r="B4145"/>
    </row>
    <row r="4146" spans="1:2" x14ac:dyDescent="0.2">
      <c r="A4146"/>
      <c r="B4146"/>
    </row>
    <row r="4147" spans="1:2" x14ac:dyDescent="0.2">
      <c r="A4147"/>
      <c r="B4147"/>
    </row>
    <row r="4148" spans="1:2" x14ac:dyDescent="0.2">
      <c r="A4148"/>
      <c r="B4148"/>
    </row>
    <row r="4149" spans="1:2" x14ac:dyDescent="0.2">
      <c r="A4149"/>
      <c r="B4149"/>
    </row>
    <row r="4150" spans="1:2" x14ac:dyDescent="0.2">
      <c r="A4150"/>
      <c r="B4150"/>
    </row>
    <row r="4151" spans="1:2" x14ac:dyDescent="0.2">
      <c r="A4151"/>
      <c r="B4151"/>
    </row>
    <row r="4152" spans="1:2" x14ac:dyDescent="0.2">
      <c r="A4152"/>
      <c r="B4152"/>
    </row>
    <row r="4153" spans="1:2" x14ac:dyDescent="0.2">
      <c r="A4153"/>
      <c r="B4153"/>
    </row>
    <row r="4154" spans="1:2" x14ac:dyDescent="0.2">
      <c r="A4154"/>
      <c r="B4154"/>
    </row>
    <row r="4155" spans="1:2" x14ac:dyDescent="0.2">
      <c r="A4155"/>
      <c r="B4155"/>
    </row>
    <row r="4156" spans="1:2" x14ac:dyDescent="0.2">
      <c r="A4156"/>
      <c r="B4156"/>
    </row>
    <row r="4157" spans="1:2" x14ac:dyDescent="0.2">
      <c r="A4157"/>
      <c r="B4157"/>
    </row>
    <row r="4158" spans="1:2" x14ac:dyDescent="0.2">
      <c r="A4158"/>
      <c r="B4158"/>
    </row>
    <row r="4159" spans="1:2" x14ac:dyDescent="0.2">
      <c r="A4159"/>
      <c r="B4159"/>
    </row>
    <row r="4160" spans="1:2" x14ac:dyDescent="0.2">
      <c r="A4160"/>
      <c r="B4160"/>
    </row>
    <row r="4161" spans="1:2" x14ac:dyDescent="0.2">
      <c r="A4161"/>
      <c r="B4161"/>
    </row>
    <row r="4162" spans="1:2" x14ac:dyDescent="0.2">
      <c r="A4162"/>
      <c r="B4162"/>
    </row>
    <row r="4163" spans="1:2" x14ac:dyDescent="0.2">
      <c r="A4163"/>
      <c r="B4163"/>
    </row>
    <row r="4164" spans="1:2" x14ac:dyDescent="0.2">
      <c r="A4164"/>
      <c r="B4164"/>
    </row>
    <row r="4165" spans="1:2" x14ac:dyDescent="0.2">
      <c r="A4165"/>
      <c r="B4165"/>
    </row>
    <row r="4166" spans="1:2" x14ac:dyDescent="0.2">
      <c r="A4166"/>
      <c r="B4166"/>
    </row>
    <row r="4167" spans="1:2" x14ac:dyDescent="0.2">
      <c r="A4167"/>
      <c r="B4167"/>
    </row>
    <row r="4168" spans="1:2" x14ac:dyDescent="0.2">
      <c r="A4168"/>
      <c r="B4168"/>
    </row>
    <row r="4169" spans="1:2" x14ac:dyDescent="0.2">
      <c r="A4169"/>
      <c r="B4169"/>
    </row>
    <row r="4170" spans="1:2" x14ac:dyDescent="0.2">
      <c r="A4170"/>
      <c r="B4170"/>
    </row>
    <row r="4171" spans="1:2" x14ac:dyDescent="0.2">
      <c r="A4171"/>
      <c r="B4171"/>
    </row>
    <row r="4172" spans="1:2" x14ac:dyDescent="0.2">
      <c r="A4172"/>
      <c r="B4172"/>
    </row>
    <row r="4173" spans="1:2" x14ac:dyDescent="0.2">
      <c r="A4173"/>
      <c r="B4173"/>
    </row>
    <row r="4174" spans="1:2" x14ac:dyDescent="0.2">
      <c r="A4174"/>
      <c r="B4174"/>
    </row>
    <row r="4175" spans="1:2" x14ac:dyDescent="0.2">
      <c r="A4175"/>
      <c r="B4175"/>
    </row>
    <row r="4176" spans="1:2" x14ac:dyDescent="0.2">
      <c r="A4176"/>
      <c r="B4176"/>
    </row>
    <row r="4177" spans="1:2" x14ac:dyDescent="0.2">
      <c r="A4177"/>
      <c r="B4177"/>
    </row>
    <row r="4178" spans="1:2" x14ac:dyDescent="0.2">
      <c r="A4178"/>
      <c r="B4178"/>
    </row>
    <row r="4179" spans="1:2" x14ac:dyDescent="0.2">
      <c r="A4179"/>
      <c r="B4179"/>
    </row>
    <row r="4180" spans="1:2" x14ac:dyDescent="0.2">
      <c r="A4180"/>
      <c r="B4180"/>
    </row>
    <row r="4181" spans="1:2" x14ac:dyDescent="0.2">
      <c r="A4181"/>
      <c r="B4181"/>
    </row>
    <row r="4182" spans="1:2" x14ac:dyDescent="0.2">
      <c r="A4182"/>
      <c r="B4182"/>
    </row>
    <row r="4183" spans="1:2" x14ac:dyDescent="0.2">
      <c r="A4183"/>
      <c r="B4183"/>
    </row>
    <row r="4184" spans="1:2" x14ac:dyDescent="0.2">
      <c r="A4184"/>
      <c r="B4184"/>
    </row>
    <row r="4185" spans="1:2" x14ac:dyDescent="0.2">
      <c r="A4185"/>
      <c r="B4185"/>
    </row>
    <row r="4186" spans="1:2" x14ac:dyDescent="0.2">
      <c r="A4186"/>
      <c r="B4186"/>
    </row>
    <row r="4187" spans="1:2" x14ac:dyDescent="0.2">
      <c r="A4187"/>
      <c r="B4187"/>
    </row>
    <row r="4188" spans="1:2" x14ac:dyDescent="0.2">
      <c r="A4188"/>
      <c r="B4188"/>
    </row>
    <row r="4189" spans="1:2" x14ac:dyDescent="0.2">
      <c r="A4189"/>
      <c r="B4189"/>
    </row>
    <row r="4190" spans="1:2" x14ac:dyDescent="0.2">
      <c r="A4190"/>
      <c r="B4190"/>
    </row>
    <row r="4191" spans="1:2" x14ac:dyDescent="0.2">
      <c r="A4191"/>
      <c r="B4191"/>
    </row>
    <row r="4192" spans="1:2" x14ac:dyDescent="0.2">
      <c r="A4192"/>
      <c r="B4192"/>
    </row>
    <row r="4193" spans="1:2" x14ac:dyDescent="0.2">
      <c r="A4193"/>
      <c r="B4193"/>
    </row>
    <row r="4194" spans="1:2" x14ac:dyDescent="0.2">
      <c r="A4194"/>
      <c r="B4194"/>
    </row>
    <row r="4195" spans="1:2" x14ac:dyDescent="0.2">
      <c r="A4195"/>
      <c r="B4195"/>
    </row>
    <row r="4196" spans="1:2" x14ac:dyDescent="0.2">
      <c r="A4196"/>
      <c r="B4196"/>
    </row>
    <row r="4197" spans="1:2" x14ac:dyDescent="0.2">
      <c r="A4197"/>
      <c r="B4197"/>
    </row>
    <row r="4198" spans="1:2" x14ac:dyDescent="0.2">
      <c r="A4198"/>
      <c r="B4198"/>
    </row>
    <row r="4199" spans="1:2" x14ac:dyDescent="0.2">
      <c r="A4199"/>
      <c r="B4199"/>
    </row>
    <row r="4200" spans="1:2" x14ac:dyDescent="0.2">
      <c r="A4200"/>
      <c r="B4200"/>
    </row>
    <row r="4201" spans="1:2" x14ac:dyDescent="0.2">
      <c r="A4201"/>
      <c r="B4201"/>
    </row>
    <row r="4202" spans="1:2" x14ac:dyDescent="0.2">
      <c r="A4202"/>
      <c r="B4202"/>
    </row>
    <row r="4203" spans="1:2" x14ac:dyDescent="0.2">
      <c r="A4203"/>
      <c r="B4203"/>
    </row>
    <row r="4204" spans="1:2" x14ac:dyDescent="0.2">
      <c r="A4204"/>
      <c r="B4204"/>
    </row>
    <row r="4205" spans="1:2" x14ac:dyDescent="0.2">
      <c r="A4205"/>
      <c r="B4205"/>
    </row>
    <row r="4206" spans="1:2" x14ac:dyDescent="0.2">
      <c r="A4206"/>
      <c r="B4206"/>
    </row>
    <row r="4207" spans="1:2" x14ac:dyDescent="0.2">
      <c r="A4207"/>
      <c r="B4207"/>
    </row>
    <row r="4208" spans="1:2" x14ac:dyDescent="0.2">
      <c r="A4208"/>
      <c r="B4208"/>
    </row>
    <row r="4209" spans="1:2" x14ac:dyDescent="0.2">
      <c r="A4209"/>
      <c r="B4209"/>
    </row>
    <row r="4210" spans="1:2" x14ac:dyDescent="0.2">
      <c r="A4210"/>
      <c r="B4210"/>
    </row>
    <row r="4211" spans="1:2" x14ac:dyDescent="0.2">
      <c r="A4211"/>
      <c r="B4211"/>
    </row>
    <row r="4212" spans="1:2" x14ac:dyDescent="0.2">
      <c r="A4212"/>
      <c r="B4212"/>
    </row>
    <row r="4213" spans="1:2" x14ac:dyDescent="0.2">
      <c r="A4213"/>
      <c r="B4213"/>
    </row>
    <row r="4214" spans="1:2" x14ac:dyDescent="0.2">
      <c r="A4214"/>
      <c r="B4214"/>
    </row>
    <row r="4215" spans="1:2" x14ac:dyDescent="0.2">
      <c r="A4215"/>
      <c r="B4215"/>
    </row>
    <row r="4216" spans="1:2" x14ac:dyDescent="0.2">
      <c r="A4216"/>
      <c r="B4216"/>
    </row>
    <row r="4217" spans="1:2" x14ac:dyDescent="0.2">
      <c r="A4217"/>
      <c r="B4217"/>
    </row>
    <row r="4218" spans="1:2" x14ac:dyDescent="0.2">
      <c r="A4218"/>
      <c r="B4218"/>
    </row>
    <row r="4219" spans="1:2" x14ac:dyDescent="0.2">
      <c r="A4219"/>
      <c r="B4219"/>
    </row>
    <row r="4220" spans="1:2" x14ac:dyDescent="0.2">
      <c r="A4220"/>
      <c r="B4220"/>
    </row>
    <row r="4221" spans="1:2" x14ac:dyDescent="0.2">
      <c r="A4221"/>
      <c r="B4221"/>
    </row>
    <row r="4222" spans="1:2" x14ac:dyDescent="0.2">
      <c r="A4222"/>
      <c r="B4222"/>
    </row>
    <row r="4223" spans="1:2" x14ac:dyDescent="0.2">
      <c r="A4223"/>
      <c r="B4223"/>
    </row>
    <row r="4224" spans="1:2" x14ac:dyDescent="0.2">
      <c r="A4224"/>
      <c r="B4224"/>
    </row>
    <row r="4225" spans="1:2" x14ac:dyDescent="0.2">
      <c r="A4225"/>
      <c r="B4225"/>
    </row>
    <row r="4226" spans="1:2" x14ac:dyDescent="0.2">
      <c r="A4226"/>
      <c r="B4226"/>
    </row>
    <row r="4227" spans="1:2" x14ac:dyDescent="0.2">
      <c r="A4227"/>
      <c r="B4227"/>
    </row>
    <row r="4228" spans="1:2" x14ac:dyDescent="0.2">
      <c r="A4228"/>
      <c r="B4228"/>
    </row>
    <row r="4229" spans="1:2" x14ac:dyDescent="0.2">
      <c r="A4229"/>
      <c r="B4229"/>
    </row>
    <row r="4230" spans="1:2" x14ac:dyDescent="0.2">
      <c r="A4230"/>
      <c r="B4230"/>
    </row>
    <row r="4231" spans="1:2" x14ac:dyDescent="0.2">
      <c r="A4231"/>
      <c r="B4231"/>
    </row>
    <row r="4232" spans="1:2" x14ac:dyDescent="0.2">
      <c r="A4232"/>
      <c r="B4232"/>
    </row>
    <row r="4233" spans="1:2" x14ac:dyDescent="0.2">
      <c r="A4233"/>
      <c r="B4233"/>
    </row>
    <row r="4234" spans="1:2" x14ac:dyDescent="0.2">
      <c r="A4234"/>
      <c r="B4234"/>
    </row>
    <row r="4235" spans="1:2" x14ac:dyDescent="0.2">
      <c r="A4235"/>
      <c r="B4235"/>
    </row>
    <row r="4236" spans="1:2" x14ac:dyDescent="0.2">
      <c r="A4236"/>
      <c r="B4236"/>
    </row>
    <row r="4237" spans="1:2" x14ac:dyDescent="0.2">
      <c r="A4237"/>
      <c r="B4237"/>
    </row>
    <row r="4238" spans="1:2" x14ac:dyDescent="0.2">
      <c r="A4238"/>
      <c r="B4238"/>
    </row>
    <row r="4239" spans="1:2" x14ac:dyDescent="0.2">
      <c r="A4239"/>
      <c r="B4239"/>
    </row>
    <row r="4240" spans="1:2" x14ac:dyDescent="0.2">
      <c r="A4240"/>
      <c r="B4240"/>
    </row>
    <row r="4241" spans="1:2" x14ac:dyDescent="0.2">
      <c r="A4241"/>
      <c r="B4241"/>
    </row>
    <row r="4242" spans="1:2" x14ac:dyDescent="0.2">
      <c r="A4242"/>
      <c r="B4242"/>
    </row>
    <row r="4243" spans="1:2" x14ac:dyDescent="0.2">
      <c r="A4243"/>
      <c r="B4243"/>
    </row>
    <row r="4244" spans="1:2" x14ac:dyDescent="0.2">
      <c r="A4244"/>
      <c r="B4244"/>
    </row>
    <row r="4245" spans="1:2" x14ac:dyDescent="0.2">
      <c r="A4245"/>
      <c r="B4245"/>
    </row>
    <row r="4246" spans="1:2" x14ac:dyDescent="0.2">
      <c r="A4246"/>
      <c r="B4246"/>
    </row>
    <row r="4247" spans="1:2" x14ac:dyDescent="0.2">
      <c r="A4247"/>
      <c r="B4247"/>
    </row>
    <row r="4248" spans="1:2" x14ac:dyDescent="0.2">
      <c r="A4248"/>
      <c r="B4248"/>
    </row>
    <row r="4249" spans="1:2" x14ac:dyDescent="0.2">
      <c r="A4249"/>
      <c r="B4249"/>
    </row>
    <row r="4250" spans="1:2" x14ac:dyDescent="0.2">
      <c r="A4250"/>
      <c r="B4250"/>
    </row>
    <row r="4251" spans="1:2" x14ac:dyDescent="0.2">
      <c r="A4251"/>
      <c r="B4251"/>
    </row>
    <row r="4252" spans="1:2" x14ac:dyDescent="0.2">
      <c r="A4252"/>
      <c r="B4252"/>
    </row>
    <row r="4253" spans="1:2" x14ac:dyDescent="0.2">
      <c r="A4253"/>
      <c r="B4253"/>
    </row>
    <row r="4254" spans="1:2" x14ac:dyDescent="0.2">
      <c r="A4254"/>
      <c r="B4254"/>
    </row>
    <row r="4255" spans="1:2" x14ac:dyDescent="0.2">
      <c r="A4255"/>
      <c r="B4255"/>
    </row>
    <row r="4256" spans="1:2" x14ac:dyDescent="0.2">
      <c r="A4256"/>
      <c r="B4256"/>
    </row>
    <row r="4257" spans="1:2" x14ac:dyDescent="0.2">
      <c r="A4257"/>
      <c r="B4257"/>
    </row>
    <row r="4258" spans="1:2" x14ac:dyDescent="0.2">
      <c r="A4258"/>
      <c r="B4258"/>
    </row>
    <row r="4259" spans="1:2" x14ac:dyDescent="0.2">
      <c r="A4259"/>
      <c r="B4259"/>
    </row>
    <row r="4260" spans="1:2" x14ac:dyDescent="0.2">
      <c r="A4260"/>
      <c r="B4260"/>
    </row>
    <row r="4261" spans="1:2" x14ac:dyDescent="0.2">
      <c r="A4261"/>
      <c r="B4261"/>
    </row>
    <row r="4262" spans="1:2" x14ac:dyDescent="0.2">
      <c r="A4262"/>
      <c r="B4262"/>
    </row>
    <row r="4263" spans="1:2" x14ac:dyDescent="0.2">
      <c r="A4263"/>
      <c r="B4263"/>
    </row>
    <row r="4264" spans="1:2" x14ac:dyDescent="0.2">
      <c r="A4264"/>
      <c r="B4264"/>
    </row>
    <row r="4265" spans="1:2" x14ac:dyDescent="0.2">
      <c r="A4265"/>
      <c r="B4265"/>
    </row>
    <row r="4266" spans="1:2" x14ac:dyDescent="0.2">
      <c r="A4266"/>
      <c r="B4266"/>
    </row>
    <row r="4267" spans="1:2" x14ac:dyDescent="0.2">
      <c r="A4267"/>
      <c r="B4267"/>
    </row>
    <row r="4268" spans="1:2" x14ac:dyDescent="0.2">
      <c r="A4268"/>
      <c r="B4268"/>
    </row>
    <row r="4269" spans="1:2" x14ac:dyDescent="0.2">
      <c r="A4269"/>
      <c r="B4269"/>
    </row>
    <row r="4270" spans="1:2" x14ac:dyDescent="0.2">
      <c r="A4270"/>
      <c r="B4270"/>
    </row>
    <row r="4271" spans="1:2" x14ac:dyDescent="0.2">
      <c r="A4271"/>
      <c r="B4271"/>
    </row>
    <row r="4272" spans="1:2" x14ac:dyDescent="0.2">
      <c r="A4272"/>
      <c r="B4272"/>
    </row>
    <row r="4273" spans="1:2" x14ac:dyDescent="0.2">
      <c r="A4273"/>
      <c r="B4273"/>
    </row>
    <row r="4274" spans="1:2" x14ac:dyDescent="0.2">
      <c r="A4274"/>
      <c r="B4274"/>
    </row>
    <row r="4275" spans="1:2" x14ac:dyDescent="0.2">
      <c r="A4275"/>
      <c r="B4275"/>
    </row>
    <row r="4276" spans="1:2" x14ac:dyDescent="0.2">
      <c r="A4276"/>
      <c r="B4276"/>
    </row>
    <row r="4277" spans="1:2" x14ac:dyDescent="0.2">
      <c r="A4277"/>
      <c r="B4277"/>
    </row>
    <row r="4278" spans="1:2" x14ac:dyDescent="0.2">
      <c r="A4278"/>
      <c r="B4278"/>
    </row>
    <row r="4279" spans="1:2" x14ac:dyDescent="0.2">
      <c r="A4279"/>
      <c r="B4279"/>
    </row>
    <row r="4280" spans="1:2" x14ac:dyDescent="0.2">
      <c r="A4280"/>
      <c r="B4280"/>
    </row>
    <row r="4281" spans="1:2" x14ac:dyDescent="0.2">
      <c r="A4281"/>
      <c r="B4281"/>
    </row>
    <row r="4282" spans="1:2" x14ac:dyDescent="0.2">
      <c r="A4282"/>
      <c r="B4282"/>
    </row>
    <row r="4283" spans="1:2" x14ac:dyDescent="0.2">
      <c r="A4283"/>
      <c r="B4283"/>
    </row>
    <row r="4284" spans="1:2" x14ac:dyDescent="0.2">
      <c r="A4284"/>
      <c r="B4284"/>
    </row>
    <row r="4285" spans="1:2" x14ac:dyDescent="0.2">
      <c r="A4285"/>
      <c r="B4285"/>
    </row>
    <row r="4286" spans="1:2" x14ac:dyDescent="0.2">
      <c r="A4286"/>
      <c r="B4286"/>
    </row>
    <row r="4287" spans="1:2" x14ac:dyDescent="0.2">
      <c r="A4287"/>
      <c r="B4287"/>
    </row>
    <row r="4288" spans="1:2" x14ac:dyDescent="0.2">
      <c r="A4288"/>
      <c r="B4288"/>
    </row>
    <row r="4289" spans="1:2" x14ac:dyDescent="0.2">
      <c r="A4289"/>
      <c r="B4289"/>
    </row>
    <row r="4290" spans="1:2" x14ac:dyDescent="0.2">
      <c r="A4290"/>
      <c r="B4290"/>
    </row>
    <row r="4291" spans="1:2" x14ac:dyDescent="0.2">
      <c r="A4291"/>
      <c r="B4291"/>
    </row>
    <row r="4292" spans="1:2" x14ac:dyDescent="0.2">
      <c r="A4292"/>
      <c r="B4292"/>
    </row>
    <row r="4293" spans="1:2" x14ac:dyDescent="0.2">
      <c r="A4293"/>
      <c r="B4293"/>
    </row>
    <row r="4294" spans="1:2" x14ac:dyDescent="0.2">
      <c r="A4294"/>
      <c r="B4294"/>
    </row>
    <row r="4295" spans="1:2" x14ac:dyDescent="0.2">
      <c r="A4295"/>
      <c r="B4295"/>
    </row>
    <row r="4296" spans="1:2" x14ac:dyDescent="0.2">
      <c r="A4296"/>
      <c r="B4296"/>
    </row>
    <row r="4297" spans="1:2" x14ac:dyDescent="0.2">
      <c r="A4297"/>
      <c r="B4297"/>
    </row>
    <row r="4298" spans="1:2" x14ac:dyDescent="0.2">
      <c r="A4298"/>
      <c r="B4298"/>
    </row>
    <row r="4299" spans="1:2" x14ac:dyDescent="0.2">
      <c r="A4299"/>
      <c r="B4299"/>
    </row>
    <row r="4300" spans="1:2" x14ac:dyDescent="0.2">
      <c r="A4300"/>
      <c r="B4300"/>
    </row>
    <row r="4301" spans="1:2" x14ac:dyDescent="0.2">
      <c r="A4301"/>
      <c r="B4301"/>
    </row>
    <row r="4302" spans="1:2" x14ac:dyDescent="0.2">
      <c r="A4302"/>
      <c r="B4302"/>
    </row>
    <row r="4303" spans="1:2" x14ac:dyDescent="0.2">
      <c r="A4303"/>
      <c r="B4303"/>
    </row>
    <row r="4304" spans="1:2" x14ac:dyDescent="0.2">
      <c r="A4304"/>
      <c r="B4304"/>
    </row>
    <row r="4305" spans="1:2" x14ac:dyDescent="0.2">
      <c r="A4305"/>
      <c r="B4305"/>
    </row>
    <row r="4306" spans="1:2" x14ac:dyDescent="0.2">
      <c r="A4306"/>
      <c r="B4306"/>
    </row>
    <row r="4307" spans="1:2" x14ac:dyDescent="0.2">
      <c r="A4307"/>
      <c r="B4307"/>
    </row>
    <row r="4308" spans="1:2" x14ac:dyDescent="0.2">
      <c r="A4308"/>
      <c r="B4308"/>
    </row>
    <row r="4309" spans="1:2" x14ac:dyDescent="0.2">
      <c r="A4309"/>
      <c r="B4309"/>
    </row>
    <row r="4310" spans="1:2" x14ac:dyDescent="0.2">
      <c r="A4310"/>
      <c r="B4310"/>
    </row>
    <row r="4311" spans="1:2" x14ac:dyDescent="0.2">
      <c r="A4311"/>
      <c r="B4311"/>
    </row>
    <row r="4312" spans="1:2" x14ac:dyDescent="0.2">
      <c r="A4312"/>
      <c r="B4312"/>
    </row>
    <row r="4313" spans="1:2" x14ac:dyDescent="0.2">
      <c r="A4313"/>
      <c r="B4313"/>
    </row>
    <row r="4314" spans="1:2" x14ac:dyDescent="0.2">
      <c r="A4314"/>
      <c r="B4314"/>
    </row>
    <row r="4315" spans="1:2" x14ac:dyDescent="0.2">
      <c r="A4315"/>
      <c r="B4315"/>
    </row>
    <row r="4316" spans="1:2" x14ac:dyDescent="0.2">
      <c r="A4316"/>
      <c r="B4316"/>
    </row>
    <row r="4317" spans="1:2" x14ac:dyDescent="0.2">
      <c r="A4317"/>
      <c r="B4317"/>
    </row>
    <row r="4318" spans="1:2" x14ac:dyDescent="0.2">
      <c r="A4318"/>
      <c r="B4318"/>
    </row>
    <row r="4319" spans="1:2" x14ac:dyDescent="0.2">
      <c r="A4319"/>
      <c r="B4319"/>
    </row>
    <row r="4320" spans="1:2" x14ac:dyDescent="0.2">
      <c r="A4320"/>
      <c r="B4320"/>
    </row>
    <row r="4321" spans="1:2" x14ac:dyDescent="0.2">
      <c r="A4321"/>
      <c r="B4321"/>
    </row>
    <row r="4322" spans="1:2" x14ac:dyDescent="0.2">
      <c r="A4322"/>
      <c r="B4322"/>
    </row>
    <row r="4323" spans="1:2" x14ac:dyDescent="0.2">
      <c r="A4323"/>
      <c r="B4323"/>
    </row>
    <row r="4324" spans="1:2" x14ac:dyDescent="0.2">
      <c r="A4324"/>
      <c r="B4324"/>
    </row>
    <row r="4325" spans="1:2" x14ac:dyDescent="0.2">
      <c r="A4325"/>
      <c r="B4325"/>
    </row>
    <row r="4326" spans="1:2" x14ac:dyDescent="0.2">
      <c r="A4326"/>
      <c r="B4326"/>
    </row>
    <row r="4327" spans="1:2" x14ac:dyDescent="0.2">
      <c r="A4327"/>
      <c r="B4327"/>
    </row>
    <row r="4328" spans="1:2" x14ac:dyDescent="0.2">
      <c r="A4328"/>
      <c r="B4328"/>
    </row>
    <row r="4329" spans="1:2" x14ac:dyDescent="0.2">
      <c r="A4329"/>
      <c r="B4329"/>
    </row>
    <row r="4330" spans="1:2" x14ac:dyDescent="0.2">
      <c r="A4330"/>
      <c r="B4330"/>
    </row>
    <row r="4331" spans="1:2" x14ac:dyDescent="0.2">
      <c r="A4331"/>
      <c r="B4331"/>
    </row>
    <row r="4332" spans="1:2" x14ac:dyDescent="0.2">
      <c r="A4332"/>
      <c r="B4332"/>
    </row>
    <row r="4333" spans="1:2" x14ac:dyDescent="0.2">
      <c r="A4333"/>
      <c r="B4333"/>
    </row>
    <row r="4334" spans="1:2" x14ac:dyDescent="0.2">
      <c r="A4334"/>
      <c r="B4334"/>
    </row>
    <row r="4335" spans="1:2" x14ac:dyDescent="0.2">
      <c r="A4335"/>
      <c r="B4335"/>
    </row>
    <row r="4336" spans="1:2" x14ac:dyDescent="0.2">
      <c r="A4336"/>
      <c r="B4336"/>
    </row>
    <row r="4337" spans="1:2" x14ac:dyDescent="0.2">
      <c r="A4337"/>
      <c r="B4337"/>
    </row>
    <row r="4338" spans="1:2" x14ac:dyDescent="0.2">
      <c r="A4338"/>
      <c r="B4338"/>
    </row>
    <row r="4339" spans="1:2" x14ac:dyDescent="0.2">
      <c r="A4339"/>
      <c r="B4339"/>
    </row>
    <row r="4340" spans="1:2" x14ac:dyDescent="0.2">
      <c r="A4340"/>
      <c r="B4340"/>
    </row>
    <row r="4341" spans="1:2" x14ac:dyDescent="0.2">
      <c r="A4341"/>
      <c r="B4341"/>
    </row>
    <row r="4342" spans="1:2" x14ac:dyDescent="0.2">
      <c r="A4342"/>
      <c r="B4342"/>
    </row>
    <row r="4343" spans="1:2" x14ac:dyDescent="0.2">
      <c r="A4343"/>
      <c r="B4343"/>
    </row>
    <row r="4344" spans="1:2" x14ac:dyDescent="0.2">
      <c r="A4344"/>
      <c r="B4344"/>
    </row>
    <row r="4345" spans="1:2" x14ac:dyDescent="0.2">
      <c r="A4345"/>
      <c r="B4345"/>
    </row>
    <row r="4346" spans="1:2" x14ac:dyDescent="0.2">
      <c r="A4346"/>
      <c r="B4346"/>
    </row>
    <row r="4347" spans="1:2" x14ac:dyDescent="0.2">
      <c r="A4347"/>
      <c r="B4347"/>
    </row>
    <row r="4348" spans="1:2" x14ac:dyDescent="0.2">
      <c r="A4348"/>
      <c r="B4348"/>
    </row>
    <row r="4349" spans="1:2" x14ac:dyDescent="0.2">
      <c r="A4349"/>
      <c r="B4349"/>
    </row>
    <row r="4350" spans="1:2" x14ac:dyDescent="0.2">
      <c r="A4350"/>
      <c r="B4350"/>
    </row>
    <row r="4351" spans="1:2" x14ac:dyDescent="0.2">
      <c r="A4351"/>
      <c r="B4351"/>
    </row>
    <row r="4352" spans="1:2" x14ac:dyDescent="0.2">
      <c r="A4352"/>
      <c r="B4352"/>
    </row>
    <row r="4353" spans="1:2" x14ac:dyDescent="0.2">
      <c r="A4353"/>
      <c r="B4353"/>
    </row>
    <row r="4354" spans="1:2" x14ac:dyDescent="0.2">
      <c r="A4354"/>
      <c r="B4354"/>
    </row>
    <row r="4355" spans="1:2" x14ac:dyDescent="0.2">
      <c r="A4355"/>
      <c r="B4355"/>
    </row>
    <row r="4356" spans="1:2" x14ac:dyDescent="0.2">
      <c r="A4356"/>
      <c r="B4356"/>
    </row>
    <row r="4357" spans="1:2" x14ac:dyDescent="0.2">
      <c r="A4357"/>
      <c r="B4357"/>
    </row>
    <row r="4358" spans="1:2" x14ac:dyDescent="0.2">
      <c r="A4358"/>
      <c r="B4358"/>
    </row>
    <row r="4359" spans="1:2" x14ac:dyDescent="0.2">
      <c r="A4359"/>
      <c r="B4359"/>
    </row>
    <row r="4360" spans="1:2" x14ac:dyDescent="0.2">
      <c r="A4360"/>
      <c r="B4360"/>
    </row>
    <row r="4361" spans="1:2" x14ac:dyDescent="0.2">
      <c r="A4361"/>
      <c r="B4361"/>
    </row>
    <row r="4362" spans="1:2" x14ac:dyDescent="0.2">
      <c r="A4362"/>
      <c r="B4362"/>
    </row>
    <row r="4363" spans="1:2" x14ac:dyDescent="0.2">
      <c r="A4363"/>
      <c r="B4363"/>
    </row>
    <row r="4364" spans="1:2" x14ac:dyDescent="0.2">
      <c r="A4364"/>
      <c r="B4364"/>
    </row>
    <row r="4365" spans="1:2" x14ac:dyDescent="0.2">
      <c r="A4365"/>
      <c r="B4365"/>
    </row>
    <row r="4366" spans="1:2" x14ac:dyDescent="0.2">
      <c r="A4366"/>
      <c r="B4366"/>
    </row>
    <row r="4367" spans="1:2" x14ac:dyDescent="0.2">
      <c r="A4367"/>
      <c r="B4367"/>
    </row>
    <row r="4368" spans="1:2" x14ac:dyDescent="0.2">
      <c r="A4368"/>
      <c r="B4368"/>
    </row>
    <row r="4369" spans="1:2" x14ac:dyDescent="0.2">
      <c r="A4369"/>
      <c r="B4369"/>
    </row>
    <row r="4370" spans="1:2" x14ac:dyDescent="0.2">
      <c r="A4370"/>
      <c r="B4370"/>
    </row>
    <row r="4371" spans="1:2" x14ac:dyDescent="0.2">
      <c r="A4371"/>
      <c r="B4371"/>
    </row>
    <row r="4372" spans="1:2" x14ac:dyDescent="0.2">
      <c r="A4372"/>
      <c r="B4372"/>
    </row>
    <row r="4373" spans="1:2" x14ac:dyDescent="0.2">
      <c r="A4373"/>
      <c r="B4373"/>
    </row>
    <row r="4374" spans="1:2" x14ac:dyDescent="0.2">
      <c r="A4374"/>
      <c r="B4374"/>
    </row>
    <row r="4375" spans="1:2" x14ac:dyDescent="0.2">
      <c r="A4375"/>
      <c r="B4375"/>
    </row>
    <row r="4376" spans="1:2" x14ac:dyDescent="0.2">
      <c r="A4376"/>
      <c r="B4376"/>
    </row>
    <row r="4377" spans="1:2" x14ac:dyDescent="0.2">
      <c r="A4377"/>
      <c r="B4377"/>
    </row>
    <row r="4378" spans="1:2" x14ac:dyDescent="0.2">
      <c r="A4378"/>
      <c r="B4378"/>
    </row>
    <row r="4379" spans="1:2" x14ac:dyDescent="0.2">
      <c r="A4379"/>
      <c r="B4379"/>
    </row>
    <row r="4380" spans="1:2" x14ac:dyDescent="0.2">
      <c r="A4380"/>
      <c r="B4380"/>
    </row>
    <row r="4381" spans="1:2" x14ac:dyDescent="0.2">
      <c r="A4381"/>
      <c r="B4381"/>
    </row>
    <row r="4382" spans="1:2" x14ac:dyDescent="0.2">
      <c r="A4382"/>
      <c r="B4382"/>
    </row>
    <row r="4383" spans="1:2" x14ac:dyDescent="0.2">
      <c r="A4383"/>
      <c r="B4383"/>
    </row>
    <row r="4384" spans="1:2" x14ac:dyDescent="0.2">
      <c r="A4384"/>
      <c r="B4384"/>
    </row>
    <row r="4385" spans="1:2" x14ac:dyDescent="0.2">
      <c r="A4385"/>
      <c r="B4385"/>
    </row>
    <row r="4386" spans="1:2" x14ac:dyDescent="0.2">
      <c r="A4386"/>
      <c r="B4386"/>
    </row>
    <row r="4387" spans="1:2" x14ac:dyDescent="0.2">
      <c r="A4387"/>
      <c r="B4387"/>
    </row>
    <row r="4388" spans="1:2" x14ac:dyDescent="0.2">
      <c r="A4388"/>
      <c r="B4388"/>
    </row>
    <row r="4389" spans="1:2" x14ac:dyDescent="0.2">
      <c r="A4389"/>
      <c r="B4389"/>
    </row>
    <row r="4390" spans="1:2" x14ac:dyDescent="0.2">
      <c r="A4390"/>
      <c r="B4390"/>
    </row>
    <row r="4391" spans="1:2" x14ac:dyDescent="0.2">
      <c r="A4391"/>
      <c r="B4391"/>
    </row>
    <row r="4392" spans="1:2" x14ac:dyDescent="0.2">
      <c r="A4392"/>
      <c r="B4392"/>
    </row>
    <row r="4393" spans="1:2" x14ac:dyDescent="0.2">
      <c r="A4393"/>
      <c r="B4393"/>
    </row>
    <row r="4394" spans="1:2" x14ac:dyDescent="0.2">
      <c r="A4394"/>
      <c r="B4394"/>
    </row>
    <row r="4395" spans="1:2" x14ac:dyDescent="0.2">
      <c r="A4395"/>
      <c r="B4395"/>
    </row>
    <row r="4396" spans="1:2" x14ac:dyDescent="0.2">
      <c r="A4396"/>
      <c r="B4396"/>
    </row>
    <row r="4397" spans="1:2" x14ac:dyDescent="0.2">
      <c r="A4397"/>
      <c r="B4397"/>
    </row>
    <row r="4398" spans="1:2" x14ac:dyDescent="0.2">
      <c r="A4398"/>
      <c r="B4398"/>
    </row>
    <row r="4399" spans="1:2" x14ac:dyDescent="0.2">
      <c r="A4399"/>
      <c r="B4399"/>
    </row>
    <row r="4400" spans="1:2" x14ac:dyDescent="0.2">
      <c r="A4400"/>
      <c r="B4400"/>
    </row>
    <row r="4401" spans="1:2" x14ac:dyDescent="0.2">
      <c r="A4401"/>
      <c r="B4401"/>
    </row>
    <row r="4402" spans="1:2" x14ac:dyDescent="0.2">
      <c r="A4402"/>
      <c r="B4402"/>
    </row>
    <row r="4403" spans="1:2" x14ac:dyDescent="0.2">
      <c r="A4403"/>
      <c r="B4403"/>
    </row>
    <row r="4404" spans="1:2" x14ac:dyDescent="0.2">
      <c r="A4404"/>
      <c r="B4404"/>
    </row>
    <row r="4405" spans="1:2" x14ac:dyDescent="0.2">
      <c r="A4405"/>
      <c r="B4405"/>
    </row>
    <row r="4406" spans="1:2" x14ac:dyDescent="0.2">
      <c r="A4406"/>
      <c r="B4406"/>
    </row>
    <row r="4407" spans="1:2" x14ac:dyDescent="0.2">
      <c r="A4407"/>
      <c r="B4407"/>
    </row>
    <row r="4408" spans="1:2" x14ac:dyDescent="0.2">
      <c r="A4408"/>
      <c r="B4408"/>
    </row>
    <row r="4409" spans="1:2" x14ac:dyDescent="0.2">
      <c r="A4409"/>
      <c r="B4409"/>
    </row>
    <row r="4410" spans="1:2" x14ac:dyDescent="0.2">
      <c r="A4410"/>
      <c r="B4410"/>
    </row>
    <row r="4411" spans="1:2" x14ac:dyDescent="0.2">
      <c r="A4411"/>
      <c r="B4411"/>
    </row>
    <row r="4412" spans="1:2" x14ac:dyDescent="0.2">
      <c r="A4412"/>
      <c r="B4412"/>
    </row>
    <row r="4413" spans="1:2" x14ac:dyDescent="0.2">
      <c r="A4413"/>
      <c r="B4413"/>
    </row>
    <row r="4414" spans="1:2" x14ac:dyDescent="0.2">
      <c r="A4414"/>
      <c r="B4414"/>
    </row>
    <row r="4415" spans="1:2" x14ac:dyDescent="0.2">
      <c r="A4415"/>
      <c r="B4415"/>
    </row>
    <row r="4416" spans="1:2" x14ac:dyDescent="0.2">
      <c r="A4416"/>
      <c r="B4416"/>
    </row>
    <row r="4417" spans="1:2" x14ac:dyDescent="0.2">
      <c r="A4417"/>
      <c r="B4417"/>
    </row>
    <row r="4418" spans="1:2" x14ac:dyDescent="0.2">
      <c r="A4418"/>
      <c r="B4418"/>
    </row>
    <row r="4419" spans="1:2" x14ac:dyDescent="0.2">
      <c r="A4419"/>
      <c r="B4419"/>
    </row>
    <row r="4420" spans="1:2" x14ac:dyDescent="0.2">
      <c r="A4420"/>
      <c r="B4420"/>
    </row>
    <row r="4421" spans="1:2" x14ac:dyDescent="0.2">
      <c r="A4421"/>
      <c r="B4421"/>
    </row>
    <row r="4422" spans="1:2" x14ac:dyDescent="0.2">
      <c r="A4422"/>
      <c r="B4422"/>
    </row>
    <row r="4423" spans="1:2" x14ac:dyDescent="0.2">
      <c r="A4423"/>
      <c r="B4423"/>
    </row>
    <row r="4424" spans="1:2" x14ac:dyDescent="0.2">
      <c r="A4424"/>
      <c r="B4424"/>
    </row>
    <row r="4425" spans="1:2" x14ac:dyDescent="0.2">
      <c r="A4425"/>
      <c r="B4425"/>
    </row>
    <row r="4426" spans="1:2" x14ac:dyDescent="0.2">
      <c r="A4426"/>
      <c r="B4426"/>
    </row>
    <row r="4427" spans="1:2" x14ac:dyDescent="0.2">
      <c r="A4427"/>
      <c r="B4427"/>
    </row>
    <row r="4428" spans="1:2" x14ac:dyDescent="0.2">
      <c r="A4428"/>
      <c r="B4428"/>
    </row>
    <row r="4429" spans="1:2" x14ac:dyDescent="0.2">
      <c r="A4429"/>
      <c r="B4429"/>
    </row>
    <row r="4430" spans="1:2" x14ac:dyDescent="0.2">
      <c r="A4430"/>
      <c r="B4430"/>
    </row>
    <row r="4431" spans="1:2" x14ac:dyDescent="0.2">
      <c r="A4431"/>
      <c r="B4431"/>
    </row>
    <row r="4432" spans="1:2" x14ac:dyDescent="0.2">
      <c r="A4432"/>
      <c r="B4432"/>
    </row>
    <row r="4433" spans="1:2" x14ac:dyDescent="0.2">
      <c r="A4433"/>
      <c r="B4433"/>
    </row>
    <row r="4434" spans="1:2" x14ac:dyDescent="0.2">
      <c r="A4434"/>
      <c r="B4434"/>
    </row>
    <row r="4435" spans="1:2" x14ac:dyDescent="0.2">
      <c r="A4435"/>
      <c r="B4435"/>
    </row>
    <row r="4436" spans="1:2" x14ac:dyDescent="0.2">
      <c r="A4436"/>
      <c r="B4436"/>
    </row>
    <row r="4437" spans="1:2" x14ac:dyDescent="0.2">
      <c r="A4437"/>
      <c r="B4437"/>
    </row>
    <row r="4438" spans="1:2" x14ac:dyDescent="0.2">
      <c r="A4438"/>
      <c r="B4438"/>
    </row>
    <row r="4439" spans="1:2" x14ac:dyDescent="0.2">
      <c r="A4439"/>
      <c r="B4439"/>
    </row>
    <row r="4440" spans="1:2" x14ac:dyDescent="0.2">
      <c r="A4440"/>
      <c r="B4440"/>
    </row>
    <row r="4441" spans="1:2" x14ac:dyDescent="0.2">
      <c r="A4441"/>
      <c r="B4441"/>
    </row>
    <row r="4442" spans="1:2" x14ac:dyDescent="0.2">
      <c r="A4442"/>
      <c r="B4442"/>
    </row>
    <row r="4443" spans="1:2" x14ac:dyDescent="0.2">
      <c r="A4443"/>
      <c r="B4443"/>
    </row>
    <row r="4444" spans="1:2" x14ac:dyDescent="0.2">
      <c r="A4444"/>
      <c r="B4444"/>
    </row>
    <row r="4445" spans="1:2" x14ac:dyDescent="0.2">
      <c r="A4445"/>
      <c r="B4445"/>
    </row>
    <row r="4446" spans="1:2" x14ac:dyDescent="0.2">
      <c r="A4446"/>
      <c r="B4446"/>
    </row>
    <row r="4447" spans="1:2" x14ac:dyDescent="0.2">
      <c r="A4447"/>
      <c r="B4447"/>
    </row>
    <row r="4448" spans="1:2" x14ac:dyDescent="0.2">
      <c r="A4448"/>
      <c r="B4448"/>
    </row>
    <row r="4449" spans="1:2" x14ac:dyDescent="0.2">
      <c r="A4449"/>
      <c r="B4449"/>
    </row>
    <row r="4450" spans="1:2" x14ac:dyDescent="0.2">
      <c r="A4450"/>
      <c r="B4450"/>
    </row>
    <row r="4451" spans="1:2" x14ac:dyDescent="0.2">
      <c r="A4451"/>
      <c r="B4451"/>
    </row>
    <row r="4452" spans="1:2" x14ac:dyDescent="0.2">
      <c r="A4452"/>
      <c r="B4452"/>
    </row>
    <row r="4453" spans="1:2" x14ac:dyDescent="0.2">
      <c r="A4453"/>
      <c r="B4453"/>
    </row>
    <row r="4454" spans="1:2" x14ac:dyDescent="0.2">
      <c r="A4454"/>
      <c r="B4454"/>
    </row>
    <row r="4455" spans="1:2" x14ac:dyDescent="0.2">
      <c r="A4455"/>
      <c r="B4455"/>
    </row>
    <row r="4456" spans="1:2" x14ac:dyDescent="0.2">
      <c r="A4456"/>
      <c r="B4456"/>
    </row>
    <row r="4457" spans="1:2" x14ac:dyDescent="0.2">
      <c r="A4457"/>
      <c r="B4457"/>
    </row>
    <row r="4458" spans="1:2" x14ac:dyDescent="0.2">
      <c r="A4458"/>
      <c r="B4458"/>
    </row>
    <row r="4459" spans="1:2" x14ac:dyDescent="0.2">
      <c r="A4459"/>
      <c r="B4459"/>
    </row>
    <row r="4460" spans="1:2" x14ac:dyDescent="0.2">
      <c r="A4460"/>
      <c r="B4460"/>
    </row>
    <row r="4461" spans="1:2" x14ac:dyDescent="0.2">
      <c r="A4461"/>
      <c r="B4461"/>
    </row>
    <row r="4462" spans="1:2" x14ac:dyDescent="0.2">
      <c r="A4462"/>
      <c r="B4462"/>
    </row>
    <row r="4463" spans="1:2" x14ac:dyDescent="0.2">
      <c r="A4463"/>
      <c r="B4463"/>
    </row>
    <row r="4464" spans="1:2" x14ac:dyDescent="0.2">
      <c r="A4464"/>
      <c r="B4464"/>
    </row>
    <row r="4465" spans="1:2" x14ac:dyDescent="0.2">
      <c r="A4465"/>
      <c r="B4465"/>
    </row>
    <row r="4466" spans="1:2" x14ac:dyDescent="0.2">
      <c r="A4466"/>
      <c r="B4466"/>
    </row>
    <row r="4467" spans="1:2" x14ac:dyDescent="0.2">
      <c r="A4467"/>
      <c r="B4467"/>
    </row>
    <row r="4468" spans="1:2" x14ac:dyDescent="0.2">
      <c r="A4468"/>
      <c r="B4468"/>
    </row>
    <row r="4469" spans="1:2" x14ac:dyDescent="0.2">
      <c r="A4469"/>
      <c r="B4469"/>
    </row>
    <row r="4470" spans="1:2" x14ac:dyDescent="0.2">
      <c r="A4470"/>
      <c r="B4470"/>
    </row>
    <row r="4471" spans="1:2" x14ac:dyDescent="0.2">
      <c r="A4471"/>
      <c r="B4471"/>
    </row>
    <row r="4472" spans="1:2" x14ac:dyDescent="0.2">
      <c r="A4472"/>
      <c r="B4472"/>
    </row>
    <row r="4473" spans="1:2" x14ac:dyDescent="0.2">
      <c r="A4473"/>
      <c r="B4473"/>
    </row>
    <row r="4474" spans="1:2" x14ac:dyDescent="0.2">
      <c r="A4474"/>
      <c r="B4474"/>
    </row>
    <row r="4475" spans="1:2" x14ac:dyDescent="0.2">
      <c r="A4475"/>
      <c r="B4475"/>
    </row>
    <row r="4476" spans="1:2" x14ac:dyDescent="0.2">
      <c r="A4476"/>
      <c r="B4476"/>
    </row>
    <row r="4477" spans="1:2" x14ac:dyDescent="0.2">
      <c r="A4477"/>
      <c r="B4477"/>
    </row>
    <row r="4478" spans="1:2" x14ac:dyDescent="0.2">
      <c r="A4478"/>
      <c r="B4478"/>
    </row>
    <row r="4479" spans="1:2" x14ac:dyDescent="0.2">
      <c r="A4479"/>
      <c r="B4479"/>
    </row>
    <row r="4480" spans="1:2" x14ac:dyDescent="0.2">
      <c r="A4480"/>
      <c r="B4480"/>
    </row>
    <row r="4481" spans="1:2" x14ac:dyDescent="0.2">
      <c r="A4481"/>
      <c r="B4481"/>
    </row>
    <row r="4482" spans="1:2" x14ac:dyDescent="0.2">
      <c r="A4482"/>
      <c r="B4482"/>
    </row>
    <row r="4483" spans="1:2" x14ac:dyDescent="0.2">
      <c r="A4483"/>
      <c r="B4483"/>
    </row>
    <row r="4484" spans="1:2" x14ac:dyDescent="0.2">
      <c r="A4484"/>
      <c r="B4484"/>
    </row>
    <row r="4485" spans="1:2" x14ac:dyDescent="0.2">
      <c r="A4485"/>
      <c r="B4485"/>
    </row>
    <row r="4486" spans="1:2" x14ac:dyDescent="0.2">
      <c r="A4486"/>
      <c r="B4486"/>
    </row>
    <row r="4487" spans="1:2" x14ac:dyDescent="0.2">
      <c r="A4487"/>
      <c r="B4487"/>
    </row>
    <row r="4488" spans="1:2" x14ac:dyDescent="0.2">
      <c r="A4488"/>
      <c r="B4488"/>
    </row>
    <row r="4489" spans="1:2" x14ac:dyDescent="0.2">
      <c r="A4489"/>
      <c r="B4489"/>
    </row>
    <row r="4490" spans="1:2" x14ac:dyDescent="0.2">
      <c r="A4490"/>
      <c r="B4490"/>
    </row>
    <row r="4491" spans="1:2" x14ac:dyDescent="0.2">
      <c r="A4491"/>
      <c r="B4491"/>
    </row>
    <row r="4492" spans="1:2" x14ac:dyDescent="0.2">
      <c r="A4492"/>
      <c r="B4492"/>
    </row>
    <row r="4493" spans="1:2" x14ac:dyDescent="0.2">
      <c r="A4493"/>
      <c r="B4493"/>
    </row>
    <row r="4494" spans="1:2" x14ac:dyDescent="0.2">
      <c r="A4494"/>
      <c r="B4494"/>
    </row>
    <row r="4495" spans="1:2" x14ac:dyDescent="0.2">
      <c r="A4495"/>
      <c r="B4495"/>
    </row>
    <row r="4496" spans="1:2" x14ac:dyDescent="0.2">
      <c r="A4496"/>
      <c r="B4496"/>
    </row>
    <row r="4497" spans="1:2" x14ac:dyDescent="0.2">
      <c r="A4497"/>
      <c r="B4497"/>
    </row>
    <row r="4498" spans="1:2" x14ac:dyDescent="0.2">
      <c r="A4498"/>
      <c r="B4498"/>
    </row>
    <row r="4499" spans="1:2" x14ac:dyDescent="0.2">
      <c r="A4499"/>
      <c r="B4499"/>
    </row>
    <row r="4500" spans="1:2" x14ac:dyDescent="0.2">
      <c r="A4500"/>
      <c r="B4500"/>
    </row>
    <row r="4501" spans="1:2" x14ac:dyDescent="0.2">
      <c r="A4501"/>
      <c r="B4501"/>
    </row>
    <row r="4502" spans="1:2" x14ac:dyDescent="0.2">
      <c r="A4502"/>
      <c r="B4502"/>
    </row>
    <row r="4503" spans="1:2" x14ac:dyDescent="0.2">
      <c r="A4503"/>
      <c r="B4503"/>
    </row>
    <row r="4504" spans="1:2" x14ac:dyDescent="0.2">
      <c r="A4504"/>
      <c r="B4504"/>
    </row>
    <row r="4505" spans="1:2" x14ac:dyDescent="0.2">
      <c r="A4505"/>
      <c r="B4505"/>
    </row>
    <row r="4506" spans="1:2" x14ac:dyDescent="0.2">
      <c r="A4506"/>
      <c r="B4506"/>
    </row>
    <row r="4507" spans="1:2" x14ac:dyDescent="0.2">
      <c r="A4507"/>
      <c r="B4507"/>
    </row>
    <row r="4508" spans="1:2" x14ac:dyDescent="0.2">
      <c r="A4508"/>
      <c r="B4508"/>
    </row>
    <row r="4509" spans="1:2" x14ac:dyDescent="0.2">
      <c r="A4509"/>
      <c r="B4509"/>
    </row>
    <row r="4510" spans="1:2" x14ac:dyDescent="0.2">
      <c r="A4510"/>
      <c r="B4510"/>
    </row>
    <row r="4511" spans="1:2" x14ac:dyDescent="0.2">
      <c r="A4511"/>
      <c r="B4511"/>
    </row>
    <row r="4512" spans="1:2" x14ac:dyDescent="0.2">
      <c r="A4512"/>
      <c r="B4512"/>
    </row>
    <row r="4513" spans="1:2" x14ac:dyDescent="0.2">
      <c r="A4513"/>
      <c r="B4513"/>
    </row>
    <row r="4514" spans="1:2" x14ac:dyDescent="0.2">
      <c r="A4514"/>
      <c r="B4514"/>
    </row>
    <row r="4515" spans="1:2" x14ac:dyDescent="0.2">
      <c r="A4515"/>
      <c r="B4515"/>
    </row>
    <row r="4516" spans="1:2" x14ac:dyDescent="0.2">
      <c r="A4516"/>
      <c r="B4516"/>
    </row>
    <row r="4517" spans="1:2" x14ac:dyDescent="0.2">
      <c r="A4517"/>
      <c r="B4517"/>
    </row>
    <row r="4518" spans="1:2" x14ac:dyDescent="0.2">
      <c r="A4518"/>
      <c r="B4518"/>
    </row>
    <row r="4519" spans="1:2" x14ac:dyDescent="0.2">
      <c r="A4519"/>
      <c r="B4519"/>
    </row>
    <row r="4520" spans="1:2" x14ac:dyDescent="0.2">
      <c r="A4520"/>
      <c r="B4520"/>
    </row>
    <row r="4521" spans="1:2" x14ac:dyDescent="0.2">
      <c r="A4521"/>
      <c r="B4521"/>
    </row>
    <row r="4522" spans="1:2" x14ac:dyDescent="0.2">
      <c r="A4522"/>
      <c r="B4522"/>
    </row>
    <row r="4523" spans="1:2" x14ac:dyDescent="0.2">
      <c r="A4523"/>
      <c r="B4523"/>
    </row>
    <row r="4524" spans="1:2" x14ac:dyDescent="0.2">
      <c r="A4524"/>
      <c r="B4524"/>
    </row>
    <row r="4525" spans="1:2" x14ac:dyDescent="0.2">
      <c r="A4525"/>
      <c r="B4525"/>
    </row>
    <row r="4526" spans="1:2" x14ac:dyDescent="0.2">
      <c r="A4526"/>
      <c r="B4526"/>
    </row>
    <row r="4527" spans="1:2" x14ac:dyDescent="0.2">
      <c r="A4527"/>
      <c r="B4527"/>
    </row>
    <row r="4528" spans="1:2" x14ac:dyDescent="0.2">
      <c r="A4528"/>
      <c r="B4528"/>
    </row>
    <row r="4529" spans="1:2" x14ac:dyDescent="0.2">
      <c r="A4529"/>
      <c r="B4529"/>
    </row>
    <row r="4530" spans="1:2" x14ac:dyDescent="0.2">
      <c r="A4530"/>
      <c r="B4530"/>
    </row>
    <row r="4531" spans="1:2" x14ac:dyDescent="0.2">
      <c r="A4531"/>
      <c r="B4531"/>
    </row>
    <row r="4532" spans="1:2" x14ac:dyDescent="0.2">
      <c r="A4532"/>
      <c r="B4532"/>
    </row>
    <row r="4533" spans="1:2" x14ac:dyDescent="0.2">
      <c r="A4533"/>
      <c r="B4533"/>
    </row>
    <row r="4534" spans="1:2" x14ac:dyDescent="0.2">
      <c r="A4534"/>
      <c r="B4534"/>
    </row>
    <row r="4535" spans="1:2" x14ac:dyDescent="0.2">
      <c r="A4535"/>
      <c r="B4535"/>
    </row>
    <row r="4536" spans="1:2" x14ac:dyDescent="0.2">
      <c r="A4536"/>
      <c r="B4536"/>
    </row>
    <row r="4537" spans="1:2" x14ac:dyDescent="0.2">
      <c r="A4537"/>
      <c r="B4537"/>
    </row>
    <row r="4538" spans="1:2" x14ac:dyDescent="0.2">
      <c r="A4538"/>
      <c r="B4538"/>
    </row>
    <row r="4539" spans="1:2" x14ac:dyDescent="0.2">
      <c r="A4539"/>
      <c r="B4539"/>
    </row>
    <row r="4540" spans="1:2" x14ac:dyDescent="0.2">
      <c r="A4540"/>
      <c r="B4540"/>
    </row>
    <row r="4541" spans="1:2" x14ac:dyDescent="0.2">
      <c r="A4541"/>
      <c r="B4541"/>
    </row>
    <row r="4542" spans="1:2" x14ac:dyDescent="0.2">
      <c r="A4542"/>
      <c r="B4542"/>
    </row>
    <row r="4543" spans="1:2" x14ac:dyDescent="0.2">
      <c r="A4543"/>
      <c r="B4543"/>
    </row>
    <row r="4544" spans="1:2" x14ac:dyDescent="0.2">
      <c r="A4544"/>
      <c r="B4544"/>
    </row>
    <row r="4545" spans="1:2" x14ac:dyDescent="0.2">
      <c r="A4545"/>
      <c r="B4545"/>
    </row>
    <row r="4546" spans="1:2" x14ac:dyDescent="0.2">
      <c r="A4546"/>
      <c r="B4546"/>
    </row>
    <row r="4547" spans="1:2" x14ac:dyDescent="0.2">
      <c r="A4547"/>
      <c r="B4547"/>
    </row>
    <row r="4548" spans="1:2" x14ac:dyDescent="0.2">
      <c r="A4548"/>
      <c r="B4548"/>
    </row>
    <row r="4549" spans="1:2" x14ac:dyDescent="0.2">
      <c r="A4549"/>
      <c r="B4549"/>
    </row>
    <row r="4550" spans="1:2" x14ac:dyDescent="0.2">
      <c r="A4550"/>
      <c r="B4550"/>
    </row>
    <row r="4551" spans="1:2" x14ac:dyDescent="0.2">
      <c r="A4551"/>
      <c r="B4551"/>
    </row>
    <row r="4552" spans="1:2" x14ac:dyDescent="0.2">
      <c r="A4552"/>
      <c r="B4552"/>
    </row>
    <row r="4553" spans="1:2" x14ac:dyDescent="0.2">
      <c r="A4553"/>
      <c r="B4553"/>
    </row>
    <row r="4554" spans="1:2" x14ac:dyDescent="0.2">
      <c r="A4554"/>
      <c r="B4554"/>
    </row>
    <row r="4555" spans="1:2" x14ac:dyDescent="0.2">
      <c r="A4555"/>
      <c r="B4555"/>
    </row>
    <row r="4556" spans="1:2" x14ac:dyDescent="0.2">
      <c r="A4556"/>
      <c r="B4556"/>
    </row>
    <row r="4557" spans="1:2" x14ac:dyDescent="0.2">
      <c r="A4557"/>
      <c r="B4557"/>
    </row>
    <row r="4558" spans="1:2" x14ac:dyDescent="0.2">
      <c r="A4558"/>
      <c r="B4558"/>
    </row>
    <row r="4559" spans="1:2" x14ac:dyDescent="0.2">
      <c r="A4559"/>
      <c r="B4559"/>
    </row>
    <row r="4560" spans="1:2" x14ac:dyDescent="0.2">
      <c r="A4560"/>
      <c r="B4560"/>
    </row>
    <row r="4561" spans="1:2" x14ac:dyDescent="0.2">
      <c r="A4561"/>
      <c r="B4561"/>
    </row>
    <row r="4562" spans="1:2" x14ac:dyDescent="0.2">
      <c r="A4562"/>
      <c r="B4562"/>
    </row>
    <row r="4563" spans="1:2" x14ac:dyDescent="0.2">
      <c r="A4563"/>
      <c r="B4563"/>
    </row>
    <row r="4564" spans="1:2" x14ac:dyDescent="0.2">
      <c r="A4564"/>
      <c r="B4564"/>
    </row>
    <row r="4565" spans="1:2" x14ac:dyDescent="0.2">
      <c r="A4565"/>
      <c r="B4565"/>
    </row>
    <row r="4566" spans="1:2" x14ac:dyDescent="0.2">
      <c r="A4566"/>
      <c r="B4566"/>
    </row>
    <row r="4567" spans="1:2" x14ac:dyDescent="0.2">
      <c r="A4567"/>
      <c r="B4567"/>
    </row>
    <row r="4568" spans="1:2" x14ac:dyDescent="0.2">
      <c r="A4568"/>
      <c r="B4568"/>
    </row>
    <row r="4569" spans="1:2" x14ac:dyDescent="0.2">
      <c r="A4569"/>
      <c r="B4569"/>
    </row>
    <row r="4570" spans="1:2" x14ac:dyDescent="0.2">
      <c r="A4570"/>
      <c r="B4570"/>
    </row>
    <row r="4571" spans="1:2" x14ac:dyDescent="0.2">
      <c r="A4571"/>
      <c r="B4571"/>
    </row>
    <row r="4572" spans="1:2" x14ac:dyDescent="0.2">
      <c r="A4572"/>
      <c r="B4572"/>
    </row>
    <row r="4573" spans="1:2" x14ac:dyDescent="0.2">
      <c r="A4573"/>
      <c r="B4573"/>
    </row>
    <row r="4574" spans="1:2" x14ac:dyDescent="0.2">
      <c r="A4574"/>
      <c r="B4574"/>
    </row>
    <row r="4575" spans="1:2" x14ac:dyDescent="0.2">
      <c r="A4575"/>
      <c r="B4575"/>
    </row>
    <row r="4576" spans="1:2" x14ac:dyDescent="0.2">
      <c r="A4576"/>
      <c r="B4576"/>
    </row>
    <row r="4577" spans="1:2" x14ac:dyDescent="0.2">
      <c r="A4577"/>
      <c r="B4577"/>
    </row>
    <row r="4578" spans="1:2" x14ac:dyDescent="0.2">
      <c r="A4578"/>
      <c r="B4578"/>
    </row>
    <row r="4579" spans="1:2" x14ac:dyDescent="0.2">
      <c r="A4579"/>
      <c r="B4579"/>
    </row>
    <row r="4580" spans="1:2" x14ac:dyDescent="0.2">
      <c r="A4580"/>
      <c r="B4580"/>
    </row>
    <row r="4581" spans="1:2" x14ac:dyDescent="0.2">
      <c r="A4581"/>
      <c r="B4581"/>
    </row>
    <row r="4582" spans="1:2" x14ac:dyDescent="0.2">
      <c r="A4582"/>
      <c r="B4582"/>
    </row>
    <row r="4583" spans="1:2" x14ac:dyDescent="0.2">
      <c r="A4583"/>
      <c r="B4583"/>
    </row>
    <row r="4584" spans="1:2" x14ac:dyDescent="0.2">
      <c r="A4584"/>
      <c r="B4584"/>
    </row>
    <row r="4585" spans="1:2" x14ac:dyDescent="0.2">
      <c r="A4585"/>
      <c r="B4585"/>
    </row>
    <row r="4586" spans="1:2" x14ac:dyDescent="0.2">
      <c r="A4586"/>
      <c r="B4586"/>
    </row>
    <row r="4587" spans="1:2" x14ac:dyDescent="0.2">
      <c r="A4587"/>
      <c r="B4587"/>
    </row>
    <row r="4588" spans="1:2" x14ac:dyDescent="0.2">
      <c r="A4588"/>
      <c r="B4588"/>
    </row>
    <row r="4589" spans="1:2" x14ac:dyDescent="0.2">
      <c r="A4589"/>
      <c r="B4589"/>
    </row>
    <row r="4590" spans="1:2" x14ac:dyDescent="0.2">
      <c r="A4590"/>
      <c r="B4590"/>
    </row>
    <row r="4591" spans="1:2" x14ac:dyDescent="0.2">
      <c r="A4591"/>
      <c r="B4591"/>
    </row>
    <row r="4592" spans="1:2" x14ac:dyDescent="0.2">
      <c r="A4592"/>
      <c r="B4592"/>
    </row>
    <row r="4593" spans="1:2" x14ac:dyDescent="0.2">
      <c r="A4593"/>
      <c r="B4593"/>
    </row>
    <row r="4594" spans="1:2" x14ac:dyDescent="0.2">
      <c r="A4594"/>
      <c r="B4594"/>
    </row>
    <row r="4595" spans="1:2" x14ac:dyDescent="0.2">
      <c r="A4595"/>
      <c r="B4595"/>
    </row>
    <row r="4596" spans="1:2" x14ac:dyDescent="0.2">
      <c r="A4596"/>
      <c r="B4596"/>
    </row>
    <row r="4597" spans="1:2" x14ac:dyDescent="0.2">
      <c r="A4597"/>
      <c r="B4597"/>
    </row>
    <row r="4598" spans="1:2" x14ac:dyDescent="0.2">
      <c r="A4598"/>
      <c r="B4598"/>
    </row>
    <row r="4599" spans="1:2" x14ac:dyDescent="0.2">
      <c r="A4599"/>
      <c r="B4599"/>
    </row>
    <row r="4600" spans="1:2" x14ac:dyDescent="0.2">
      <c r="A4600"/>
      <c r="B4600"/>
    </row>
    <row r="4601" spans="1:2" x14ac:dyDescent="0.2">
      <c r="A4601"/>
      <c r="B4601"/>
    </row>
    <row r="4602" spans="1:2" x14ac:dyDescent="0.2">
      <c r="A4602"/>
      <c r="B4602"/>
    </row>
    <row r="4603" spans="1:2" x14ac:dyDescent="0.2">
      <c r="A4603"/>
      <c r="B4603"/>
    </row>
    <row r="4604" spans="1:2" x14ac:dyDescent="0.2">
      <c r="A4604"/>
      <c r="B4604"/>
    </row>
    <row r="4605" spans="1:2" x14ac:dyDescent="0.2">
      <c r="A4605"/>
      <c r="B4605"/>
    </row>
    <row r="4606" spans="1:2" x14ac:dyDescent="0.2">
      <c r="A4606"/>
      <c r="B4606"/>
    </row>
    <row r="4607" spans="1:2" x14ac:dyDescent="0.2">
      <c r="A4607"/>
      <c r="B4607"/>
    </row>
    <row r="4608" spans="1:2" x14ac:dyDescent="0.2">
      <c r="A4608"/>
      <c r="B4608"/>
    </row>
    <row r="4609" spans="1:2" x14ac:dyDescent="0.2">
      <c r="A4609"/>
      <c r="B4609"/>
    </row>
    <row r="4610" spans="1:2" x14ac:dyDescent="0.2">
      <c r="A4610"/>
      <c r="B4610"/>
    </row>
    <row r="4611" spans="1:2" x14ac:dyDescent="0.2">
      <c r="A4611"/>
      <c r="B4611"/>
    </row>
    <row r="4612" spans="1:2" x14ac:dyDescent="0.2">
      <c r="A4612"/>
      <c r="B4612"/>
    </row>
    <row r="4613" spans="1:2" x14ac:dyDescent="0.2">
      <c r="A4613"/>
      <c r="B4613"/>
    </row>
    <row r="4614" spans="1:2" x14ac:dyDescent="0.2">
      <c r="A4614"/>
      <c r="B4614"/>
    </row>
    <row r="4615" spans="1:2" x14ac:dyDescent="0.2">
      <c r="A4615"/>
      <c r="B4615"/>
    </row>
    <row r="4616" spans="1:2" x14ac:dyDescent="0.2">
      <c r="A4616"/>
      <c r="B4616"/>
    </row>
    <row r="4617" spans="1:2" x14ac:dyDescent="0.2">
      <c r="A4617"/>
      <c r="B4617"/>
    </row>
    <row r="4618" spans="1:2" x14ac:dyDescent="0.2">
      <c r="A4618"/>
      <c r="B4618"/>
    </row>
    <row r="4619" spans="1:2" x14ac:dyDescent="0.2">
      <c r="A4619"/>
      <c r="B4619"/>
    </row>
    <row r="4620" spans="1:2" x14ac:dyDescent="0.2">
      <c r="A4620"/>
      <c r="B4620"/>
    </row>
    <row r="4621" spans="1:2" x14ac:dyDescent="0.2">
      <c r="A4621"/>
      <c r="B4621"/>
    </row>
    <row r="4622" spans="1:2" x14ac:dyDescent="0.2">
      <c r="A4622"/>
      <c r="B4622"/>
    </row>
    <row r="4623" spans="1:2" x14ac:dyDescent="0.2">
      <c r="A4623"/>
      <c r="B4623"/>
    </row>
    <row r="4624" spans="1:2" x14ac:dyDescent="0.2">
      <c r="A4624"/>
      <c r="B4624"/>
    </row>
    <row r="4625" spans="1:2" x14ac:dyDescent="0.2">
      <c r="A4625"/>
      <c r="B4625"/>
    </row>
    <row r="4626" spans="1:2" x14ac:dyDescent="0.2">
      <c r="A4626"/>
      <c r="B4626"/>
    </row>
    <row r="4627" spans="1:2" x14ac:dyDescent="0.2">
      <c r="A4627"/>
      <c r="B4627"/>
    </row>
    <row r="4628" spans="1:2" x14ac:dyDescent="0.2">
      <c r="A4628"/>
      <c r="B4628"/>
    </row>
    <row r="4629" spans="1:2" x14ac:dyDescent="0.2">
      <c r="A4629"/>
      <c r="B4629"/>
    </row>
    <row r="4630" spans="1:2" x14ac:dyDescent="0.2">
      <c r="A4630"/>
      <c r="B4630"/>
    </row>
    <row r="4631" spans="1:2" x14ac:dyDescent="0.2">
      <c r="A4631"/>
      <c r="B4631"/>
    </row>
    <row r="4632" spans="1:2" x14ac:dyDescent="0.2">
      <c r="A4632"/>
      <c r="B4632"/>
    </row>
    <row r="4633" spans="1:2" x14ac:dyDescent="0.2">
      <c r="A4633"/>
      <c r="B4633"/>
    </row>
    <row r="4634" spans="1:2" x14ac:dyDescent="0.2">
      <c r="A4634"/>
      <c r="B4634"/>
    </row>
    <row r="4635" spans="1:2" x14ac:dyDescent="0.2">
      <c r="A4635"/>
      <c r="B4635"/>
    </row>
    <row r="4636" spans="1:2" x14ac:dyDescent="0.2">
      <c r="A4636"/>
      <c r="B4636"/>
    </row>
    <row r="4637" spans="1:2" x14ac:dyDescent="0.2">
      <c r="A4637"/>
      <c r="B4637"/>
    </row>
    <row r="4638" spans="1:2" x14ac:dyDescent="0.2">
      <c r="A4638"/>
      <c r="B4638"/>
    </row>
    <row r="4639" spans="1:2" x14ac:dyDescent="0.2">
      <c r="A4639"/>
      <c r="B4639"/>
    </row>
    <row r="4640" spans="1:2" x14ac:dyDescent="0.2">
      <c r="A4640"/>
      <c r="B4640"/>
    </row>
    <row r="4641" spans="1:2" x14ac:dyDescent="0.2">
      <c r="A4641"/>
      <c r="B4641"/>
    </row>
    <row r="4642" spans="1:2" x14ac:dyDescent="0.2">
      <c r="A4642"/>
      <c r="B4642"/>
    </row>
    <row r="4643" spans="1:2" x14ac:dyDescent="0.2">
      <c r="A4643"/>
      <c r="B4643"/>
    </row>
    <row r="4644" spans="1:2" x14ac:dyDescent="0.2">
      <c r="A4644"/>
      <c r="B4644"/>
    </row>
    <row r="4645" spans="1:2" x14ac:dyDescent="0.2">
      <c r="A4645"/>
      <c r="B4645"/>
    </row>
    <row r="4646" spans="1:2" x14ac:dyDescent="0.2">
      <c r="A4646"/>
      <c r="B4646"/>
    </row>
    <row r="4647" spans="1:2" x14ac:dyDescent="0.2">
      <c r="A4647"/>
      <c r="B4647"/>
    </row>
    <row r="4648" spans="1:2" x14ac:dyDescent="0.2">
      <c r="A4648"/>
      <c r="B4648"/>
    </row>
    <row r="4649" spans="1:2" x14ac:dyDescent="0.2">
      <c r="A4649"/>
      <c r="B4649"/>
    </row>
    <row r="4650" spans="1:2" x14ac:dyDescent="0.2">
      <c r="A4650"/>
      <c r="B4650"/>
    </row>
    <row r="4651" spans="1:2" x14ac:dyDescent="0.2">
      <c r="A4651"/>
      <c r="B4651"/>
    </row>
    <row r="4652" spans="1:2" x14ac:dyDescent="0.2">
      <c r="A4652"/>
      <c r="B4652"/>
    </row>
    <row r="4653" spans="1:2" x14ac:dyDescent="0.2">
      <c r="A4653"/>
      <c r="B4653"/>
    </row>
    <row r="4654" spans="1:2" x14ac:dyDescent="0.2">
      <c r="A4654"/>
      <c r="B4654"/>
    </row>
    <row r="4655" spans="1:2" x14ac:dyDescent="0.2">
      <c r="A4655"/>
      <c r="B4655"/>
    </row>
    <row r="4656" spans="1:2" x14ac:dyDescent="0.2">
      <c r="A4656"/>
      <c r="B4656"/>
    </row>
    <row r="4657" spans="1:2" x14ac:dyDescent="0.2">
      <c r="A4657"/>
      <c r="B4657"/>
    </row>
    <row r="4658" spans="1:2" x14ac:dyDescent="0.2">
      <c r="A4658"/>
      <c r="B4658"/>
    </row>
    <row r="4659" spans="1:2" x14ac:dyDescent="0.2">
      <c r="A4659"/>
      <c r="B4659"/>
    </row>
    <row r="4660" spans="1:2" x14ac:dyDescent="0.2">
      <c r="A4660"/>
      <c r="B4660"/>
    </row>
    <row r="4661" spans="1:2" x14ac:dyDescent="0.2">
      <c r="A4661"/>
      <c r="B4661"/>
    </row>
    <row r="4662" spans="1:2" x14ac:dyDescent="0.2">
      <c r="A4662"/>
      <c r="B4662"/>
    </row>
    <row r="4663" spans="1:2" x14ac:dyDescent="0.2">
      <c r="A4663"/>
      <c r="B4663"/>
    </row>
    <row r="4664" spans="1:2" x14ac:dyDescent="0.2">
      <c r="A4664"/>
      <c r="B4664"/>
    </row>
    <row r="4665" spans="1:2" x14ac:dyDescent="0.2">
      <c r="A4665"/>
      <c r="B4665"/>
    </row>
    <row r="4666" spans="1:2" x14ac:dyDescent="0.2">
      <c r="A4666"/>
      <c r="B4666"/>
    </row>
    <row r="4667" spans="1:2" x14ac:dyDescent="0.2">
      <c r="A4667"/>
      <c r="B4667"/>
    </row>
    <row r="4668" spans="1:2" x14ac:dyDescent="0.2">
      <c r="A4668"/>
      <c r="B4668"/>
    </row>
    <row r="4669" spans="1:2" x14ac:dyDescent="0.2">
      <c r="A4669"/>
      <c r="B4669"/>
    </row>
    <row r="4670" spans="1:2" x14ac:dyDescent="0.2">
      <c r="A4670"/>
      <c r="B4670"/>
    </row>
    <row r="4671" spans="1:2" x14ac:dyDescent="0.2">
      <c r="A4671"/>
      <c r="B4671"/>
    </row>
    <row r="4672" spans="1:2" x14ac:dyDescent="0.2">
      <c r="A4672"/>
      <c r="B4672"/>
    </row>
    <row r="4673" spans="1:2" x14ac:dyDescent="0.2">
      <c r="A4673"/>
      <c r="B4673"/>
    </row>
    <row r="4674" spans="1:2" x14ac:dyDescent="0.2">
      <c r="A4674"/>
      <c r="B4674"/>
    </row>
    <row r="4675" spans="1:2" x14ac:dyDescent="0.2">
      <c r="A4675"/>
      <c r="B4675"/>
    </row>
    <row r="4676" spans="1:2" x14ac:dyDescent="0.2">
      <c r="A4676"/>
      <c r="B4676"/>
    </row>
    <row r="4677" spans="1:2" x14ac:dyDescent="0.2">
      <c r="A4677"/>
      <c r="B4677"/>
    </row>
    <row r="4678" spans="1:2" x14ac:dyDescent="0.2">
      <c r="A4678"/>
      <c r="B4678"/>
    </row>
    <row r="4679" spans="1:2" x14ac:dyDescent="0.2">
      <c r="A4679"/>
      <c r="B4679"/>
    </row>
    <row r="4680" spans="1:2" x14ac:dyDescent="0.2">
      <c r="A4680"/>
      <c r="B4680"/>
    </row>
    <row r="4681" spans="1:2" x14ac:dyDescent="0.2">
      <c r="A4681"/>
      <c r="B4681"/>
    </row>
    <row r="4682" spans="1:2" x14ac:dyDescent="0.2">
      <c r="A4682"/>
      <c r="B4682"/>
    </row>
    <row r="4683" spans="1:2" x14ac:dyDescent="0.2">
      <c r="A4683"/>
      <c r="B4683"/>
    </row>
    <row r="4684" spans="1:2" x14ac:dyDescent="0.2">
      <c r="A4684"/>
      <c r="B4684"/>
    </row>
    <row r="4685" spans="1:2" x14ac:dyDescent="0.2">
      <c r="A4685"/>
      <c r="B4685"/>
    </row>
    <row r="4686" spans="1:2" x14ac:dyDescent="0.2">
      <c r="A4686"/>
      <c r="B4686"/>
    </row>
    <row r="4687" spans="1:2" x14ac:dyDescent="0.2">
      <c r="A4687"/>
      <c r="B4687"/>
    </row>
    <row r="4688" spans="1:2" x14ac:dyDescent="0.2">
      <c r="A4688"/>
      <c r="B4688"/>
    </row>
    <row r="4689" spans="1:2" x14ac:dyDescent="0.2">
      <c r="A4689"/>
      <c r="B4689"/>
    </row>
    <row r="4690" spans="1:2" x14ac:dyDescent="0.2">
      <c r="A4690"/>
      <c r="B4690"/>
    </row>
    <row r="4691" spans="1:2" x14ac:dyDescent="0.2">
      <c r="A4691"/>
      <c r="B4691"/>
    </row>
    <row r="4692" spans="1:2" x14ac:dyDescent="0.2">
      <c r="A4692"/>
      <c r="B4692"/>
    </row>
    <row r="4693" spans="1:2" x14ac:dyDescent="0.2">
      <c r="A4693"/>
      <c r="B4693"/>
    </row>
    <row r="4694" spans="1:2" x14ac:dyDescent="0.2">
      <c r="A4694"/>
      <c r="B4694"/>
    </row>
    <row r="4695" spans="1:2" x14ac:dyDescent="0.2">
      <c r="A4695"/>
      <c r="B4695"/>
    </row>
    <row r="4696" spans="1:2" x14ac:dyDescent="0.2">
      <c r="A4696"/>
      <c r="B4696"/>
    </row>
    <row r="4697" spans="1:2" x14ac:dyDescent="0.2">
      <c r="A4697"/>
      <c r="B4697"/>
    </row>
    <row r="4698" spans="1:2" x14ac:dyDescent="0.2">
      <c r="A4698"/>
      <c r="B4698"/>
    </row>
    <row r="4699" spans="1:2" x14ac:dyDescent="0.2">
      <c r="A4699"/>
      <c r="B4699"/>
    </row>
    <row r="4700" spans="1:2" x14ac:dyDescent="0.2">
      <c r="A4700"/>
      <c r="B4700"/>
    </row>
    <row r="4701" spans="1:2" x14ac:dyDescent="0.2">
      <c r="A4701"/>
      <c r="B4701"/>
    </row>
    <row r="4702" spans="1:2" x14ac:dyDescent="0.2">
      <c r="A4702"/>
      <c r="B4702"/>
    </row>
    <row r="4703" spans="1:2" x14ac:dyDescent="0.2">
      <c r="A4703"/>
      <c r="B4703"/>
    </row>
    <row r="4704" spans="1:2" x14ac:dyDescent="0.2">
      <c r="A4704"/>
      <c r="B4704"/>
    </row>
    <row r="4705" spans="1:2" x14ac:dyDescent="0.2">
      <c r="A4705"/>
      <c r="B4705"/>
    </row>
    <row r="4706" spans="1:2" x14ac:dyDescent="0.2">
      <c r="A4706"/>
      <c r="B4706"/>
    </row>
    <row r="4707" spans="1:2" x14ac:dyDescent="0.2">
      <c r="A4707"/>
      <c r="B4707"/>
    </row>
    <row r="4708" spans="1:2" x14ac:dyDescent="0.2">
      <c r="A4708"/>
      <c r="B4708"/>
    </row>
    <row r="4709" spans="1:2" x14ac:dyDescent="0.2">
      <c r="A4709"/>
      <c r="B4709"/>
    </row>
    <row r="4710" spans="1:2" x14ac:dyDescent="0.2">
      <c r="A4710"/>
      <c r="B4710"/>
    </row>
    <row r="4711" spans="1:2" x14ac:dyDescent="0.2">
      <c r="A4711"/>
      <c r="B4711"/>
    </row>
    <row r="4712" spans="1:2" x14ac:dyDescent="0.2">
      <c r="A4712"/>
      <c r="B4712"/>
    </row>
    <row r="4713" spans="1:2" x14ac:dyDescent="0.2">
      <c r="A4713"/>
      <c r="B4713"/>
    </row>
    <row r="4714" spans="1:2" x14ac:dyDescent="0.2">
      <c r="A4714"/>
      <c r="B4714"/>
    </row>
    <row r="4715" spans="1:2" x14ac:dyDescent="0.2">
      <c r="A4715"/>
      <c r="B4715"/>
    </row>
    <row r="4716" spans="1:2" x14ac:dyDescent="0.2">
      <c r="A4716"/>
      <c r="B4716"/>
    </row>
    <row r="4717" spans="1:2" x14ac:dyDescent="0.2">
      <c r="A4717"/>
      <c r="B4717"/>
    </row>
    <row r="4718" spans="1:2" x14ac:dyDescent="0.2">
      <c r="A4718"/>
      <c r="B4718"/>
    </row>
    <row r="4719" spans="1:2" x14ac:dyDescent="0.2">
      <c r="A4719"/>
      <c r="B4719"/>
    </row>
    <row r="4720" spans="1:2" x14ac:dyDescent="0.2">
      <c r="A4720"/>
      <c r="B4720"/>
    </row>
    <row r="4721" spans="1:2" x14ac:dyDescent="0.2">
      <c r="A4721"/>
      <c r="B4721"/>
    </row>
    <row r="4722" spans="1:2" x14ac:dyDescent="0.2">
      <c r="A4722"/>
      <c r="B4722"/>
    </row>
    <row r="4723" spans="1:2" x14ac:dyDescent="0.2">
      <c r="A4723"/>
      <c r="B4723"/>
    </row>
    <row r="4724" spans="1:2" x14ac:dyDescent="0.2">
      <c r="A4724"/>
      <c r="B4724"/>
    </row>
    <row r="4725" spans="1:2" x14ac:dyDescent="0.2">
      <c r="A4725"/>
      <c r="B4725"/>
    </row>
    <row r="4726" spans="1:2" x14ac:dyDescent="0.2">
      <c r="A4726"/>
      <c r="B4726"/>
    </row>
    <row r="4727" spans="1:2" x14ac:dyDescent="0.2">
      <c r="A4727"/>
      <c r="B4727"/>
    </row>
    <row r="4728" spans="1:2" x14ac:dyDescent="0.2">
      <c r="A4728"/>
      <c r="B4728"/>
    </row>
    <row r="4729" spans="1:2" x14ac:dyDescent="0.2">
      <c r="A4729"/>
      <c r="B4729"/>
    </row>
    <row r="4730" spans="1:2" x14ac:dyDescent="0.2">
      <c r="A4730"/>
      <c r="B4730"/>
    </row>
    <row r="4731" spans="1:2" x14ac:dyDescent="0.2">
      <c r="A4731"/>
      <c r="B4731"/>
    </row>
    <row r="4732" spans="1:2" x14ac:dyDescent="0.2">
      <c r="A4732"/>
      <c r="B4732"/>
    </row>
    <row r="4733" spans="1:2" x14ac:dyDescent="0.2">
      <c r="A4733"/>
      <c r="B4733"/>
    </row>
    <row r="4734" spans="1:2" x14ac:dyDescent="0.2">
      <c r="A4734"/>
      <c r="B4734"/>
    </row>
    <row r="4735" spans="1:2" x14ac:dyDescent="0.2">
      <c r="A4735"/>
      <c r="B4735"/>
    </row>
    <row r="4736" spans="1:2" x14ac:dyDescent="0.2">
      <c r="A4736"/>
      <c r="B4736"/>
    </row>
    <row r="4737" spans="1:2" x14ac:dyDescent="0.2">
      <c r="A4737"/>
      <c r="B4737"/>
    </row>
    <row r="4738" spans="1:2" x14ac:dyDescent="0.2">
      <c r="A4738"/>
      <c r="B4738"/>
    </row>
    <row r="4739" spans="1:2" x14ac:dyDescent="0.2">
      <c r="A4739"/>
      <c r="B4739"/>
    </row>
    <row r="4740" spans="1:2" x14ac:dyDescent="0.2">
      <c r="A4740"/>
      <c r="B4740"/>
    </row>
    <row r="4741" spans="1:2" x14ac:dyDescent="0.2">
      <c r="A4741"/>
      <c r="B4741"/>
    </row>
    <row r="4742" spans="1:2" x14ac:dyDescent="0.2">
      <c r="A4742"/>
      <c r="B4742"/>
    </row>
    <row r="4743" spans="1:2" x14ac:dyDescent="0.2">
      <c r="A4743"/>
      <c r="B4743"/>
    </row>
    <row r="4744" spans="1:2" x14ac:dyDescent="0.2">
      <c r="A4744"/>
      <c r="B4744"/>
    </row>
    <row r="4745" spans="1:2" x14ac:dyDescent="0.2">
      <c r="A4745"/>
      <c r="B4745"/>
    </row>
    <row r="4746" spans="1:2" x14ac:dyDescent="0.2">
      <c r="A4746"/>
      <c r="B4746"/>
    </row>
    <row r="4747" spans="1:2" x14ac:dyDescent="0.2">
      <c r="A4747"/>
      <c r="B4747"/>
    </row>
    <row r="4748" spans="1:2" x14ac:dyDescent="0.2">
      <c r="A4748"/>
      <c r="B4748"/>
    </row>
    <row r="4749" spans="1:2" x14ac:dyDescent="0.2">
      <c r="A4749"/>
      <c r="B4749"/>
    </row>
    <row r="4750" spans="1:2" x14ac:dyDescent="0.2">
      <c r="A4750"/>
      <c r="B4750"/>
    </row>
    <row r="4751" spans="1:2" x14ac:dyDescent="0.2">
      <c r="A4751"/>
      <c r="B4751"/>
    </row>
    <row r="4752" spans="1:2" x14ac:dyDescent="0.2">
      <c r="A4752"/>
      <c r="B4752"/>
    </row>
    <row r="4753" spans="1:2" x14ac:dyDescent="0.2">
      <c r="A4753"/>
      <c r="B4753"/>
    </row>
    <row r="4754" spans="1:2" x14ac:dyDescent="0.2">
      <c r="A4754"/>
      <c r="B4754"/>
    </row>
    <row r="4755" spans="1:2" x14ac:dyDescent="0.2">
      <c r="A4755"/>
      <c r="B4755"/>
    </row>
    <row r="4756" spans="1:2" x14ac:dyDescent="0.2">
      <c r="A4756"/>
      <c r="B4756"/>
    </row>
    <row r="4757" spans="1:2" x14ac:dyDescent="0.2">
      <c r="A4757"/>
      <c r="B4757"/>
    </row>
    <row r="4758" spans="1:2" x14ac:dyDescent="0.2">
      <c r="A4758"/>
      <c r="B4758"/>
    </row>
    <row r="4759" spans="1:2" x14ac:dyDescent="0.2">
      <c r="A4759"/>
      <c r="B4759"/>
    </row>
    <row r="4760" spans="1:2" x14ac:dyDescent="0.2">
      <c r="A4760"/>
      <c r="B4760"/>
    </row>
    <row r="4761" spans="1:2" x14ac:dyDescent="0.2">
      <c r="A4761"/>
      <c r="B4761"/>
    </row>
    <row r="4762" spans="1:2" x14ac:dyDescent="0.2">
      <c r="A4762"/>
      <c r="B4762"/>
    </row>
    <row r="4763" spans="1:2" x14ac:dyDescent="0.2">
      <c r="A4763"/>
      <c r="B4763"/>
    </row>
    <row r="4764" spans="1:2" x14ac:dyDescent="0.2">
      <c r="A4764"/>
      <c r="B4764"/>
    </row>
    <row r="4765" spans="1:2" x14ac:dyDescent="0.2">
      <c r="A4765"/>
      <c r="B4765"/>
    </row>
    <row r="4766" spans="1:2" x14ac:dyDescent="0.2">
      <c r="A4766"/>
      <c r="B4766"/>
    </row>
    <row r="4767" spans="1:2" x14ac:dyDescent="0.2">
      <c r="A4767"/>
      <c r="B4767"/>
    </row>
    <row r="4768" spans="1:2" x14ac:dyDescent="0.2">
      <c r="A4768"/>
      <c r="B4768"/>
    </row>
    <row r="4769" spans="1:2" x14ac:dyDescent="0.2">
      <c r="A4769"/>
      <c r="B4769"/>
    </row>
    <row r="4770" spans="1:2" x14ac:dyDescent="0.2">
      <c r="A4770"/>
      <c r="B4770"/>
    </row>
    <row r="4771" spans="1:2" x14ac:dyDescent="0.2">
      <c r="A4771"/>
      <c r="B4771"/>
    </row>
    <row r="4772" spans="1:2" x14ac:dyDescent="0.2">
      <c r="A4772"/>
      <c r="B4772"/>
    </row>
    <row r="4773" spans="1:2" x14ac:dyDescent="0.2">
      <c r="A4773"/>
      <c r="B4773"/>
    </row>
    <row r="4774" spans="1:2" x14ac:dyDescent="0.2">
      <c r="A4774"/>
      <c r="B4774"/>
    </row>
    <row r="4775" spans="1:2" x14ac:dyDescent="0.2">
      <c r="A4775"/>
      <c r="B4775"/>
    </row>
    <row r="4776" spans="1:2" x14ac:dyDescent="0.2">
      <c r="A4776"/>
      <c r="B4776"/>
    </row>
    <row r="4777" spans="1:2" x14ac:dyDescent="0.2">
      <c r="A4777"/>
      <c r="B4777"/>
    </row>
    <row r="4778" spans="1:2" x14ac:dyDescent="0.2">
      <c r="A4778"/>
      <c r="B4778"/>
    </row>
    <row r="4779" spans="1:2" x14ac:dyDescent="0.2">
      <c r="A4779"/>
      <c r="B4779"/>
    </row>
    <row r="4780" spans="1:2" x14ac:dyDescent="0.2">
      <c r="A4780"/>
      <c r="B4780"/>
    </row>
    <row r="4781" spans="1:2" x14ac:dyDescent="0.2">
      <c r="A4781"/>
      <c r="B4781"/>
    </row>
    <row r="4782" spans="1:2" x14ac:dyDescent="0.2">
      <c r="A4782"/>
      <c r="B4782"/>
    </row>
    <row r="4783" spans="1:2" x14ac:dyDescent="0.2">
      <c r="A4783"/>
      <c r="B4783"/>
    </row>
    <row r="4784" spans="1:2" x14ac:dyDescent="0.2">
      <c r="A4784"/>
      <c r="B4784"/>
    </row>
    <row r="4785" spans="1:2" x14ac:dyDescent="0.2">
      <c r="A4785"/>
      <c r="B4785"/>
    </row>
    <row r="4786" spans="1:2" x14ac:dyDescent="0.2">
      <c r="A4786"/>
      <c r="B4786"/>
    </row>
    <row r="4787" spans="1:2" x14ac:dyDescent="0.2">
      <c r="A4787"/>
      <c r="B4787"/>
    </row>
    <row r="4788" spans="1:2" x14ac:dyDescent="0.2">
      <c r="A4788"/>
      <c r="B4788"/>
    </row>
    <row r="4789" spans="1:2" x14ac:dyDescent="0.2">
      <c r="A4789"/>
      <c r="B4789"/>
    </row>
    <row r="4790" spans="1:2" x14ac:dyDescent="0.2">
      <c r="A4790"/>
      <c r="B4790"/>
    </row>
    <row r="4791" spans="1:2" x14ac:dyDescent="0.2">
      <c r="A4791"/>
      <c r="B4791"/>
    </row>
    <row r="4792" spans="1:2" x14ac:dyDescent="0.2">
      <c r="A4792"/>
      <c r="B4792"/>
    </row>
    <row r="4793" spans="1:2" x14ac:dyDescent="0.2">
      <c r="A4793"/>
      <c r="B4793"/>
    </row>
    <row r="4794" spans="1:2" x14ac:dyDescent="0.2">
      <c r="A4794"/>
      <c r="B4794"/>
    </row>
    <row r="4795" spans="1:2" x14ac:dyDescent="0.2">
      <c r="A4795"/>
      <c r="B4795"/>
    </row>
    <row r="4796" spans="1:2" x14ac:dyDescent="0.2">
      <c r="A4796"/>
      <c r="B4796"/>
    </row>
    <row r="4797" spans="1:2" x14ac:dyDescent="0.2">
      <c r="A4797"/>
      <c r="B4797"/>
    </row>
    <row r="4798" spans="1:2" x14ac:dyDescent="0.2">
      <c r="A4798"/>
      <c r="B4798"/>
    </row>
    <row r="4799" spans="1:2" x14ac:dyDescent="0.2">
      <c r="A4799"/>
      <c r="B4799"/>
    </row>
    <row r="4800" spans="1:2" x14ac:dyDescent="0.2">
      <c r="A4800"/>
      <c r="B4800"/>
    </row>
    <row r="4801" spans="1:2" x14ac:dyDescent="0.2">
      <c r="A4801"/>
      <c r="B4801"/>
    </row>
    <row r="4802" spans="1:2" x14ac:dyDescent="0.2">
      <c r="A4802"/>
      <c r="B4802"/>
    </row>
    <row r="4803" spans="1:2" x14ac:dyDescent="0.2">
      <c r="A4803"/>
      <c r="B4803"/>
    </row>
    <row r="4804" spans="1:2" x14ac:dyDescent="0.2">
      <c r="A4804"/>
      <c r="B4804"/>
    </row>
    <row r="4805" spans="1:2" x14ac:dyDescent="0.2">
      <c r="A4805"/>
      <c r="B4805"/>
    </row>
    <row r="4806" spans="1:2" x14ac:dyDescent="0.2">
      <c r="A4806"/>
      <c r="B4806"/>
    </row>
    <row r="4807" spans="1:2" x14ac:dyDescent="0.2">
      <c r="A4807"/>
      <c r="B4807"/>
    </row>
    <row r="4808" spans="1:2" x14ac:dyDescent="0.2">
      <c r="A4808"/>
      <c r="B4808"/>
    </row>
    <row r="4809" spans="1:2" x14ac:dyDescent="0.2">
      <c r="A4809"/>
      <c r="B4809"/>
    </row>
    <row r="4810" spans="1:2" x14ac:dyDescent="0.2">
      <c r="A4810"/>
      <c r="B4810"/>
    </row>
    <row r="4811" spans="1:2" x14ac:dyDescent="0.2">
      <c r="A4811"/>
      <c r="B4811"/>
    </row>
    <row r="4812" spans="1:2" x14ac:dyDescent="0.2">
      <c r="A4812"/>
      <c r="B4812"/>
    </row>
    <row r="4813" spans="1:2" x14ac:dyDescent="0.2">
      <c r="A4813"/>
      <c r="B4813"/>
    </row>
    <row r="4814" spans="1:2" x14ac:dyDescent="0.2">
      <c r="A4814"/>
      <c r="B4814"/>
    </row>
    <row r="4815" spans="1:2" x14ac:dyDescent="0.2">
      <c r="A4815"/>
      <c r="B4815"/>
    </row>
    <row r="4816" spans="1:2" x14ac:dyDescent="0.2">
      <c r="A4816"/>
      <c r="B4816"/>
    </row>
    <row r="4817" spans="1:2" x14ac:dyDescent="0.2">
      <c r="A4817"/>
      <c r="B4817"/>
    </row>
    <row r="4818" spans="1:2" x14ac:dyDescent="0.2">
      <c r="A4818"/>
      <c r="B4818"/>
    </row>
    <row r="4819" spans="1:2" x14ac:dyDescent="0.2">
      <c r="A4819"/>
      <c r="B4819"/>
    </row>
    <row r="4820" spans="1:2" x14ac:dyDescent="0.2">
      <c r="A4820"/>
      <c r="B4820"/>
    </row>
    <row r="4821" spans="1:2" x14ac:dyDescent="0.2">
      <c r="A4821"/>
      <c r="B4821"/>
    </row>
    <row r="4822" spans="1:2" x14ac:dyDescent="0.2">
      <c r="A4822"/>
      <c r="B4822"/>
    </row>
    <row r="4823" spans="1:2" x14ac:dyDescent="0.2">
      <c r="A4823"/>
      <c r="B4823"/>
    </row>
    <row r="4824" spans="1:2" x14ac:dyDescent="0.2">
      <c r="A4824"/>
      <c r="B4824"/>
    </row>
    <row r="4825" spans="1:2" x14ac:dyDescent="0.2">
      <c r="A4825"/>
      <c r="B4825"/>
    </row>
    <row r="4826" spans="1:2" x14ac:dyDescent="0.2">
      <c r="A4826"/>
      <c r="B4826"/>
    </row>
    <row r="4827" spans="1:2" x14ac:dyDescent="0.2">
      <c r="A4827"/>
      <c r="B4827"/>
    </row>
    <row r="4828" spans="1:2" x14ac:dyDescent="0.2">
      <c r="A4828"/>
      <c r="B4828"/>
    </row>
    <row r="4829" spans="1:2" x14ac:dyDescent="0.2">
      <c r="A4829"/>
      <c r="B4829"/>
    </row>
    <row r="4830" spans="1:2" x14ac:dyDescent="0.2">
      <c r="A4830"/>
      <c r="B4830"/>
    </row>
    <row r="4831" spans="1:2" x14ac:dyDescent="0.2">
      <c r="A4831"/>
      <c r="B4831"/>
    </row>
    <row r="4832" spans="1:2" x14ac:dyDescent="0.2">
      <c r="A4832"/>
      <c r="B4832"/>
    </row>
    <row r="4833" spans="1:2" x14ac:dyDescent="0.2">
      <c r="A4833"/>
      <c r="B4833"/>
    </row>
    <row r="4834" spans="1:2" x14ac:dyDescent="0.2">
      <c r="A4834"/>
      <c r="B4834"/>
    </row>
    <row r="4835" spans="1:2" x14ac:dyDescent="0.2">
      <c r="A4835"/>
      <c r="B4835"/>
    </row>
    <row r="4836" spans="1:2" x14ac:dyDescent="0.2">
      <c r="A4836"/>
      <c r="B4836"/>
    </row>
    <row r="4837" spans="1:2" x14ac:dyDescent="0.2">
      <c r="A4837"/>
      <c r="B4837"/>
    </row>
    <row r="4838" spans="1:2" x14ac:dyDescent="0.2">
      <c r="A4838"/>
      <c r="B4838"/>
    </row>
    <row r="4839" spans="1:2" x14ac:dyDescent="0.2">
      <c r="A4839"/>
      <c r="B4839"/>
    </row>
    <row r="4840" spans="1:2" x14ac:dyDescent="0.2">
      <c r="A4840"/>
      <c r="B4840"/>
    </row>
    <row r="4841" spans="1:2" x14ac:dyDescent="0.2">
      <c r="A4841"/>
      <c r="B4841"/>
    </row>
    <row r="4842" spans="1:2" x14ac:dyDescent="0.2">
      <c r="A4842"/>
      <c r="B4842"/>
    </row>
    <row r="4843" spans="1:2" x14ac:dyDescent="0.2">
      <c r="A4843"/>
      <c r="B4843"/>
    </row>
    <row r="4844" spans="1:2" x14ac:dyDescent="0.2">
      <c r="A4844"/>
      <c r="B4844"/>
    </row>
    <row r="4845" spans="1:2" x14ac:dyDescent="0.2">
      <c r="A4845"/>
      <c r="B4845"/>
    </row>
    <row r="4846" spans="1:2" x14ac:dyDescent="0.2">
      <c r="A4846"/>
      <c r="B4846"/>
    </row>
    <row r="4847" spans="1:2" x14ac:dyDescent="0.2">
      <c r="A4847"/>
      <c r="B4847"/>
    </row>
    <row r="4848" spans="1:2" x14ac:dyDescent="0.2">
      <c r="A4848"/>
      <c r="B4848"/>
    </row>
    <row r="4849" spans="1:2" x14ac:dyDescent="0.2">
      <c r="A4849"/>
      <c r="B4849"/>
    </row>
    <row r="4850" spans="1:2" x14ac:dyDescent="0.2">
      <c r="A4850"/>
      <c r="B4850"/>
    </row>
    <row r="4851" spans="1:2" x14ac:dyDescent="0.2">
      <c r="A4851"/>
      <c r="B4851"/>
    </row>
    <row r="4852" spans="1:2" x14ac:dyDescent="0.2">
      <c r="A4852"/>
      <c r="B4852"/>
    </row>
    <row r="4853" spans="1:2" x14ac:dyDescent="0.2">
      <c r="A4853"/>
      <c r="B4853"/>
    </row>
    <row r="4854" spans="1:2" x14ac:dyDescent="0.2">
      <c r="A4854"/>
      <c r="B4854"/>
    </row>
    <row r="4855" spans="1:2" x14ac:dyDescent="0.2">
      <c r="A4855"/>
      <c r="B4855"/>
    </row>
    <row r="4856" spans="1:2" x14ac:dyDescent="0.2">
      <c r="A4856"/>
      <c r="B4856"/>
    </row>
    <row r="4857" spans="1:2" x14ac:dyDescent="0.2">
      <c r="A4857"/>
      <c r="B4857"/>
    </row>
    <row r="4858" spans="1:2" x14ac:dyDescent="0.2">
      <c r="A4858"/>
      <c r="B4858"/>
    </row>
    <row r="4859" spans="1:2" x14ac:dyDescent="0.2">
      <c r="A4859"/>
      <c r="B4859"/>
    </row>
    <row r="4860" spans="1:2" x14ac:dyDescent="0.2">
      <c r="A4860"/>
      <c r="B4860"/>
    </row>
    <row r="4861" spans="1:2" x14ac:dyDescent="0.2">
      <c r="A4861"/>
      <c r="B4861"/>
    </row>
    <row r="4862" spans="1:2" x14ac:dyDescent="0.2">
      <c r="A4862"/>
      <c r="B4862"/>
    </row>
    <row r="4863" spans="1:2" x14ac:dyDescent="0.2">
      <c r="A4863"/>
      <c r="B4863"/>
    </row>
    <row r="4864" spans="1:2" x14ac:dyDescent="0.2">
      <c r="A4864"/>
      <c r="B4864"/>
    </row>
    <row r="4865" spans="1:2" x14ac:dyDescent="0.2">
      <c r="A4865"/>
      <c r="B4865"/>
    </row>
    <row r="4866" spans="1:2" x14ac:dyDescent="0.2">
      <c r="A4866"/>
      <c r="B4866"/>
    </row>
    <row r="4867" spans="1:2" x14ac:dyDescent="0.2">
      <c r="A4867"/>
      <c r="B4867"/>
    </row>
    <row r="4868" spans="1:2" x14ac:dyDescent="0.2">
      <c r="A4868"/>
      <c r="B4868"/>
    </row>
    <row r="4869" spans="1:2" x14ac:dyDescent="0.2">
      <c r="A4869"/>
      <c r="B4869"/>
    </row>
    <row r="4870" spans="1:2" x14ac:dyDescent="0.2">
      <c r="A4870"/>
      <c r="B4870"/>
    </row>
    <row r="4871" spans="1:2" x14ac:dyDescent="0.2">
      <c r="A4871"/>
      <c r="B4871"/>
    </row>
    <row r="4872" spans="1:2" x14ac:dyDescent="0.2">
      <c r="A4872"/>
      <c r="B4872"/>
    </row>
    <row r="4873" spans="1:2" x14ac:dyDescent="0.2">
      <c r="A4873"/>
      <c r="B4873"/>
    </row>
    <row r="4874" spans="1:2" x14ac:dyDescent="0.2">
      <c r="A4874"/>
      <c r="B4874"/>
    </row>
    <row r="4875" spans="1:2" x14ac:dyDescent="0.2">
      <c r="A4875"/>
      <c r="B4875"/>
    </row>
    <row r="4876" spans="1:2" x14ac:dyDescent="0.2">
      <c r="A4876"/>
      <c r="B4876"/>
    </row>
    <row r="4877" spans="1:2" x14ac:dyDescent="0.2">
      <c r="A4877"/>
      <c r="B4877"/>
    </row>
    <row r="4878" spans="1:2" x14ac:dyDescent="0.2">
      <c r="A4878"/>
      <c r="B4878"/>
    </row>
    <row r="4879" spans="1:2" x14ac:dyDescent="0.2">
      <c r="A4879"/>
      <c r="B4879"/>
    </row>
    <row r="4880" spans="1:2" x14ac:dyDescent="0.2">
      <c r="A4880"/>
      <c r="B4880"/>
    </row>
    <row r="4881" spans="1:2" x14ac:dyDescent="0.2">
      <c r="A4881"/>
      <c r="B4881"/>
    </row>
    <row r="4882" spans="1:2" x14ac:dyDescent="0.2">
      <c r="A4882"/>
      <c r="B4882"/>
    </row>
    <row r="4883" spans="1:2" x14ac:dyDescent="0.2">
      <c r="A4883"/>
      <c r="B4883"/>
    </row>
    <row r="4884" spans="1:2" x14ac:dyDescent="0.2">
      <c r="A4884"/>
      <c r="B4884"/>
    </row>
    <row r="4885" spans="1:2" x14ac:dyDescent="0.2">
      <c r="A4885"/>
      <c r="B4885"/>
    </row>
    <row r="4886" spans="1:2" x14ac:dyDescent="0.2">
      <c r="A4886"/>
      <c r="B4886"/>
    </row>
    <row r="4887" spans="1:2" x14ac:dyDescent="0.2">
      <c r="A4887"/>
      <c r="B4887"/>
    </row>
    <row r="4888" spans="1:2" x14ac:dyDescent="0.2">
      <c r="A4888"/>
      <c r="B4888"/>
    </row>
    <row r="4889" spans="1:2" x14ac:dyDescent="0.2">
      <c r="A4889"/>
      <c r="B4889"/>
    </row>
    <row r="4890" spans="1:2" x14ac:dyDescent="0.2">
      <c r="A4890"/>
      <c r="B4890"/>
    </row>
    <row r="4891" spans="1:2" x14ac:dyDescent="0.2">
      <c r="A4891"/>
      <c r="B4891"/>
    </row>
    <row r="4892" spans="1:2" x14ac:dyDescent="0.2">
      <c r="A4892"/>
      <c r="B4892"/>
    </row>
    <row r="4893" spans="1:2" x14ac:dyDescent="0.2">
      <c r="A4893"/>
      <c r="B4893"/>
    </row>
    <row r="4894" spans="1:2" x14ac:dyDescent="0.2">
      <c r="A4894"/>
      <c r="B4894"/>
    </row>
    <row r="4895" spans="1:2" x14ac:dyDescent="0.2">
      <c r="A4895"/>
      <c r="B4895"/>
    </row>
    <row r="4896" spans="1:2" x14ac:dyDescent="0.2">
      <c r="A4896"/>
      <c r="B4896"/>
    </row>
    <row r="4897" spans="1:2" x14ac:dyDescent="0.2">
      <c r="A4897"/>
      <c r="B4897"/>
    </row>
    <row r="4898" spans="1:2" x14ac:dyDescent="0.2">
      <c r="A4898"/>
      <c r="B4898"/>
    </row>
    <row r="4899" spans="1:2" x14ac:dyDescent="0.2">
      <c r="A4899"/>
      <c r="B4899"/>
    </row>
    <row r="4900" spans="1:2" x14ac:dyDescent="0.2">
      <c r="A4900"/>
      <c r="B4900"/>
    </row>
    <row r="4901" spans="1:2" x14ac:dyDescent="0.2">
      <c r="A4901"/>
      <c r="B4901"/>
    </row>
    <row r="4902" spans="1:2" x14ac:dyDescent="0.2">
      <c r="A4902"/>
      <c r="B4902"/>
    </row>
    <row r="4903" spans="1:2" x14ac:dyDescent="0.2">
      <c r="A4903"/>
      <c r="B4903"/>
    </row>
    <row r="4904" spans="1:2" x14ac:dyDescent="0.2">
      <c r="A4904"/>
      <c r="B4904"/>
    </row>
    <row r="4905" spans="1:2" x14ac:dyDescent="0.2">
      <c r="A4905"/>
      <c r="B4905"/>
    </row>
    <row r="4906" spans="1:2" x14ac:dyDescent="0.2">
      <c r="A4906"/>
      <c r="B4906"/>
    </row>
    <row r="4907" spans="1:2" x14ac:dyDescent="0.2">
      <c r="A4907"/>
      <c r="B4907"/>
    </row>
    <row r="4908" spans="1:2" x14ac:dyDescent="0.2">
      <c r="A4908"/>
      <c r="B4908"/>
    </row>
    <row r="4909" spans="1:2" x14ac:dyDescent="0.2">
      <c r="A4909"/>
      <c r="B4909"/>
    </row>
    <row r="4910" spans="1:2" x14ac:dyDescent="0.2">
      <c r="A4910"/>
      <c r="B4910"/>
    </row>
    <row r="4911" spans="1:2" x14ac:dyDescent="0.2">
      <c r="A4911"/>
      <c r="B4911"/>
    </row>
    <row r="4912" spans="1:2" x14ac:dyDescent="0.2">
      <c r="A4912"/>
      <c r="B4912"/>
    </row>
    <row r="4913" spans="1:2" x14ac:dyDescent="0.2">
      <c r="A4913"/>
      <c r="B4913"/>
    </row>
    <row r="4914" spans="1:2" x14ac:dyDescent="0.2">
      <c r="A4914"/>
      <c r="B4914"/>
    </row>
    <row r="4915" spans="1:2" x14ac:dyDescent="0.2">
      <c r="A4915"/>
      <c r="B4915"/>
    </row>
    <row r="4916" spans="1:2" x14ac:dyDescent="0.2">
      <c r="A4916"/>
      <c r="B4916"/>
    </row>
    <row r="4917" spans="1:2" x14ac:dyDescent="0.2">
      <c r="A4917"/>
      <c r="B4917"/>
    </row>
    <row r="4918" spans="1:2" x14ac:dyDescent="0.2">
      <c r="A4918"/>
      <c r="B4918"/>
    </row>
    <row r="4919" spans="1:2" x14ac:dyDescent="0.2">
      <c r="A4919"/>
      <c r="B4919"/>
    </row>
    <row r="4920" spans="1:2" x14ac:dyDescent="0.2">
      <c r="A4920"/>
      <c r="B4920"/>
    </row>
    <row r="4921" spans="1:2" x14ac:dyDescent="0.2">
      <c r="A4921"/>
      <c r="B4921"/>
    </row>
    <row r="4922" spans="1:2" x14ac:dyDescent="0.2">
      <c r="A4922"/>
      <c r="B4922"/>
    </row>
    <row r="4923" spans="1:2" x14ac:dyDescent="0.2">
      <c r="A4923"/>
      <c r="B4923"/>
    </row>
    <row r="4924" spans="1:2" x14ac:dyDescent="0.2">
      <c r="A4924"/>
      <c r="B4924"/>
    </row>
    <row r="4925" spans="1:2" x14ac:dyDescent="0.2">
      <c r="A4925"/>
      <c r="B4925"/>
    </row>
    <row r="4926" spans="1:2" x14ac:dyDescent="0.2">
      <c r="A4926"/>
      <c r="B4926"/>
    </row>
    <row r="4927" spans="1:2" x14ac:dyDescent="0.2">
      <c r="A4927"/>
      <c r="B4927"/>
    </row>
    <row r="4928" spans="1:2" x14ac:dyDescent="0.2">
      <c r="A4928"/>
      <c r="B4928"/>
    </row>
    <row r="4929" spans="1:2" x14ac:dyDescent="0.2">
      <c r="A4929"/>
      <c r="B4929"/>
    </row>
    <row r="4930" spans="1:2" x14ac:dyDescent="0.2">
      <c r="A4930"/>
      <c r="B4930"/>
    </row>
    <row r="4931" spans="1:2" x14ac:dyDescent="0.2">
      <c r="A4931"/>
      <c r="B4931"/>
    </row>
    <row r="4932" spans="1:2" x14ac:dyDescent="0.2">
      <c r="A4932"/>
      <c r="B4932"/>
    </row>
    <row r="4933" spans="1:2" x14ac:dyDescent="0.2">
      <c r="A4933"/>
      <c r="B4933"/>
    </row>
    <row r="4934" spans="1:2" x14ac:dyDescent="0.2">
      <c r="A4934"/>
      <c r="B4934"/>
    </row>
    <row r="4935" spans="1:2" x14ac:dyDescent="0.2">
      <c r="A4935"/>
      <c r="B4935"/>
    </row>
    <row r="4936" spans="1:2" x14ac:dyDescent="0.2">
      <c r="A4936"/>
      <c r="B4936"/>
    </row>
    <row r="4937" spans="1:2" x14ac:dyDescent="0.2">
      <c r="A4937"/>
      <c r="B4937"/>
    </row>
    <row r="4938" spans="1:2" x14ac:dyDescent="0.2">
      <c r="A4938"/>
      <c r="B4938"/>
    </row>
    <row r="4939" spans="1:2" x14ac:dyDescent="0.2">
      <c r="A4939"/>
      <c r="B4939"/>
    </row>
    <row r="4940" spans="1:2" x14ac:dyDescent="0.2">
      <c r="A4940"/>
      <c r="B4940"/>
    </row>
    <row r="4941" spans="1:2" x14ac:dyDescent="0.2">
      <c r="A4941"/>
      <c r="B4941"/>
    </row>
    <row r="4942" spans="1:2" x14ac:dyDescent="0.2">
      <c r="A4942"/>
      <c r="B4942"/>
    </row>
    <row r="4943" spans="1:2" x14ac:dyDescent="0.2">
      <c r="A4943"/>
      <c r="B4943"/>
    </row>
    <row r="4944" spans="1:2" x14ac:dyDescent="0.2">
      <c r="A4944"/>
      <c r="B4944"/>
    </row>
    <row r="4945" spans="1:2" x14ac:dyDescent="0.2">
      <c r="A4945"/>
      <c r="B4945"/>
    </row>
    <row r="4946" spans="1:2" x14ac:dyDescent="0.2">
      <c r="A4946"/>
      <c r="B4946"/>
    </row>
    <row r="4947" spans="1:2" x14ac:dyDescent="0.2">
      <c r="A4947"/>
      <c r="B4947"/>
    </row>
    <row r="4948" spans="1:2" x14ac:dyDescent="0.2">
      <c r="A4948"/>
      <c r="B4948"/>
    </row>
    <row r="4949" spans="1:2" x14ac:dyDescent="0.2">
      <c r="A4949"/>
      <c r="B4949"/>
    </row>
    <row r="4950" spans="1:2" x14ac:dyDescent="0.2">
      <c r="A4950"/>
      <c r="B4950"/>
    </row>
    <row r="4951" spans="1:2" x14ac:dyDescent="0.2">
      <c r="A4951"/>
      <c r="B4951"/>
    </row>
    <row r="4952" spans="1:2" x14ac:dyDescent="0.2">
      <c r="A4952"/>
      <c r="B4952"/>
    </row>
    <row r="4953" spans="1:2" x14ac:dyDescent="0.2">
      <c r="A4953"/>
      <c r="B4953"/>
    </row>
    <row r="4954" spans="1:2" x14ac:dyDescent="0.2">
      <c r="A4954"/>
      <c r="B4954"/>
    </row>
    <row r="4955" spans="1:2" x14ac:dyDescent="0.2">
      <c r="A4955"/>
      <c r="B4955"/>
    </row>
    <row r="4956" spans="1:2" x14ac:dyDescent="0.2">
      <c r="A4956"/>
      <c r="B4956"/>
    </row>
    <row r="4957" spans="1:2" x14ac:dyDescent="0.2">
      <c r="A4957"/>
      <c r="B4957"/>
    </row>
    <row r="4958" spans="1:2" x14ac:dyDescent="0.2">
      <c r="A4958"/>
      <c r="B4958"/>
    </row>
    <row r="4959" spans="1:2" x14ac:dyDescent="0.2">
      <c r="A4959"/>
      <c r="B4959"/>
    </row>
    <row r="4960" spans="1:2" x14ac:dyDescent="0.2">
      <c r="A4960"/>
      <c r="B4960"/>
    </row>
    <row r="4961" spans="1:2" x14ac:dyDescent="0.2">
      <c r="A4961"/>
      <c r="B4961"/>
    </row>
    <row r="4962" spans="1:2" x14ac:dyDescent="0.2">
      <c r="A4962"/>
      <c r="B4962"/>
    </row>
    <row r="4963" spans="1:2" x14ac:dyDescent="0.2">
      <c r="A4963"/>
      <c r="B4963"/>
    </row>
    <row r="4964" spans="1:2" x14ac:dyDescent="0.2">
      <c r="A4964"/>
      <c r="B4964"/>
    </row>
    <row r="4965" spans="1:2" x14ac:dyDescent="0.2">
      <c r="A4965"/>
      <c r="B4965"/>
    </row>
    <row r="4966" spans="1:2" x14ac:dyDescent="0.2">
      <c r="A4966"/>
      <c r="B4966"/>
    </row>
    <row r="4967" spans="1:2" x14ac:dyDescent="0.2">
      <c r="A4967"/>
      <c r="B4967"/>
    </row>
    <row r="4968" spans="1:2" x14ac:dyDescent="0.2">
      <c r="A4968"/>
      <c r="B4968"/>
    </row>
    <row r="4969" spans="1:2" x14ac:dyDescent="0.2">
      <c r="A4969"/>
      <c r="B4969"/>
    </row>
    <row r="4970" spans="1:2" x14ac:dyDescent="0.2">
      <c r="A4970"/>
      <c r="B4970"/>
    </row>
    <row r="4971" spans="1:2" x14ac:dyDescent="0.2">
      <c r="A4971"/>
      <c r="B4971"/>
    </row>
    <row r="4972" spans="1:2" x14ac:dyDescent="0.2">
      <c r="A4972"/>
      <c r="B4972"/>
    </row>
    <row r="4973" spans="1:2" x14ac:dyDescent="0.2">
      <c r="A4973"/>
      <c r="B4973"/>
    </row>
    <row r="4974" spans="1:2" x14ac:dyDescent="0.2">
      <c r="A4974"/>
      <c r="B4974"/>
    </row>
    <row r="4975" spans="1:2" x14ac:dyDescent="0.2">
      <c r="A4975"/>
      <c r="B4975"/>
    </row>
    <row r="4976" spans="1:2" x14ac:dyDescent="0.2">
      <c r="A4976"/>
      <c r="B4976"/>
    </row>
    <row r="4977" spans="1:2" x14ac:dyDescent="0.2">
      <c r="A4977"/>
      <c r="B4977"/>
    </row>
    <row r="4978" spans="1:2" x14ac:dyDescent="0.2">
      <c r="A4978"/>
      <c r="B4978"/>
    </row>
    <row r="4979" spans="1:2" x14ac:dyDescent="0.2">
      <c r="A4979"/>
      <c r="B4979"/>
    </row>
    <row r="4980" spans="1:2" x14ac:dyDescent="0.2">
      <c r="A4980"/>
      <c r="B4980"/>
    </row>
    <row r="4981" spans="1:2" x14ac:dyDescent="0.2">
      <c r="A4981"/>
      <c r="B4981"/>
    </row>
    <row r="4982" spans="1:2" x14ac:dyDescent="0.2">
      <c r="A4982"/>
      <c r="B4982"/>
    </row>
    <row r="4983" spans="1:2" x14ac:dyDescent="0.2">
      <c r="A4983"/>
      <c r="B4983"/>
    </row>
    <row r="4984" spans="1:2" x14ac:dyDescent="0.2">
      <c r="A4984"/>
      <c r="B4984"/>
    </row>
    <row r="4985" spans="1:2" x14ac:dyDescent="0.2">
      <c r="A4985"/>
      <c r="B4985"/>
    </row>
    <row r="4986" spans="1:2" x14ac:dyDescent="0.2">
      <c r="A4986"/>
      <c r="B4986"/>
    </row>
    <row r="4987" spans="1:2" x14ac:dyDescent="0.2">
      <c r="A4987"/>
      <c r="B4987"/>
    </row>
    <row r="4988" spans="1:2" x14ac:dyDescent="0.2">
      <c r="A4988"/>
      <c r="B4988"/>
    </row>
    <row r="4989" spans="1:2" x14ac:dyDescent="0.2">
      <c r="A4989"/>
      <c r="B4989"/>
    </row>
    <row r="4990" spans="1:2" x14ac:dyDescent="0.2">
      <c r="A4990"/>
      <c r="B4990"/>
    </row>
    <row r="4991" spans="1:2" x14ac:dyDescent="0.2">
      <c r="A4991"/>
      <c r="B4991"/>
    </row>
    <row r="4992" spans="1:2" x14ac:dyDescent="0.2">
      <c r="A4992"/>
      <c r="B4992"/>
    </row>
    <row r="4993" spans="1:2" x14ac:dyDescent="0.2">
      <c r="A4993"/>
      <c r="B4993"/>
    </row>
    <row r="4994" spans="1:2" x14ac:dyDescent="0.2">
      <c r="A4994"/>
      <c r="B4994"/>
    </row>
    <row r="4995" spans="1:2" x14ac:dyDescent="0.2">
      <c r="A4995"/>
      <c r="B4995"/>
    </row>
    <row r="4996" spans="1:2" x14ac:dyDescent="0.2">
      <c r="A4996"/>
      <c r="B4996"/>
    </row>
    <row r="4997" spans="1:2" x14ac:dyDescent="0.2">
      <c r="A4997"/>
      <c r="B4997"/>
    </row>
    <row r="4998" spans="1:2" x14ac:dyDescent="0.2">
      <c r="A4998"/>
      <c r="B4998"/>
    </row>
    <row r="4999" spans="1:2" x14ac:dyDescent="0.2">
      <c r="A4999"/>
      <c r="B4999"/>
    </row>
    <row r="5000" spans="1:2" x14ac:dyDescent="0.2">
      <c r="A5000"/>
      <c r="B5000"/>
    </row>
    <row r="5001" spans="1:2" x14ac:dyDescent="0.2">
      <c r="A5001"/>
      <c r="B5001"/>
    </row>
    <row r="5002" spans="1:2" x14ac:dyDescent="0.2">
      <c r="A5002"/>
      <c r="B5002"/>
    </row>
    <row r="5003" spans="1:2" x14ac:dyDescent="0.2">
      <c r="A5003"/>
      <c r="B5003"/>
    </row>
    <row r="5004" spans="1:2" x14ac:dyDescent="0.2">
      <c r="A5004"/>
      <c r="B5004"/>
    </row>
    <row r="5005" spans="1:2" x14ac:dyDescent="0.2">
      <c r="A5005"/>
      <c r="B5005"/>
    </row>
    <row r="5006" spans="1:2" x14ac:dyDescent="0.2">
      <c r="A5006"/>
      <c r="B5006"/>
    </row>
    <row r="5007" spans="1:2" x14ac:dyDescent="0.2">
      <c r="A5007"/>
      <c r="B5007"/>
    </row>
    <row r="5008" spans="1:2" x14ac:dyDescent="0.2">
      <c r="A5008"/>
      <c r="B5008"/>
    </row>
    <row r="5009" spans="1:2" x14ac:dyDescent="0.2">
      <c r="A5009"/>
      <c r="B5009"/>
    </row>
    <row r="5010" spans="1:2" x14ac:dyDescent="0.2">
      <c r="A5010"/>
      <c r="B5010"/>
    </row>
    <row r="5011" spans="1:2" x14ac:dyDescent="0.2">
      <c r="A5011"/>
      <c r="B5011"/>
    </row>
    <row r="5012" spans="1:2" x14ac:dyDescent="0.2">
      <c r="A5012"/>
      <c r="B5012"/>
    </row>
    <row r="5013" spans="1:2" x14ac:dyDescent="0.2">
      <c r="A5013"/>
      <c r="B5013"/>
    </row>
    <row r="5014" spans="1:2" x14ac:dyDescent="0.2">
      <c r="A5014"/>
      <c r="B5014"/>
    </row>
    <row r="5015" spans="1:2" x14ac:dyDescent="0.2">
      <c r="A5015"/>
      <c r="B5015"/>
    </row>
    <row r="5016" spans="1:2" x14ac:dyDescent="0.2">
      <c r="A5016"/>
      <c r="B5016"/>
    </row>
    <row r="5017" spans="1:2" x14ac:dyDescent="0.2">
      <c r="A5017"/>
      <c r="B5017"/>
    </row>
    <row r="5018" spans="1:2" x14ac:dyDescent="0.2">
      <c r="A5018"/>
      <c r="B5018"/>
    </row>
    <row r="5019" spans="1:2" x14ac:dyDescent="0.2">
      <c r="A5019"/>
      <c r="B5019"/>
    </row>
    <row r="5020" spans="1:2" x14ac:dyDescent="0.2">
      <c r="A5020"/>
      <c r="B5020"/>
    </row>
    <row r="5021" spans="1:2" x14ac:dyDescent="0.2">
      <c r="A5021"/>
      <c r="B5021"/>
    </row>
    <row r="5022" spans="1:2" x14ac:dyDescent="0.2">
      <c r="A5022"/>
      <c r="B5022"/>
    </row>
    <row r="5023" spans="1:2" x14ac:dyDescent="0.2">
      <c r="A5023"/>
      <c r="B5023"/>
    </row>
    <row r="5024" spans="1:2" x14ac:dyDescent="0.2">
      <c r="A5024"/>
      <c r="B5024"/>
    </row>
    <row r="5025" spans="1:2" x14ac:dyDescent="0.2">
      <c r="A5025"/>
      <c r="B5025"/>
    </row>
    <row r="5026" spans="1:2" x14ac:dyDescent="0.2">
      <c r="A5026"/>
      <c r="B5026"/>
    </row>
    <row r="5027" spans="1:2" x14ac:dyDescent="0.2">
      <c r="A5027"/>
      <c r="B5027"/>
    </row>
    <row r="5028" spans="1:2" x14ac:dyDescent="0.2">
      <c r="A5028"/>
      <c r="B5028"/>
    </row>
    <row r="5029" spans="1:2" x14ac:dyDescent="0.2">
      <c r="A5029"/>
      <c r="B5029"/>
    </row>
    <row r="5030" spans="1:2" x14ac:dyDescent="0.2">
      <c r="A5030"/>
      <c r="B5030"/>
    </row>
    <row r="5031" spans="1:2" x14ac:dyDescent="0.2">
      <c r="A5031"/>
      <c r="B5031"/>
    </row>
    <row r="5032" spans="1:2" x14ac:dyDescent="0.2">
      <c r="A5032"/>
      <c r="B5032"/>
    </row>
    <row r="5033" spans="1:2" x14ac:dyDescent="0.2">
      <c r="A5033"/>
      <c r="B5033"/>
    </row>
    <row r="5034" spans="1:2" x14ac:dyDescent="0.2">
      <c r="A5034"/>
      <c r="B5034"/>
    </row>
    <row r="5035" spans="1:2" x14ac:dyDescent="0.2">
      <c r="A5035"/>
      <c r="B5035"/>
    </row>
    <row r="5036" spans="1:2" x14ac:dyDescent="0.2">
      <c r="A5036"/>
      <c r="B5036"/>
    </row>
    <row r="5037" spans="1:2" x14ac:dyDescent="0.2">
      <c r="A5037"/>
      <c r="B5037"/>
    </row>
    <row r="5038" spans="1:2" x14ac:dyDescent="0.2">
      <c r="A5038"/>
      <c r="B5038"/>
    </row>
    <row r="5039" spans="1:2" x14ac:dyDescent="0.2">
      <c r="A5039"/>
      <c r="B5039"/>
    </row>
    <row r="5040" spans="1:2" x14ac:dyDescent="0.2">
      <c r="A5040"/>
      <c r="B5040"/>
    </row>
    <row r="5041" spans="1:2" x14ac:dyDescent="0.2">
      <c r="A5041"/>
      <c r="B5041"/>
    </row>
    <row r="5042" spans="1:2" x14ac:dyDescent="0.2">
      <c r="A5042"/>
      <c r="B5042"/>
    </row>
    <row r="5043" spans="1:2" x14ac:dyDescent="0.2">
      <c r="A5043"/>
      <c r="B5043"/>
    </row>
    <row r="5044" spans="1:2" x14ac:dyDescent="0.2">
      <c r="A5044"/>
      <c r="B5044"/>
    </row>
    <row r="5045" spans="1:2" x14ac:dyDescent="0.2">
      <c r="A5045"/>
      <c r="B5045"/>
    </row>
    <row r="5046" spans="1:2" x14ac:dyDescent="0.2">
      <c r="A5046"/>
      <c r="B5046"/>
    </row>
    <row r="5047" spans="1:2" x14ac:dyDescent="0.2">
      <c r="A5047"/>
      <c r="B5047"/>
    </row>
    <row r="5048" spans="1:2" x14ac:dyDescent="0.2">
      <c r="A5048"/>
      <c r="B5048"/>
    </row>
    <row r="5049" spans="1:2" x14ac:dyDescent="0.2">
      <c r="A5049"/>
      <c r="B5049"/>
    </row>
    <row r="5050" spans="1:2" x14ac:dyDescent="0.2">
      <c r="A5050"/>
      <c r="B5050"/>
    </row>
    <row r="5051" spans="1:2" x14ac:dyDescent="0.2">
      <c r="A5051"/>
      <c r="B5051"/>
    </row>
    <row r="5052" spans="1:2" x14ac:dyDescent="0.2">
      <c r="A5052"/>
      <c r="B5052"/>
    </row>
    <row r="5053" spans="1:2" x14ac:dyDescent="0.2">
      <c r="A5053"/>
      <c r="B5053"/>
    </row>
    <row r="5054" spans="1:2" x14ac:dyDescent="0.2">
      <c r="A5054"/>
      <c r="B5054"/>
    </row>
    <row r="5055" spans="1:2" x14ac:dyDescent="0.2">
      <c r="A5055"/>
      <c r="B5055"/>
    </row>
    <row r="5056" spans="1:2" x14ac:dyDescent="0.2">
      <c r="A5056"/>
      <c r="B5056"/>
    </row>
    <row r="5057" spans="1:2" x14ac:dyDescent="0.2">
      <c r="A5057"/>
      <c r="B5057"/>
    </row>
    <row r="5058" spans="1:2" x14ac:dyDescent="0.2">
      <c r="A5058"/>
      <c r="B5058"/>
    </row>
    <row r="5059" spans="1:2" x14ac:dyDescent="0.2">
      <c r="A5059"/>
      <c r="B5059"/>
    </row>
    <row r="5060" spans="1:2" x14ac:dyDescent="0.2">
      <c r="A5060"/>
      <c r="B5060"/>
    </row>
    <row r="5061" spans="1:2" x14ac:dyDescent="0.2">
      <c r="A5061"/>
      <c r="B5061"/>
    </row>
    <row r="5062" spans="1:2" x14ac:dyDescent="0.2">
      <c r="A5062"/>
      <c r="B5062"/>
    </row>
    <row r="5063" spans="1:2" x14ac:dyDescent="0.2">
      <c r="A5063"/>
      <c r="B5063"/>
    </row>
    <row r="5064" spans="1:2" x14ac:dyDescent="0.2">
      <c r="A5064"/>
      <c r="B5064"/>
    </row>
    <row r="5065" spans="1:2" x14ac:dyDescent="0.2">
      <c r="A5065"/>
      <c r="B5065"/>
    </row>
    <row r="5066" spans="1:2" x14ac:dyDescent="0.2">
      <c r="A5066"/>
      <c r="B5066"/>
    </row>
    <row r="5067" spans="1:2" x14ac:dyDescent="0.2">
      <c r="A5067"/>
      <c r="B5067"/>
    </row>
    <row r="5068" spans="1:2" x14ac:dyDescent="0.2">
      <c r="A5068"/>
      <c r="B5068"/>
    </row>
    <row r="5069" spans="1:2" x14ac:dyDescent="0.2">
      <c r="A5069"/>
      <c r="B5069"/>
    </row>
    <row r="5070" spans="1:2" x14ac:dyDescent="0.2">
      <c r="A5070"/>
      <c r="B5070"/>
    </row>
    <row r="5071" spans="1:2" x14ac:dyDescent="0.2">
      <c r="A5071"/>
      <c r="B5071"/>
    </row>
    <row r="5072" spans="1:2" x14ac:dyDescent="0.2">
      <c r="A5072"/>
      <c r="B5072"/>
    </row>
    <row r="5073" spans="1:2" x14ac:dyDescent="0.2">
      <c r="A5073"/>
      <c r="B5073"/>
    </row>
    <row r="5074" spans="1:2" x14ac:dyDescent="0.2">
      <c r="A5074"/>
      <c r="B5074"/>
    </row>
    <row r="5075" spans="1:2" x14ac:dyDescent="0.2">
      <c r="A5075"/>
      <c r="B5075"/>
    </row>
    <row r="5076" spans="1:2" x14ac:dyDescent="0.2">
      <c r="A5076"/>
      <c r="B5076"/>
    </row>
    <row r="5077" spans="1:2" x14ac:dyDescent="0.2">
      <c r="A5077"/>
      <c r="B5077"/>
    </row>
    <row r="5078" spans="1:2" x14ac:dyDescent="0.2">
      <c r="A5078"/>
      <c r="B5078"/>
    </row>
    <row r="5079" spans="1:2" x14ac:dyDescent="0.2">
      <c r="A5079"/>
      <c r="B5079"/>
    </row>
    <row r="5080" spans="1:2" x14ac:dyDescent="0.2">
      <c r="A5080"/>
      <c r="B5080"/>
    </row>
    <row r="5081" spans="1:2" x14ac:dyDescent="0.2">
      <c r="A5081"/>
      <c r="B5081"/>
    </row>
    <row r="5082" spans="1:2" x14ac:dyDescent="0.2">
      <c r="A5082"/>
      <c r="B5082"/>
    </row>
    <row r="5083" spans="1:2" x14ac:dyDescent="0.2">
      <c r="A5083"/>
      <c r="B5083"/>
    </row>
    <row r="5084" spans="1:2" x14ac:dyDescent="0.2">
      <c r="A5084"/>
      <c r="B5084"/>
    </row>
    <row r="5085" spans="1:2" x14ac:dyDescent="0.2">
      <c r="A5085"/>
      <c r="B5085"/>
    </row>
  </sheetData>
  <conditionalFormatting sqref="A12">
    <cfRule type="duplicateValues" dxfId="31" priority="2"/>
  </conditionalFormatting>
  <conditionalFormatting sqref="A219">
    <cfRule type="duplicateValues" dxfId="30" priority="7"/>
  </conditionalFormatting>
  <conditionalFormatting sqref="A361">
    <cfRule type="duplicateValues" dxfId="29" priority="3"/>
  </conditionalFormatting>
  <conditionalFormatting sqref="A895">
    <cfRule type="duplicateValues" dxfId="28" priority="4"/>
  </conditionalFormatting>
  <conditionalFormatting sqref="A912:A964 A1:A11 A1154:A1306 A220:A360 A966:A1152 A17:A218 A896:A910 A362:A894 A13:A14">
    <cfRule type="duplicateValues" dxfId="27" priority="8"/>
  </conditionalFormatting>
  <conditionalFormatting sqref="A965">
    <cfRule type="duplicateValues" dxfId="26" priority="6"/>
  </conditionalFormatting>
  <conditionalFormatting sqref="A1397">
    <cfRule type="duplicateValues" dxfId="25" priority="1"/>
  </conditionalFormatting>
  <conditionalFormatting sqref="B1374">
    <cfRule type="duplicateValues" dxfId="24" priority="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PRINCIPAL</vt:lpstr>
      <vt:lpstr>RESUMEN CATEGORIAS</vt:lpstr>
      <vt:lpstr>ENE 26</vt:lpstr>
      <vt:lpstr>FEB 26</vt:lpstr>
      <vt:lpstr>MAR 26</vt:lpstr>
      <vt:lpstr>ABR 26</vt:lpstr>
      <vt:lpstr>MAY 26</vt:lpstr>
      <vt:lpstr>JUN 26</vt:lpstr>
      <vt:lpstr>Lista de Precios</vt:lpstr>
      <vt:lpstr>AUX</vt:lpstr>
      <vt:lpstr>'Lista de Precios'!Área_de_impresión</vt:lpstr>
      <vt:lpstr>'ABR 26'!Títulos_a_imprimir</vt:lpstr>
      <vt:lpstr>'ENE 26'!Títulos_a_imprimir</vt:lpstr>
      <vt:lpstr>'FEB 26'!Títulos_a_imprimir</vt:lpstr>
      <vt:lpstr>'JUN 26'!Títulos_a_imprimir</vt:lpstr>
      <vt:lpstr>'Lista de Precios'!Títulos_a_imprimir</vt:lpstr>
      <vt:lpstr>'MAR 26'!Títulos_a_imprimir</vt:lpstr>
      <vt:lpstr>'MAY 26'!Títulos_a_imprimir</vt:lpstr>
    </vt:vector>
  </TitlesOfParts>
  <Company>Alpargatas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Alpargatas</dc:creator>
  <cp:lastModifiedBy>Usuario</cp:lastModifiedBy>
  <cp:lastPrinted>2015-03-18T21:35:58Z</cp:lastPrinted>
  <dcterms:created xsi:type="dcterms:W3CDTF">2006-07-07T15:45:45Z</dcterms:created>
  <dcterms:modified xsi:type="dcterms:W3CDTF">2025-12-16T18:32:41Z</dcterms:modified>
</cp:coreProperties>
</file>