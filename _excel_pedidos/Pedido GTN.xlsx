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TOMI\Pedidos\Pedido GTN\"/>
    </mc:Choice>
  </mc:AlternateContent>
  <bookViews>
    <workbookView xWindow="0" yWindow="0" windowWidth="28800" windowHeight="12150"/>
  </bookViews>
  <sheets>
    <sheet name="Hoja1" sheetId="1" r:id="rId1"/>
  </sheets>
  <definedNames>
    <definedName name="_xlnm._FilterDatabase" localSheetId="0" hidden="1">Hoja1!$A$1:$AI$42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2" i="1" l="1"/>
  <c r="AI22" i="1" s="1"/>
  <c r="AE23" i="1"/>
  <c r="AI23" i="1" s="1"/>
  <c r="AE24" i="1"/>
  <c r="AI24" i="1" s="1"/>
  <c r="AE14" i="1"/>
  <c r="AI14" i="1" s="1"/>
  <c r="AE15" i="1"/>
  <c r="AI15" i="1" s="1"/>
  <c r="AE16" i="1"/>
  <c r="AI16" i="1" s="1"/>
  <c r="AE17" i="1"/>
  <c r="AI17" i="1" s="1"/>
  <c r="AE18" i="1"/>
  <c r="AI18" i="1" s="1"/>
  <c r="AE19" i="1"/>
  <c r="AI19" i="1" s="1"/>
  <c r="AE20" i="1"/>
  <c r="AI20" i="1" s="1"/>
  <c r="AE21" i="1"/>
  <c r="AI21" i="1" s="1"/>
  <c r="AE13" i="1"/>
  <c r="AI13" i="1" s="1"/>
  <c r="AE10" i="1"/>
  <c r="AI10" i="1" s="1"/>
  <c r="AE11" i="1"/>
  <c r="AI11" i="1" s="1"/>
  <c r="AE12" i="1"/>
  <c r="AI12" i="1" s="1"/>
  <c r="AE7" i="1"/>
  <c r="AI7" i="1" s="1"/>
  <c r="AE8" i="1"/>
  <c r="AI8" i="1" s="1"/>
  <c r="AE9" i="1"/>
  <c r="AI9" i="1" s="1"/>
  <c r="AE3" i="1"/>
  <c r="AI3" i="1" s="1"/>
  <c r="AE4" i="1"/>
  <c r="AI4" i="1" s="1"/>
  <c r="AE5" i="1"/>
  <c r="AI5" i="1" s="1"/>
  <c r="AE6" i="1"/>
  <c r="AI6" i="1" s="1"/>
  <c r="AE2" i="1"/>
  <c r="AE25" i="1" l="1"/>
  <c r="AI2" i="1"/>
  <c r="AI25" i="1" s="1"/>
</calcChain>
</file>

<file path=xl/sharedStrings.xml><?xml version="1.0" encoding="utf-8"?>
<sst xmlns="http://schemas.openxmlformats.org/spreadsheetml/2006/main" count="53" uniqueCount="27">
  <si>
    <t>ARTICULO</t>
  </si>
  <si>
    <t>COLOR</t>
  </si>
  <si>
    <t>TOTAL</t>
  </si>
  <si>
    <t>PRECIO</t>
  </si>
  <si>
    <t>RUBRO</t>
  </si>
  <si>
    <t>SUBRUBRO</t>
  </si>
  <si>
    <t>Subtotal</t>
  </si>
  <si>
    <t>Negro</t>
  </si>
  <si>
    <t>Beige</t>
  </si>
  <si>
    <t>KNU</t>
  </si>
  <si>
    <t>Negro/blanco</t>
  </si>
  <si>
    <t>Campus</t>
  </si>
  <si>
    <t>Gris/blanco</t>
  </si>
  <si>
    <t>Force</t>
  </si>
  <si>
    <t>Blanco</t>
  </si>
  <si>
    <t>Puma</t>
  </si>
  <si>
    <t>Negro/Negro</t>
  </si>
  <si>
    <t>Nude</t>
  </si>
  <si>
    <t>Ryder</t>
  </si>
  <si>
    <t>Knu</t>
  </si>
  <si>
    <t>Ryder PU</t>
  </si>
  <si>
    <t>Beige/Blanco</t>
  </si>
  <si>
    <t>Negr/Negr/Blanco</t>
  </si>
  <si>
    <t>Gza/Gris</t>
  </si>
  <si>
    <t>SB</t>
  </si>
  <si>
    <t>Blanco/negro</t>
  </si>
  <si>
    <t>Blanco/Blanco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</si>
</sst>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0" xfId="0" applyFill="1"/>
    <xf numFmtId="0" fontId="0" fillId="0" borderId="0" xfId="0" applyFont="1"/>
    <xf numFmtId="0" fontId="0" fillId="0" borderId="2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"/>
  <sheetViews>
    <sheetView tabSelected="1" workbookViewId="0">
      <pane ySplit="1" topLeftCell="A2" activePane="bottomLeft" state="frozen"/>
      <selection pane="bottomLeft" activeCell="AB31" sqref="AB31"/>
    </sheetView>
  </sheetViews>
  <sheetFormatPr baseColWidth="10" defaultRowHeight="15" x14ac:dyDescent="0.25"/>
  <cols>
    <col min="2" max="2" width="17.42578125" customWidth="1"/>
    <col min="3" max="30" width="4.7109375" customWidth="1"/>
    <col min="34" max="34" width="13.7109375" customWidth="1"/>
  </cols>
  <sheetData>
    <row r="1" spans="1:37" x14ac:dyDescent="0.25">
      <c r="A1" s="1" t="s">
        <v>0</v>
      </c>
      <c r="B1" s="1" t="s">
        <v>1</v>
      </c>
      <c r="C1" s="6">
        <v>20</v>
      </c>
      <c r="D1" s="6">
        <v>21</v>
      </c>
      <c r="E1" s="6">
        <v>22</v>
      </c>
      <c r="F1" s="6">
        <v>23</v>
      </c>
      <c r="G1" s="6">
        <v>24</v>
      </c>
      <c r="H1" s="6">
        <v>25</v>
      </c>
      <c r="I1" s="6">
        <v>26</v>
      </c>
      <c r="J1" s="6">
        <v>27</v>
      </c>
      <c r="K1" s="6">
        <v>28</v>
      </c>
      <c r="L1" s="6">
        <v>29</v>
      </c>
      <c r="M1" s="6">
        <v>30</v>
      </c>
      <c r="N1" s="6">
        <v>31</v>
      </c>
      <c r="O1" s="6">
        <v>32</v>
      </c>
      <c r="P1" s="6">
        <v>33</v>
      </c>
      <c r="Q1" s="6">
        <v>34</v>
      </c>
      <c r="R1" s="6">
        <v>35</v>
      </c>
      <c r="S1" s="6">
        <v>36</v>
      </c>
      <c r="T1" s="6">
        <v>37</v>
      </c>
      <c r="U1" s="6">
        <v>38</v>
      </c>
      <c r="V1" s="6">
        <v>39</v>
      </c>
      <c r="W1" s="6">
        <v>40</v>
      </c>
      <c r="X1" s="6">
        <v>41</v>
      </c>
      <c r="Y1" s="6">
        <v>42</v>
      </c>
      <c r="Z1" s="6">
        <v>43</v>
      </c>
      <c r="AA1" s="6">
        <v>44</v>
      </c>
      <c r="AB1" s="6">
        <v>45</v>
      </c>
      <c r="AC1" s="6">
        <v>46</v>
      </c>
      <c r="AD1" s="6">
        <v>47</v>
      </c>
      <c r="AE1" s="1" t="s">
        <v>2</v>
      </c>
      <c r="AF1" s="1" t="s">
        <v>3</v>
      </c>
      <c r="AG1" s="1" t="s">
        <v>4</v>
      </c>
      <c r="AH1" s="1" t="s">
        <v>5</v>
      </c>
      <c r="AI1" s="2" t="s">
        <v>6</v>
      </c>
      <c r="AJ1" s="3"/>
      <c r="AK1" s="5"/>
    </row>
    <row r="2" spans="1:37" x14ac:dyDescent="0.25">
      <c r="A2" t="s">
        <v>9</v>
      </c>
      <c r="B2" t="s">
        <v>10</v>
      </c>
      <c r="R2">
        <v>4</v>
      </c>
      <c r="S2">
        <v>12</v>
      </c>
      <c r="T2">
        <v>6</v>
      </c>
      <c r="U2">
        <v>20</v>
      </c>
      <c r="V2">
        <v>16</v>
      </c>
      <c r="W2">
        <v>16</v>
      </c>
      <c r="X2">
        <v>16</v>
      </c>
      <c r="Y2">
        <v>4</v>
      </c>
      <c r="Z2">
        <v>2</v>
      </c>
      <c r="AA2">
        <v>2</v>
      </c>
      <c r="AE2">
        <f>SUM(C2:AD2)</f>
        <v>98</v>
      </c>
      <c r="AF2">
        <v>22000</v>
      </c>
      <c r="AI2">
        <f>AE2*AF2</f>
        <v>2156000</v>
      </c>
    </row>
    <row r="3" spans="1:37" x14ac:dyDescent="0.25">
      <c r="A3" t="s">
        <v>11</v>
      </c>
      <c r="B3" t="s">
        <v>10</v>
      </c>
      <c r="R3">
        <v>8</v>
      </c>
      <c r="S3">
        <v>8</v>
      </c>
      <c r="T3">
        <v>10</v>
      </c>
      <c r="U3">
        <v>18</v>
      </c>
      <c r="V3">
        <v>18</v>
      </c>
      <c r="W3">
        <v>8</v>
      </c>
      <c r="X3">
        <v>8</v>
      </c>
      <c r="Y3">
        <v>10</v>
      </c>
      <c r="Z3">
        <v>10</v>
      </c>
      <c r="AE3">
        <f t="shared" ref="AE3:AE24" si="0">SUM(C3:AD3)</f>
        <v>98</v>
      </c>
      <c r="AF3">
        <v>23000</v>
      </c>
      <c r="AI3">
        <f t="shared" ref="AI3:AI24" si="1">AE3*AF3</f>
        <v>2254000</v>
      </c>
    </row>
    <row r="4" spans="1:37" x14ac:dyDescent="0.25">
      <c r="A4" t="s">
        <v>11</v>
      </c>
      <c r="B4" t="s">
        <v>12</v>
      </c>
      <c r="R4">
        <v>8</v>
      </c>
      <c r="S4">
        <v>6</v>
      </c>
      <c r="T4">
        <v>8</v>
      </c>
      <c r="U4">
        <v>10</v>
      </c>
      <c r="V4">
        <v>6</v>
      </c>
      <c r="W4">
        <v>8</v>
      </c>
      <c r="X4">
        <v>6</v>
      </c>
      <c r="Z4">
        <v>4</v>
      </c>
      <c r="AA4">
        <v>2</v>
      </c>
      <c r="AE4">
        <f t="shared" si="0"/>
        <v>58</v>
      </c>
      <c r="AF4">
        <v>23000</v>
      </c>
      <c r="AI4">
        <f t="shared" si="1"/>
        <v>1334000</v>
      </c>
    </row>
    <row r="5" spans="1:37" x14ac:dyDescent="0.25">
      <c r="A5" t="s">
        <v>13</v>
      </c>
      <c r="B5" t="s">
        <v>14</v>
      </c>
      <c r="R5">
        <v>3</v>
      </c>
      <c r="S5">
        <v>3</v>
      </c>
      <c r="T5">
        <v>8</v>
      </c>
      <c r="Y5">
        <v>4</v>
      </c>
      <c r="AA5">
        <v>2</v>
      </c>
      <c r="AE5">
        <f t="shared" si="0"/>
        <v>20</v>
      </c>
      <c r="AF5">
        <v>20000</v>
      </c>
      <c r="AI5">
        <f t="shared" si="1"/>
        <v>400000</v>
      </c>
    </row>
    <row r="6" spans="1:37" x14ac:dyDescent="0.25">
      <c r="A6" t="s">
        <v>15</v>
      </c>
      <c r="B6" t="s">
        <v>16</v>
      </c>
      <c r="R6">
        <v>2</v>
      </c>
      <c r="S6">
        <v>4</v>
      </c>
      <c r="T6">
        <v>8</v>
      </c>
      <c r="U6">
        <v>24</v>
      </c>
      <c r="V6">
        <v>10</v>
      </c>
      <c r="W6">
        <v>6</v>
      </c>
      <c r="X6">
        <v>6</v>
      </c>
      <c r="Y6">
        <v>10</v>
      </c>
      <c r="Z6">
        <v>10</v>
      </c>
      <c r="AA6">
        <v>2</v>
      </c>
      <c r="AE6">
        <f t="shared" si="0"/>
        <v>82</v>
      </c>
      <c r="AF6">
        <v>23000</v>
      </c>
      <c r="AI6">
        <f t="shared" si="1"/>
        <v>1886000</v>
      </c>
    </row>
    <row r="7" spans="1:37" ht="14.25" customHeight="1" x14ac:dyDescent="0.25">
      <c r="A7">
        <v>400</v>
      </c>
      <c r="B7" t="s">
        <v>10</v>
      </c>
      <c r="U7">
        <v>8</v>
      </c>
      <c r="V7">
        <v>4</v>
      </c>
      <c r="W7">
        <v>4</v>
      </c>
      <c r="X7">
        <v>2</v>
      </c>
      <c r="AE7">
        <f t="shared" si="0"/>
        <v>18</v>
      </c>
      <c r="AF7">
        <v>17000</v>
      </c>
      <c r="AI7">
        <f t="shared" si="1"/>
        <v>306000</v>
      </c>
    </row>
    <row r="8" spans="1:37" x14ac:dyDescent="0.25">
      <c r="A8" s="4" t="s">
        <v>11</v>
      </c>
      <c r="B8" t="s">
        <v>17</v>
      </c>
      <c r="R8">
        <v>2</v>
      </c>
      <c r="S8">
        <v>8</v>
      </c>
      <c r="T8">
        <v>8</v>
      </c>
      <c r="U8">
        <v>10</v>
      </c>
      <c r="V8">
        <v>12</v>
      </c>
      <c r="W8">
        <v>12</v>
      </c>
      <c r="AE8">
        <f t="shared" si="0"/>
        <v>52</v>
      </c>
      <c r="AF8">
        <v>23000</v>
      </c>
      <c r="AI8">
        <f t="shared" si="1"/>
        <v>1196000</v>
      </c>
    </row>
    <row r="9" spans="1:37" x14ac:dyDescent="0.25">
      <c r="A9" s="4" t="s">
        <v>18</v>
      </c>
      <c r="B9" t="s">
        <v>10</v>
      </c>
      <c r="S9">
        <v>12</v>
      </c>
      <c r="T9">
        <v>12</v>
      </c>
      <c r="U9">
        <v>8</v>
      </c>
      <c r="V9">
        <v>16</v>
      </c>
      <c r="W9">
        <v>8</v>
      </c>
      <c r="X9">
        <v>6</v>
      </c>
      <c r="Y9">
        <v>6</v>
      </c>
      <c r="Z9">
        <v>4</v>
      </c>
      <c r="AA9">
        <v>4</v>
      </c>
      <c r="AB9">
        <v>2</v>
      </c>
      <c r="AE9">
        <f t="shared" si="0"/>
        <v>78</v>
      </c>
      <c r="AF9">
        <v>22000</v>
      </c>
      <c r="AI9">
        <f t="shared" si="1"/>
        <v>1716000</v>
      </c>
    </row>
    <row r="10" spans="1:37" x14ac:dyDescent="0.25">
      <c r="A10" s="4" t="s">
        <v>11</v>
      </c>
      <c r="B10" t="s">
        <v>16</v>
      </c>
      <c r="R10">
        <v>2</v>
      </c>
      <c r="S10">
        <v>4</v>
      </c>
      <c r="T10">
        <v>12</v>
      </c>
      <c r="U10">
        <v>6</v>
      </c>
      <c r="V10">
        <v>10</v>
      </c>
      <c r="W10">
        <v>8</v>
      </c>
      <c r="X10">
        <v>4</v>
      </c>
      <c r="Y10">
        <v>4</v>
      </c>
      <c r="Z10">
        <v>2</v>
      </c>
      <c r="AE10">
        <f t="shared" si="0"/>
        <v>52</v>
      </c>
      <c r="AF10">
        <v>23000</v>
      </c>
      <c r="AI10">
        <f t="shared" si="1"/>
        <v>1196000</v>
      </c>
    </row>
    <row r="11" spans="1:37" x14ac:dyDescent="0.25">
      <c r="A11" s="4" t="s">
        <v>19</v>
      </c>
      <c r="B11" t="s">
        <v>12</v>
      </c>
      <c r="R11">
        <v>6</v>
      </c>
      <c r="S11">
        <v>6</v>
      </c>
      <c r="T11">
        <v>6</v>
      </c>
      <c r="U11">
        <v>4</v>
      </c>
      <c r="V11">
        <v>6</v>
      </c>
      <c r="AE11">
        <f t="shared" si="0"/>
        <v>28</v>
      </c>
      <c r="AF11">
        <v>22000</v>
      </c>
      <c r="AI11">
        <f t="shared" si="1"/>
        <v>616000</v>
      </c>
    </row>
    <row r="12" spans="1:37" x14ac:dyDescent="0.25">
      <c r="A12" s="4" t="s">
        <v>18</v>
      </c>
      <c r="B12" t="s">
        <v>8</v>
      </c>
      <c r="R12">
        <v>2</v>
      </c>
      <c r="S12">
        <v>6</v>
      </c>
      <c r="T12">
        <v>10</v>
      </c>
      <c r="U12">
        <v>6</v>
      </c>
      <c r="V12">
        <v>12</v>
      </c>
      <c r="W12">
        <v>8</v>
      </c>
      <c r="Y12">
        <v>8</v>
      </c>
      <c r="Z12">
        <v>2</v>
      </c>
      <c r="AA12">
        <v>2</v>
      </c>
      <c r="AB12">
        <v>2</v>
      </c>
      <c r="AE12">
        <f t="shared" si="0"/>
        <v>58</v>
      </c>
      <c r="AF12">
        <v>22000</v>
      </c>
      <c r="AI12">
        <f t="shared" si="1"/>
        <v>1276000</v>
      </c>
    </row>
    <row r="13" spans="1:37" x14ac:dyDescent="0.25">
      <c r="A13" s="4" t="s">
        <v>20</v>
      </c>
      <c r="B13" t="s">
        <v>7</v>
      </c>
      <c r="S13">
        <v>4</v>
      </c>
      <c r="T13">
        <v>10</v>
      </c>
      <c r="U13">
        <v>10</v>
      </c>
      <c r="V13">
        <v>6</v>
      </c>
      <c r="W13">
        <v>6</v>
      </c>
      <c r="X13">
        <v>6</v>
      </c>
      <c r="Y13">
        <v>6</v>
      </c>
      <c r="Z13">
        <v>2</v>
      </c>
      <c r="AE13">
        <f t="shared" si="0"/>
        <v>50</v>
      </c>
      <c r="AF13">
        <v>22000</v>
      </c>
      <c r="AI13">
        <f t="shared" si="1"/>
        <v>1100000</v>
      </c>
    </row>
    <row r="14" spans="1:37" x14ac:dyDescent="0.25">
      <c r="A14" s="4" t="s">
        <v>11</v>
      </c>
      <c r="B14" t="s">
        <v>21</v>
      </c>
      <c r="S14">
        <v>8</v>
      </c>
      <c r="T14">
        <v>12</v>
      </c>
      <c r="U14">
        <v>2</v>
      </c>
      <c r="V14">
        <v>4</v>
      </c>
      <c r="W14">
        <v>4</v>
      </c>
      <c r="X14">
        <v>2</v>
      </c>
      <c r="Z14">
        <v>2</v>
      </c>
      <c r="AA14">
        <v>2</v>
      </c>
      <c r="AE14">
        <f t="shared" si="0"/>
        <v>36</v>
      </c>
      <c r="AF14">
        <v>23000</v>
      </c>
      <c r="AI14">
        <f t="shared" si="1"/>
        <v>828000</v>
      </c>
    </row>
    <row r="15" spans="1:37" x14ac:dyDescent="0.25">
      <c r="A15" s="4" t="s">
        <v>18</v>
      </c>
      <c r="B15" t="s">
        <v>12</v>
      </c>
      <c r="S15">
        <v>8</v>
      </c>
      <c r="T15">
        <v>6</v>
      </c>
      <c r="U15">
        <v>4</v>
      </c>
      <c r="V15">
        <v>12</v>
      </c>
      <c r="W15">
        <v>6</v>
      </c>
      <c r="X15">
        <v>4</v>
      </c>
      <c r="Y15">
        <v>8</v>
      </c>
      <c r="Z15">
        <v>6</v>
      </c>
      <c r="AA15">
        <v>8</v>
      </c>
      <c r="AB15">
        <v>2</v>
      </c>
      <c r="AE15">
        <f t="shared" si="0"/>
        <v>64</v>
      </c>
      <c r="AF15">
        <v>22000</v>
      </c>
      <c r="AI15">
        <f t="shared" si="1"/>
        <v>1408000</v>
      </c>
    </row>
    <row r="16" spans="1:37" x14ac:dyDescent="0.25">
      <c r="A16" s="4" t="s">
        <v>9</v>
      </c>
      <c r="B16" t="s">
        <v>22</v>
      </c>
      <c r="R16">
        <v>2</v>
      </c>
      <c r="S16">
        <v>2</v>
      </c>
      <c r="T16">
        <v>16</v>
      </c>
      <c r="U16">
        <v>10</v>
      </c>
      <c r="V16">
        <v>6</v>
      </c>
      <c r="W16">
        <v>6</v>
      </c>
      <c r="X16">
        <v>4</v>
      </c>
      <c r="Y16">
        <v>4</v>
      </c>
      <c r="AE16">
        <f t="shared" si="0"/>
        <v>50</v>
      </c>
      <c r="AF16">
        <v>22000</v>
      </c>
      <c r="AI16">
        <f t="shared" si="1"/>
        <v>1100000</v>
      </c>
    </row>
    <row r="17" spans="1:35" x14ac:dyDescent="0.25">
      <c r="A17" s="4" t="s">
        <v>11</v>
      </c>
      <c r="B17" t="s">
        <v>22</v>
      </c>
      <c r="R17">
        <v>6</v>
      </c>
      <c r="S17">
        <v>6</v>
      </c>
      <c r="T17">
        <v>4</v>
      </c>
      <c r="U17">
        <v>12</v>
      </c>
      <c r="V17">
        <v>8</v>
      </c>
      <c r="W17">
        <v>6</v>
      </c>
      <c r="X17">
        <v>6</v>
      </c>
      <c r="Y17">
        <v>6</v>
      </c>
      <c r="Z17">
        <v>2</v>
      </c>
      <c r="AE17">
        <f t="shared" si="0"/>
        <v>56</v>
      </c>
      <c r="AF17">
        <v>23000</v>
      </c>
      <c r="AI17">
        <f t="shared" si="1"/>
        <v>1288000</v>
      </c>
    </row>
    <row r="18" spans="1:35" x14ac:dyDescent="0.25">
      <c r="A18" s="4" t="s">
        <v>15</v>
      </c>
      <c r="B18" t="s">
        <v>10</v>
      </c>
      <c r="R18">
        <v>2</v>
      </c>
      <c r="S18">
        <v>4</v>
      </c>
      <c r="T18">
        <v>12</v>
      </c>
      <c r="U18">
        <v>8</v>
      </c>
      <c r="V18">
        <v>6</v>
      </c>
      <c r="W18">
        <v>6</v>
      </c>
      <c r="X18">
        <v>2</v>
      </c>
      <c r="Y18">
        <v>2</v>
      </c>
      <c r="Z18">
        <v>4</v>
      </c>
      <c r="AE18">
        <f t="shared" si="0"/>
        <v>46</v>
      </c>
      <c r="AF18">
        <v>23000</v>
      </c>
      <c r="AI18">
        <f t="shared" si="1"/>
        <v>1058000</v>
      </c>
    </row>
    <row r="19" spans="1:35" x14ac:dyDescent="0.25">
      <c r="A19" s="4" t="s">
        <v>15</v>
      </c>
      <c r="B19" t="s">
        <v>23</v>
      </c>
      <c r="R19">
        <v>2</v>
      </c>
      <c r="S19">
        <v>2</v>
      </c>
      <c r="T19">
        <v>6</v>
      </c>
      <c r="U19">
        <v>6</v>
      </c>
      <c r="V19">
        <v>2</v>
      </c>
      <c r="W19">
        <v>4</v>
      </c>
      <c r="X19">
        <v>6</v>
      </c>
      <c r="Y19">
        <v>6</v>
      </c>
      <c r="AA19">
        <v>2</v>
      </c>
      <c r="AE19">
        <f t="shared" si="0"/>
        <v>36</v>
      </c>
      <c r="AF19">
        <v>23000</v>
      </c>
      <c r="AI19">
        <f t="shared" si="1"/>
        <v>828000</v>
      </c>
    </row>
    <row r="20" spans="1:35" x14ac:dyDescent="0.25">
      <c r="A20" s="4" t="s">
        <v>24</v>
      </c>
      <c r="B20" t="s">
        <v>16</v>
      </c>
      <c r="T20">
        <v>4</v>
      </c>
      <c r="U20">
        <v>6</v>
      </c>
      <c r="V20">
        <v>6</v>
      </c>
      <c r="AE20">
        <f t="shared" si="0"/>
        <v>16</v>
      </c>
      <c r="AF20">
        <v>22000</v>
      </c>
      <c r="AI20">
        <f t="shared" si="1"/>
        <v>352000</v>
      </c>
    </row>
    <row r="21" spans="1:35" x14ac:dyDescent="0.25">
      <c r="A21" s="4" t="s">
        <v>20</v>
      </c>
      <c r="B21" s="3" t="s">
        <v>25</v>
      </c>
      <c r="C21" s="3"/>
      <c r="D21" s="3"/>
      <c r="E21" s="3"/>
      <c r="F21" s="3"/>
      <c r="G21" s="3"/>
      <c r="H21" s="3"/>
      <c r="I21" s="3"/>
      <c r="J21" s="3"/>
      <c r="U21">
        <v>6</v>
      </c>
      <c r="V21">
        <v>6</v>
      </c>
      <c r="W21">
        <v>4</v>
      </c>
      <c r="X21">
        <v>2</v>
      </c>
      <c r="Y21">
        <v>2</v>
      </c>
      <c r="Z21">
        <v>2</v>
      </c>
      <c r="AE21">
        <f t="shared" si="0"/>
        <v>22</v>
      </c>
      <c r="AF21">
        <v>22000</v>
      </c>
      <c r="AI21">
        <f t="shared" si="1"/>
        <v>484000</v>
      </c>
    </row>
    <row r="22" spans="1:35" x14ac:dyDescent="0.25">
      <c r="A22" s="4" t="s">
        <v>15</v>
      </c>
      <c r="B22" s="3" t="s">
        <v>25</v>
      </c>
      <c r="R22">
        <v>2</v>
      </c>
      <c r="S22">
        <v>4</v>
      </c>
      <c r="T22">
        <v>2</v>
      </c>
      <c r="U22">
        <v>6</v>
      </c>
      <c r="V22">
        <v>4</v>
      </c>
      <c r="X22">
        <v>4</v>
      </c>
      <c r="AA22">
        <v>2</v>
      </c>
      <c r="AE22">
        <f t="shared" si="0"/>
        <v>24</v>
      </c>
      <c r="AF22">
        <v>23000</v>
      </c>
      <c r="AI22">
        <f t="shared" si="1"/>
        <v>552000</v>
      </c>
    </row>
    <row r="23" spans="1:35" x14ac:dyDescent="0.25">
      <c r="A23" s="4" t="s">
        <v>15</v>
      </c>
      <c r="B23" s="3" t="s">
        <v>10</v>
      </c>
      <c r="R23">
        <v>2</v>
      </c>
      <c r="S23">
        <v>2</v>
      </c>
      <c r="T23">
        <v>2</v>
      </c>
      <c r="U23">
        <v>6</v>
      </c>
      <c r="V23">
        <v>8</v>
      </c>
      <c r="W23">
        <v>2</v>
      </c>
      <c r="X23">
        <v>2</v>
      </c>
      <c r="AE23">
        <f t="shared" si="0"/>
        <v>24</v>
      </c>
      <c r="AF23">
        <v>23000</v>
      </c>
      <c r="AI23">
        <f t="shared" si="1"/>
        <v>552000</v>
      </c>
    </row>
    <row r="24" spans="1:35" x14ac:dyDescent="0.25">
      <c r="A24" s="4" t="s">
        <v>9</v>
      </c>
      <c r="B24" s="3" t="s">
        <v>26</v>
      </c>
      <c r="S24">
        <v>2</v>
      </c>
      <c r="T24">
        <v>8</v>
      </c>
      <c r="U24">
        <v>4</v>
      </c>
      <c r="V24">
        <v>6</v>
      </c>
      <c r="W24">
        <v>2</v>
      </c>
      <c r="Y24">
        <v>2</v>
      </c>
      <c r="AE24">
        <f t="shared" si="0"/>
        <v>24</v>
      </c>
      <c r="AF24">
        <v>22000</v>
      </c>
      <c r="AI24">
        <f t="shared" si="1"/>
        <v>528000</v>
      </c>
    </row>
    <row r="25" spans="1:35" x14ac:dyDescent="0.25">
      <c r="AE25">
        <f>SUM(AE2:AE24)</f>
        <v>1090</v>
      </c>
      <c r="AH25" t="s">
        <v>2</v>
      </c>
      <c r="AI25">
        <f>SUM(AI2:AI24)</f>
        <v>24414000</v>
      </c>
    </row>
    <row r="33" spans="1:1" x14ac:dyDescent="0.25">
      <c r="A33" s="3"/>
    </row>
    <row r="34" spans="1:1" x14ac:dyDescent="0.25">
      <c r="A34" s="3"/>
    </row>
  </sheetData>
  <sortState ref="A2:AA62">
    <sortCondition ref="A2:A6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2026-02-03T12:48:35Z</dcterms:created>
  <dcterms:modified xsi:type="dcterms:W3CDTF">2026-03-05T19:11:41Z</dcterms:modified>
</cp:coreProperties>
</file>